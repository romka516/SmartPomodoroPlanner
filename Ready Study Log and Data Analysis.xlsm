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esktop\"/>
    </mc:Choice>
  </mc:AlternateContent>
  <xr:revisionPtr revIDLastSave="0" documentId="13_ncr:1_{242E28B6-5B84-4995-872D-591832A9E9BA}" xr6:coauthVersionLast="47" xr6:coauthVersionMax="47" xr10:uidLastSave="{00000000-0000-0000-0000-000000000000}"/>
  <bookViews>
    <workbookView xWindow="-108" yWindow="-108" windowWidth="23256" windowHeight="12456" xr2:uid="{49898B02-0578-4CC3-87E4-149EA7F799E5}"/>
  </bookViews>
  <sheets>
    <sheet name="STUDY LOG" sheetId="4" r:id="rId1"/>
    <sheet name="DATA ANALYSIS" sheetId="8" r:id="rId2"/>
  </sheets>
  <definedNames>
    <definedName name="M">'STUDY LOG'!$T$18</definedName>
  </definedNames>
  <calcPr calcId="191029"/>
  <pivotCaches>
    <pivotCache cacheId="6" r:id="rId3"/>
    <pivotCache cacheId="3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0" i="8" l="1"/>
  <c r="I124" i="8"/>
  <c r="H124" i="8"/>
  <c r="I123" i="8"/>
  <c r="H123" i="8"/>
  <c r="I122" i="8"/>
  <c r="H122" i="8"/>
  <c r="I121" i="8"/>
  <c r="H121" i="8"/>
  <c r="H120" i="8"/>
  <c r="C2" i="4" l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F406" i="4"/>
  <c r="E407" i="4" s="1"/>
  <c r="F407" i="4" s="1"/>
  <c r="E408" i="4" s="1"/>
  <c r="F408" i="4" s="1"/>
  <c r="E409" i="4" s="1"/>
  <c r="F409" i="4" s="1"/>
  <c r="R15" i="4" l="1"/>
  <c r="E1074" i="4"/>
  <c r="D1075" i="4" s="1"/>
  <c r="E1075" i="4" s="1"/>
  <c r="D1076" i="4" s="1"/>
  <c r="E1076" i="4" s="1"/>
  <c r="D1077" i="4" s="1"/>
  <c r="E1077" i="4" s="1"/>
  <c r="R3" i="4"/>
  <c r="E1659" i="4"/>
  <c r="D1660" i="4" s="1"/>
  <c r="E1660" i="4" s="1"/>
  <c r="E1657" i="4"/>
  <c r="D1658" i="4" s="1"/>
  <c r="E1658" i="4" s="1"/>
  <c r="F1656" i="4"/>
  <c r="E1651" i="4"/>
  <c r="D1652" i="4" s="1"/>
  <c r="E1652" i="4" s="1"/>
  <c r="F1650" i="4"/>
  <c r="E1647" i="4"/>
  <c r="D1648" i="4" s="1"/>
  <c r="E1648" i="4" s="1"/>
  <c r="F1646" i="4"/>
  <c r="E1642" i="4"/>
  <c r="E1640" i="4"/>
  <c r="F1640" i="4" s="1"/>
  <c r="E1638" i="4"/>
  <c r="D1639" i="4" s="1"/>
  <c r="E1634" i="4"/>
  <c r="D1635" i="4" s="1"/>
  <c r="E1635" i="4" s="1"/>
  <c r="E1632" i="4"/>
  <c r="D1633" i="4" s="1"/>
  <c r="E1633" i="4" s="1"/>
  <c r="E1628" i="4"/>
  <c r="D1629" i="4" s="1"/>
  <c r="E1629" i="4" s="1"/>
  <c r="E1626" i="4"/>
  <c r="D1627" i="4" s="1"/>
  <c r="E1627" i="4" s="1"/>
  <c r="F1624" i="4"/>
  <c r="F1623" i="4"/>
  <c r="F1622" i="4"/>
  <c r="E1618" i="4"/>
  <c r="D1619" i="4" s="1"/>
  <c r="E1619" i="4" s="1"/>
  <c r="E1613" i="4"/>
  <c r="D1614" i="4" s="1"/>
  <c r="E1614" i="4" s="1"/>
  <c r="E1611" i="4"/>
  <c r="D1612" i="4" s="1"/>
  <c r="E1612" i="4" s="1"/>
  <c r="E1607" i="4"/>
  <c r="D1608" i="4" s="1"/>
  <c r="E1608" i="4" s="1"/>
  <c r="E1603" i="4"/>
  <c r="D1604" i="4" s="1"/>
  <c r="E1604" i="4" s="1"/>
  <c r="F1602" i="4"/>
  <c r="F1601" i="4"/>
  <c r="F1600" i="4"/>
  <c r="F1599" i="4"/>
  <c r="F1598" i="4"/>
  <c r="F1597" i="4"/>
  <c r="F1596" i="4"/>
  <c r="E1592" i="4"/>
  <c r="F1592" i="4" s="1"/>
  <c r="F1591" i="4"/>
  <c r="E1587" i="4"/>
  <c r="E1585" i="4"/>
  <c r="D1586" i="4" s="1"/>
  <c r="E1581" i="4"/>
  <c r="E1578" i="4"/>
  <c r="D1579" i="4" s="1"/>
  <c r="E1579" i="4" s="1"/>
  <c r="F1577" i="4"/>
  <c r="F1576" i="4"/>
  <c r="F1575" i="4"/>
  <c r="F1574" i="4"/>
  <c r="F1573" i="4"/>
  <c r="F1572" i="4"/>
  <c r="E1570" i="4"/>
  <c r="D1571" i="4" s="1"/>
  <c r="F1569" i="4"/>
  <c r="E1566" i="4"/>
  <c r="D1567" i="4" s="1"/>
  <c r="E1567" i="4" s="1"/>
  <c r="F1564" i="4"/>
  <c r="F1563" i="4"/>
  <c r="F1562" i="4"/>
  <c r="F1561" i="4"/>
  <c r="E1559" i="4"/>
  <c r="D1560" i="4" s="1"/>
  <c r="E1560" i="4" s="1"/>
  <c r="E1555" i="4"/>
  <c r="D1556" i="4" s="1"/>
  <c r="E1556" i="4" s="1"/>
  <c r="E1551" i="4"/>
  <c r="D1552" i="4" s="1"/>
  <c r="E1552" i="4" s="1"/>
  <c r="E1547" i="4"/>
  <c r="F1546" i="4"/>
  <c r="E1542" i="4"/>
  <c r="F1541" i="4"/>
  <c r="E1540" i="4"/>
  <c r="E1537" i="4"/>
  <c r="F1534" i="4"/>
  <c r="F1533" i="4"/>
  <c r="F1530" i="4"/>
  <c r="E1529" i="4"/>
  <c r="F1529" i="4" s="1"/>
  <c r="E1527" i="4"/>
  <c r="D1528" i="4" s="1"/>
  <c r="E1528" i="4" s="1"/>
  <c r="E1526" i="4"/>
  <c r="F1524" i="4"/>
  <c r="F1523" i="4"/>
  <c r="F1522" i="4"/>
  <c r="E1519" i="4"/>
  <c r="D1520" i="4" s="1"/>
  <c r="E1520" i="4" s="1"/>
  <c r="F1517" i="4"/>
  <c r="E1513" i="4"/>
  <c r="D1514" i="4" s="1"/>
  <c r="E1514" i="4" s="1"/>
  <c r="F1513" i="4"/>
  <c r="F1511" i="4"/>
  <c r="F1509" i="4"/>
  <c r="E1506" i="4"/>
  <c r="D1507" i="4" s="1"/>
  <c r="E1507" i="4" s="1"/>
  <c r="F1503" i="4"/>
  <c r="F1502" i="4"/>
  <c r="F1501" i="4"/>
  <c r="E1498" i="4"/>
  <c r="D1499" i="4" s="1"/>
  <c r="E1499" i="4" s="1"/>
  <c r="E1495" i="4"/>
  <c r="D1496" i="4" s="1"/>
  <c r="E1496" i="4" s="1"/>
  <c r="F1494" i="4"/>
  <c r="F1493" i="4"/>
  <c r="F1492" i="4"/>
  <c r="E1488" i="4"/>
  <c r="F1488" i="4" s="1"/>
  <c r="E1485" i="4"/>
  <c r="D1486" i="4" s="1"/>
  <c r="E1486" i="4" s="1"/>
  <c r="F1483" i="4"/>
  <c r="E1480" i="4"/>
  <c r="D1481" i="4" s="1"/>
  <c r="E1481" i="4" s="1"/>
  <c r="E1477" i="4"/>
  <c r="D1478" i="4" s="1"/>
  <c r="E1478" i="4" s="1"/>
  <c r="F1476" i="4"/>
  <c r="F1475" i="4"/>
  <c r="F1474" i="4"/>
  <c r="E1471" i="4"/>
  <c r="D1472" i="4" s="1"/>
  <c r="E1472" i="4" s="1"/>
  <c r="F1613" i="4" l="1"/>
  <c r="F1498" i="4"/>
  <c r="F1660" i="4"/>
  <c r="D1661" i="4"/>
  <c r="E1661" i="4" s="1"/>
  <c r="F1657" i="4"/>
  <c r="D1653" i="4"/>
  <c r="E1653" i="4" s="1"/>
  <c r="F1652" i="4"/>
  <c r="D1649" i="4"/>
  <c r="E1649" i="4" s="1"/>
  <c r="F1648" i="4"/>
  <c r="D1643" i="4"/>
  <c r="E1643" i="4" s="1"/>
  <c r="D1644" i="4" s="1"/>
  <c r="E1644" i="4" s="1"/>
  <c r="D1641" i="4"/>
  <c r="E1641" i="4" s="1"/>
  <c r="F1635" i="4"/>
  <c r="D1636" i="4"/>
  <c r="E1636" i="4" s="1"/>
  <c r="F1634" i="4"/>
  <c r="F1632" i="4"/>
  <c r="D1630" i="4"/>
  <c r="F1629" i="4"/>
  <c r="F1627" i="4"/>
  <c r="F1618" i="4"/>
  <c r="D1620" i="4"/>
  <c r="E1620" i="4" s="1"/>
  <c r="F1619" i="4"/>
  <c r="D1615" i="4"/>
  <c r="E1615" i="4" s="1"/>
  <c r="F1614" i="4"/>
  <c r="F1506" i="4"/>
  <c r="F1578" i="4"/>
  <c r="F1611" i="4"/>
  <c r="F1608" i="4"/>
  <c r="D1609" i="4"/>
  <c r="E1609" i="4" s="1"/>
  <c r="D1605" i="4"/>
  <c r="E1605" i="4" s="1"/>
  <c r="F1604" i="4"/>
  <c r="D1593" i="4"/>
  <c r="E1593" i="4" s="1"/>
  <c r="D1594" i="4" s="1"/>
  <c r="E1594" i="4" s="1"/>
  <c r="D1588" i="4"/>
  <c r="E1588" i="4" s="1"/>
  <c r="F1586" i="4"/>
  <c r="D1582" i="4"/>
  <c r="E1582" i="4" s="1"/>
  <c r="D1580" i="4"/>
  <c r="F1579" i="4"/>
  <c r="F1570" i="4"/>
  <c r="D1568" i="4"/>
  <c r="F1567" i="4"/>
  <c r="F1566" i="4"/>
  <c r="F1560" i="4"/>
  <c r="F1559" i="4"/>
  <c r="D1557" i="4"/>
  <c r="E1557" i="4" s="1"/>
  <c r="F1556" i="4"/>
  <c r="F1555" i="4"/>
  <c r="D1553" i="4"/>
  <c r="E1553" i="4" s="1"/>
  <c r="F1552" i="4"/>
  <c r="F1551" i="4"/>
  <c r="D1548" i="4"/>
  <c r="E1548" i="4" s="1"/>
  <c r="D1543" i="4"/>
  <c r="E1543" i="4" s="1"/>
  <c r="D1538" i="4"/>
  <c r="E1538" i="4" s="1"/>
  <c r="F1532" i="4"/>
  <c r="F1528" i="4"/>
  <c r="F1520" i="4"/>
  <c r="D1521" i="4"/>
  <c r="E1521" i="4" s="1"/>
  <c r="F1519" i="4"/>
  <c r="F1514" i="4"/>
  <c r="D1515" i="4"/>
  <c r="E1515" i="4" s="1"/>
  <c r="F1507" i="4"/>
  <c r="D1508" i="4"/>
  <c r="E1508" i="4" s="1"/>
  <c r="D1500" i="4"/>
  <c r="E1500" i="4" s="1"/>
  <c r="F1496" i="4"/>
  <c r="D1497" i="4"/>
  <c r="E1497" i="4" s="1"/>
  <c r="F1495" i="4"/>
  <c r="D1489" i="4"/>
  <c r="E1489" i="4" s="1"/>
  <c r="D1487" i="4"/>
  <c r="E1487" i="4" s="1"/>
  <c r="F1486" i="4"/>
  <c r="D1482" i="4"/>
  <c r="E1482" i="4" s="1"/>
  <c r="F1478" i="4"/>
  <c r="D1479" i="4"/>
  <c r="E1479" i="4" s="1"/>
  <c r="F1472" i="4"/>
  <c r="D1473" i="4"/>
  <c r="E1473" i="4" s="1"/>
  <c r="F1471" i="4"/>
  <c r="F1469" i="4"/>
  <c r="F1468" i="4"/>
  <c r="E1465" i="4"/>
  <c r="D1466" i="4" s="1"/>
  <c r="E1466" i="4" s="1"/>
  <c r="E1463" i="4"/>
  <c r="D1464" i="4" s="1"/>
  <c r="E1464" i="4" s="1"/>
  <c r="E1460" i="4"/>
  <c r="D1461" i="4" s="1"/>
  <c r="E1461" i="4" s="1"/>
  <c r="F1459" i="4"/>
  <c r="E1456" i="4"/>
  <c r="D1457" i="4" s="1"/>
  <c r="E1457" i="4" s="1"/>
  <c r="E1453" i="4"/>
  <c r="E1449" i="4"/>
  <c r="D1450" i="4" s="1"/>
  <c r="E1450" i="4" s="1"/>
  <c r="F1450" i="4" s="1"/>
  <c r="F1448" i="4"/>
  <c r="F1447" i="4"/>
  <c r="F1446" i="4"/>
  <c r="F1445" i="4"/>
  <c r="F1444" i="4"/>
  <c r="F1442" i="4"/>
  <c r="F1441" i="4"/>
  <c r="E1439" i="4"/>
  <c r="D1440" i="4" s="1"/>
  <c r="E1440" i="4" s="1"/>
  <c r="F1438" i="4"/>
  <c r="F1437" i="4"/>
  <c r="F1436" i="4"/>
  <c r="E1432" i="4"/>
  <c r="D1433" i="4" s="1"/>
  <c r="E1433" i="4" s="1"/>
  <c r="E1427" i="4"/>
  <c r="D1428" i="4" s="1"/>
  <c r="E1428" i="4" s="1"/>
  <c r="E1431" i="4"/>
  <c r="F1426" i="4"/>
  <c r="E1424" i="4"/>
  <c r="D1425" i="4" s="1"/>
  <c r="E1425" i="4" s="1"/>
  <c r="E1419" i="4"/>
  <c r="D1420" i="4" s="1"/>
  <c r="E1420" i="4" s="1"/>
  <c r="E1414" i="4"/>
  <c r="D1415" i="4" s="1"/>
  <c r="E1415" i="4" s="1"/>
  <c r="E1418" i="4"/>
  <c r="E1423" i="4"/>
  <c r="F1413" i="4"/>
  <c r="F1412" i="4"/>
  <c r="F1411" i="4"/>
  <c r="F1410" i="4"/>
  <c r="F1409" i="4"/>
  <c r="E1407" i="4"/>
  <c r="D1408" i="4" s="1"/>
  <c r="E1408" i="4" s="1"/>
  <c r="E1404" i="4"/>
  <c r="D1405" i="4" s="1"/>
  <c r="E1405" i="4" s="1"/>
  <c r="F1403" i="4"/>
  <c r="F1402" i="4"/>
  <c r="E1399" i="4"/>
  <c r="D1400" i="4" s="1"/>
  <c r="E1400" i="4" s="1"/>
  <c r="F1398" i="4"/>
  <c r="F1397" i="4"/>
  <c r="E1394" i="4"/>
  <c r="D1395" i="4" s="1"/>
  <c r="E1395" i="4" s="1"/>
  <c r="F1393" i="4"/>
  <c r="F1392" i="4"/>
  <c r="E1391" i="4"/>
  <c r="E1390" i="4"/>
  <c r="E1385" i="4"/>
  <c r="F1385" i="4" s="1"/>
  <c r="E1389" i="4"/>
  <c r="E1382" i="4"/>
  <c r="D1383" i="4" s="1"/>
  <c r="E1383" i="4" s="1"/>
  <c r="E1378" i="4"/>
  <c r="D1379" i="4" s="1"/>
  <c r="E1379" i="4" s="1"/>
  <c r="E1373" i="4"/>
  <c r="D1374" i="4" s="1"/>
  <c r="E1374" i="4" s="1"/>
  <c r="E1368" i="4"/>
  <c r="D1369" i="4" s="1"/>
  <c r="E1369" i="4" s="1"/>
  <c r="E1372" i="4"/>
  <c r="E1377" i="4"/>
  <c r="E1366" i="4"/>
  <c r="D1367" i="4" s="1"/>
  <c r="E1367" i="4" s="1"/>
  <c r="E1361" i="4"/>
  <c r="D1362" i="4" s="1"/>
  <c r="E1362" i="4" s="1"/>
  <c r="E1365" i="4"/>
  <c r="F1360" i="4"/>
  <c r="F1359" i="4"/>
  <c r="F1358" i="4"/>
  <c r="E1354" i="4"/>
  <c r="E1350" i="4"/>
  <c r="D1351" i="4" s="1"/>
  <c r="E1351" i="4" s="1"/>
  <c r="D1352" i="4" s="1"/>
  <c r="E1346" i="4"/>
  <c r="D1347" i="4" s="1"/>
  <c r="E1347" i="4" s="1"/>
  <c r="F1345" i="4"/>
  <c r="E1343" i="4"/>
  <c r="D1344" i="4" s="1"/>
  <c r="E1344" i="4" s="1"/>
  <c r="E1338" i="4"/>
  <c r="D1339" i="4" s="1"/>
  <c r="E1339" i="4" s="1"/>
  <c r="E1333" i="4"/>
  <c r="D1334" i="4" s="1"/>
  <c r="E1334" i="4" s="1"/>
  <c r="E1337" i="4"/>
  <c r="E1342" i="4"/>
  <c r="F1332" i="4"/>
  <c r="F1331" i="4"/>
  <c r="E1328" i="4"/>
  <c r="D1329" i="4" s="1"/>
  <c r="E1329" i="4" s="1"/>
  <c r="E1326" i="4"/>
  <c r="D1327" i="4" s="1"/>
  <c r="E1321" i="4"/>
  <c r="D1322" i="4" s="1"/>
  <c r="E1322" i="4" s="1"/>
  <c r="E1325" i="4"/>
  <c r="E1317" i="4"/>
  <c r="D1318" i="4" s="1"/>
  <c r="E1318" i="4" s="1"/>
  <c r="F1316" i="4"/>
  <c r="E1312" i="4"/>
  <c r="D1313" i="4" s="1"/>
  <c r="E1313" i="4" s="1"/>
  <c r="F1311" i="4"/>
  <c r="F1310" i="4"/>
  <c r="F1308" i="4"/>
  <c r="F1307" i="4"/>
  <c r="F1306" i="4"/>
  <c r="F1305" i="4"/>
  <c r="F1304" i="4"/>
  <c r="F1303" i="4"/>
  <c r="F1302" i="4"/>
  <c r="F1301" i="4"/>
  <c r="F1300" i="4"/>
  <c r="E1297" i="4"/>
  <c r="D1298" i="4" s="1"/>
  <c r="E1298" i="4" s="1"/>
  <c r="F1296" i="4"/>
  <c r="F1295" i="4"/>
  <c r="F1293" i="4"/>
  <c r="F1292" i="4"/>
  <c r="F1291" i="4"/>
  <c r="F1290" i="4"/>
  <c r="F1289" i="4"/>
  <c r="F1288" i="4"/>
  <c r="E1285" i="4"/>
  <c r="F1285" i="4" s="1"/>
  <c r="E1281" i="4"/>
  <c r="D1282" i="4" s="1"/>
  <c r="E1282" i="4" s="1"/>
  <c r="F1280" i="4"/>
  <c r="F1279" i="4"/>
  <c r="F1278" i="4"/>
  <c r="E1276" i="4"/>
  <c r="D1277" i="4" s="1"/>
  <c r="F1275" i="4"/>
  <c r="F1274" i="4"/>
  <c r="E1269" i="4"/>
  <c r="D1270" i="4" s="1"/>
  <c r="E1270" i="4" s="1"/>
  <c r="E1273" i="4"/>
  <c r="F1268" i="4"/>
  <c r="E1264" i="4"/>
  <c r="D1265" i="4" s="1"/>
  <c r="E1265" i="4" s="1"/>
  <c r="E1260" i="4"/>
  <c r="F1260" i="4" s="1"/>
  <c r="E1259" i="4"/>
  <c r="F1259" i="4" s="1"/>
  <c r="F1258" i="4"/>
  <c r="F1257" i="4"/>
  <c r="F1256" i="4"/>
  <c r="E1255" i="4"/>
  <c r="F1255" i="4" s="1"/>
  <c r="F1254" i="4"/>
  <c r="F1253" i="4"/>
  <c r="F1252" i="4"/>
  <c r="F1251" i="4"/>
  <c r="F1250" i="4"/>
  <c r="E1248" i="4"/>
  <c r="F1248" i="4" s="1"/>
  <c r="E1244" i="4"/>
  <c r="D1245" i="4" s="1"/>
  <c r="E1245" i="4" s="1"/>
  <c r="E1239" i="4"/>
  <c r="D1240" i="4" s="1"/>
  <c r="E1240" i="4" s="1"/>
  <c r="E1243" i="4"/>
  <c r="E1238" i="4"/>
  <c r="E1235" i="4"/>
  <c r="D1236" i="4" s="1"/>
  <c r="E1236" i="4" s="1"/>
  <c r="E1230" i="4"/>
  <c r="D1231" i="4" s="1"/>
  <c r="E1231" i="4" s="1"/>
  <c r="E1234" i="4"/>
  <c r="E1226" i="4"/>
  <c r="D1227" i="4" s="1"/>
  <c r="E1227" i="4" s="1"/>
  <c r="E1221" i="4"/>
  <c r="D1222" i="4" s="1"/>
  <c r="E1222" i="4" s="1"/>
  <c r="E1225" i="4"/>
  <c r="E1220" i="4"/>
  <c r="F1219" i="4"/>
  <c r="E1218" i="4"/>
  <c r="E1213" i="4"/>
  <c r="D1214" i="4" s="1"/>
  <c r="E1214" i="4" s="1"/>
  <c r="E1217" i="4"/>
  <c r="F1212" i="4"/>
  <c r="F1211" i="4"/>
  <c r="F1210" i="4"/>
  <c r="F1209" i="4"/>
  <c r="F1208" i="4"/>
  <c r="F1207" i="4"/>
  <c r="F1206" i="4"/>
  <c r="F1205" i="4"/>
  <c r="F1204" i="4"/>
  <c r="F1203" i="4"/>
  <c r="F1202" i="4"/>
  <c r="E1199" i="4"/>
  <c r="D1200" i="4" s="1"/>
  <c r="E1200" i="4" s="1"/>
  <c r="E1194" i="4"/>
  <c r="D1195" i="4" s="1"/>
  <c r="E1195" i="4" s="1"/>
  <c r="E1189" i="4"/>
  <c r="D1190" i="4" s="1"/>
  <c r="E1190" i="4" s="1"/>
  <c r="E1193" i="4"/>
  <c r="F1188" i="4"/>
  <c r="F1187" i="4"/>
  <c r="E1183" i="4"/>
  <c r="D1184" i="4" s="1"/>
  <c r="E1184" i="4" s="1"/>
  <c r="F1182" i="4"/>
  <c r="E1178" i="4"/>
  <c r="D1179" i="4" s="1"/>
  <c r="E1179" i="4" s="1"/>
  <c r="E1173" i="4"/>
  <c r="F1173" i="4" s="1"/>
  <c r="E1177" i="4"/>
  <c r="F1172" i="4"/>
  <c r="F1171" i="4"/>
  <c r="F1170" i="4"/>
  <c r="F1169" i="4"/>
  <c r="F1168" i="4"/>
  <c r="E1167" i="4"/>
  <c r="F1166" i="4"/>
  <c r="F1165" i="4"/>
  <c r="F1164" i="4"/>
  <c r="F1163" i="4"/>
  <c r="F1162" i="4"/>
  <c r="F1161" i="4"/>
  <c r="F1160" i="4"/>
  <c r="F1159" i="4"/>
  <c r="F1158" i="4"/>
  <c r="F1157" i="4"/>
  <c r="F1156" i="4"/>
  <c r="F1155" i="4"/>
  <c r="F1154" i="4"/>
  <c r="F1153" i="4"/>
  <c r="E1150" i="4"/>
  <c r="F1150" i="4" s="1"/>
  <c r="D1355" i="4" l="1"/>
  <c r="E1355" i="4" s="1"/>
  <c r="F1407" i="4"/>
  <c r="F1338" i="4"/>
  <c r="D1662" i="4"/>
  <c r="E1662" i="4" s="1"/>
  <c r="D1654" i="4"/>
  <c r="E1654" i="4" s="1"/>
  <c r="F1654" i="4" s="1"/>
  <c r="F1653" i="4"/>
  <c r="D1645" i="4"/>
  <c r="E1645" i="4" s="1"/>
  <c r="F1644" i="4"/>
  <c r="F1641" i="4"/>
  <c r="D1637" i="4"/>
  <c r="E1637" i="4" s="1"/>
  <c r="D1621" i="4"/>
  <c r="E1621" i="4" s="1"/>
  <c r="F1620" i="4"/>
  <c r="D1616" i="4"/>
  <c r="E1616" i="4" s="1"/>
  <c r="F1616" i="4" s="1"/>
  <c r="F1615" i="4"/>
  <c r="D1610" i="4"/>
  <c r="E1610" i="4" s="1"/>
  <c r="F1610" i="4" s="1"/>
  <c r="D1606" i="4"/>
  <c r="E1606" i="4" s="1"/>
  <c r="F1606" i="4" s="1"/>
  <c r="F1605" i="4"/>
  <c r="F1593" i="4"/>
  <c r="D1595" i="4"/>
  <c r="E1595" i="4" s="1"/>
  <c r="F1594" i="4"/>
  <c r="D1589" i="4"/>
  <c r="E1589" i="4" s="1"/>
  <c r="F1588" i="4"/>
  <c r="D1583" i="4"/>
  <c r="E1583" i="4" s="1"/>
  <c r="F1580" i="4"/>
  <c r="D1558" i="4"/>
  <c r="F1558" i="4" s="1"/>
  <c r="F1557" i="4"/>
  <c r="D1554" i="4"/>
  <c r="E1554" i="4" s="1"/>
  <c r="F1554" i="4" s="1"/>
  <c r="F1553" i="4"/>
  <c r="F1548" i="4"/>
  <c r="D1549" i="4"/>
  <c r="E1549" i="4" s="1"/>
  <c r="D1544" i="4"/>
  <c r="E1544" i="4" s="1"/>
  <c r="F1543" i="4"/>
  <c r="F1521" i="4"/>
  <c r="F1515" i="4"/>
  <c r="F1497" i="4"/>
  <c r="D1490" i="4"/>
  <c r="E1490" i="4" s="1"/>
  <c r="F1487" i="4"/>
  <c r="F1482" i="4"/>
  <c r="F1479" i="4"/>
  <c r="F1466" i="4"/>
  <c r="D1467" i="4"/>
  <c r="E1467" i="4" s="1"/>
  <c r="F1460" i="4"/>
  <c r="D1462" i="4"/>
  <c r="E1462" i="4" s="1"/>
  <c r="F1457" i="4"/>
  <c r="D1458" i="4"/>
  <c r="E1458" i="4" s="1"/>
  <c r="F1456" i="4"/>
  <c r="D1454" i="4"/>
  <c r="E1454" i="4" s="1"/>
  <c r="D1455" i="4" s="1"/>
  <c r="E1455" i="4" s="1"/>
  <c r="D1451" i="4"/>
  <c r="E1451" i="4" s="1"/>
  <c r="F1451" i="4" s="1"/>
  <c r="D1249" i="4"/>
  <c r="E1249" i="4" s="1"/>
  <c r="F1249" i="4" s="1"/>
  <c r="F1439" i="4"/>
  <c r="D1434" i="4"/>
  <c r="E1434" i="4" s="1"/>
  <c r="F1432" i="4"/>
  <c r="F1428" i="4"/>
  <c r="D1429" i="4"/>
  <c r="E1429" i="4" s="1"/>
  <c r="F1427" i="4"/>
  <c r="F1424" i="4"/>
  <c r="D1421" i="4"/>
  <c r="E1421" i="4" s="1"/>
  <c r="F1420" i="4"/>
  <c r="F1415" i="4"/>
  <c r="D1416" i="4"/>
  <c r="E1416" i="4" s="1"/>
  <c r="F1414" i="4"/>
  <c r="F1404" i="4"/>
  <c r="F1399" i="4"/>
  <c r="D1401" i="4"/>
  <c r="E1401" i="4" s="1"/>
  <c r="F1394" i="4"/>
  <c r="F1395" i="4"/>
  <c r="D1396" i="4"/>
  <c r="E1396" i="4" s="1"/>
  <c r="D1386" i="4"/>
  <c r="E1386" i="4" s="1"/>
  <c r="F1383" i="4"/>
  <c r="D1384" i="4"/>
  <c r="F1382" i="4"/>
  <c r="F1350" i="4"/>
  <c r="D1380" i="4"/>
  <c r="E1380" i="4" s="1"/>
  <c r="F1379" i="4"/>
  <c r="F1378" i="4"/>
  <c r="F1373" i="4"/>
  <c r="D1375" i="4"/>
  <c r="E1375" i="4" s="1"/>
  <c r="F1374" i="4"/>
  <c r="F1369" i="4"/>
  <c r="D1370" i="4"/>
  <c r="E1370" i="4" s="1"/>
  <c r="F1368" i="4"/>
  <c r="F1367" i="4"/>
  <c r="F1366" i="4"/>
  <c r="F1362" i="4"/>
  <c r="D1363" i="4"/>
  <c r="E1363" i="4" s="1"/>
  <c r="F1361" i="4"/>
  <c r="F1354" i="4"/>
  <c r="F1352" i="4"/>
  <c r="F1351" i="4"/>
  <c r="D1348" i="4"/>
  <c r="E1348" i="4" s="1"/>
  <c r="F1347" i="4"/>
  <c r="F1346" i="4"/>
  <c r="F1344" i="4"/>
  <c r="D1340" i="4"/>
  <c r="E1340" i="4" s="1"/>
  <c r="F1339" i="4"/>
  <c r="F1334" i="4"/>
  <c r="D1335" i="4"/>
  <c r="E1335" i="4" s="1"/>
  <c r="F1333" i="4"/>
  <c r="F1328" i="4"/>
  <c r="F1329" i="4"/>
  <c r="D1330" i="4"/>
  <c r="F1326" i="4"/>
  <c r="F1322" i="4"/>
  <c r="D1323" i="4"/>
  <c r="E1323" i="4" s="1"/>
  <c r="D1319" i="4"/>
  <c r="F1318" i="4"/>
  <c r="F1317" i="4"/>
  <c r="D1314" i="4"/>
  <c r="E1314" i="4" s="1"/>
  <c r="F1313" i="4"/>
  <c r="F1312" i="4"/>
  <c r="F1297" i="4"/>
  <c r="F1298" i="4"/>
  <c r="D1299" i="4"/>
  <c r="E1299" i="4" s="1"/>
  <c r="D1286" i="4"/>
  <c r="E1286" i="4" s="1"/>
  <c r="D1151" i="4"/>
  <c r="E1151" i="4" s="1"/>
  <c r="F1151" i="4" s="1"/>
  <c r="D1283" i="4"/>
  <c r="E1283" i="4" s="1"/>
  <c r="F1282" i="4"/>
  <c r="F1281" i="4"/>
  <c r="F1276" i="4"/>
  <c r="F1277" i="4"/>
  <c r="F1270" i="4"/>
  <c r="D1271" i="4"/>
  <c r="E1271" i="4" s="1"/>
  <c r="F1269" i="4"/>
  <c r="F1265" i="4"/>
  <c r="D1266" i="4"/>
  <c r="E1266" i="4" s="1"/>
  <c r="F1264" i="4"/>
  <c r="D1261" i="4"/>
  <c r="E1261" i="4" s="1"/>
  <c r="D1246" i="4"/>
  <c r="E1246" i="4" s="1"/>
  <c r="F1245" i="4"/>
  <c r="F1244" i="4"/>
  <c r="D1241" i="4"/>
  <c r="E1241" i="4" s="1"/>
  <c r="F1239" i="4"/>
  <c r="D1237" i="4"/>
  <c r="E1237" i="4" s="1"/>
  <c r="F1236" i="4"/>
  <c r="F1235" i="4"/>
  <c r="F1231" i="4"/>
  <c r="D1232" i="4"/>
  <c r="E1232" i="4" s="1"/>
  <c r="D1228" i="4"/>
  <c r="E1228" i="4" s="1"/>
  <c r="F1227" i="4"/>
  <c r="F1226" i="4"/>
  <c r="D1223" i="4"/>
  <c r="E1223" i="4" s="1"/>
  <c r="F1222" i="4"/>
  <c r="F1221" i="4"/>
  <c r="F1220" i="4"/>
  <c r="F1214" i="4"/>
  <c r="D1215" i="4"/>
  <c r="E1215" i="4" s="1"/>
  <c r="F1213" i="4"/>
  <c r="D1201" i="4"/>
  <c r="E1201" i="4" s="1"/>
  <c r="D1196" i="4"/>
  <c r="E1196" i="4" s="1"/>
  <c r="F1195" i="4"/>
  <c r="F1194" i="4"/>
  <c r="D1191" i="4"/>
  <c r="E1191" i="4" s="1"/>
  <c r="F1190" i="4"/>
  <c r="F1189" i="4"/>
  <c r="D1185" i="4"/>
  <c r="E1185" i="4" s="1"/>
  <c r="F1184" i="4"/>
  <c r="F1183" i="4"/>
  <c r="D1180" i="4"/>
  <c r="E1180" i="4" s="1"/>
  <c r="F1179" i="4"/>
  <c r="F1178" i="4"/>
  <c r="D1174" i="4"/>
  <c r="E1174" i="4" s="1"/>
  <c r="D1356" i="4" l="1"/>
  <c r="E1356" i="4" s="1"/>
  <c r="D1357" i="4" s="1"/>
  <c r="F1357" i="4" s="1"/>
  <c r="F1355" i="4"/>
  <c r="F1454" i="4"/>
  <c r="D1584" i="4"/>
  <c r="E1584" i="4" s="1"/>
  <c r="D1550" i="4"/>
  <c r="F1550" i="4" s="1"/>
  <c r="F1549" i="4"/>
  <c r="D1545" i="4"/>
  <c r="E1545" i="4" s="1"/>
  <c r="F1545" i="4" s="1"/>
  <c r="D1491" i="4"/>
  <c r="E1491" i="4" s="1"/>
  <c r="F1490" i="4"/>
  <c r="F1462" i="4"/>
  <c r="D1435" i="4"/>
  <c r="E1435" i="4" s="1"/>
  <c r="F1435" i="4" s="1"/>
  <c r="F1434" i="4"/>
  <c r="D1430" i="4"/>
  <c r="E1430" i="4" s="1"/>
  <c r="F1429" i="4"/>
  <c r="D1422" i="4"/>
  <c r="E1422" i="4" s="1"/>
  <c r="F1422" i="4" s="1"/>
  <c r="F1421" i="4"/>
  <c r="D1417" i="4"/>
  <c r="E1417" i="4" s="1"/>
  <c r="F1416" i="4"/>
  <c r="F1396" i="4"/>
  <c r="F1386" i="4"/>
  <c r="D1387" i="4"/>
  <c r="E1387" i="4" s="1"/>
  <c r="D1381" i="4"/>
  <c r="E1381" i="4" s="1"/>
  <c r="F1380" i="4"/>
  <c r="D1376" i="4"/>
  <c r="E1376" i="4" s="1"/>
  <c r="F1375" i="4"/>
  <c r="D1371" i="4"/>
  <c r="E1371" i="4" s="1"/>
  <c r="F1370" i="4"/>
  <c r="D1364" i="4"/>
  <c r="E1364" i="4" s="1"/>
  <c r="F1364" i="4" s="1"/>
  <c r="F1363" i="4"/>
  <c r="D1349" i="4"/>
  <c r="F1349" i="4" s="1"/>
  <c r="F1348" i="4"/>
  <c r="D1341" i="4"/>
  <c r="E1341" i="4" s="1"/>
  <c r="F1341" i="4" s="1"/>
  <c r="F1340" i="4"/>
  <c r="D1336" i="4"/>
  <c r="E1336" i="4" s="1"/>
  <c r="F1336" i="4" s="1"/>
  <c r="F1335" i="4"/>
  <c r="F1330" i="4"/>
  <c r="D1324" i="4"/>
  <c r="E1324" i="4" s="1"/>
  <c r="F1324" i="4" s="1"/>
  <c r="F1323" i="4"/>
  <c r="D1315" i="4"/>
  <c r="F1299" i="4"/>
  <c r="D1287" i="4"/>
  <c r="E1287" i="4" s="1"/>
  <c r="F1286" i="4"/>
  <c r="D1152" i="4"/>
  <c r="E1152" i="4" s="1"/>
  <c r="F1152" i="4" s="1"/>
  <c r="D1284" i="4"/>
  <c r="F1284" i="4" s="1"/>
  <c r="F1283" i="4"/>
  <c r="D1272" i="4"/>
  <c r="E1272" i="4" s="1"/>
  <c r="F1272" i="4" s="1"/>
  <c r="F1271" i="4"/>
  <c r="D1267" i="4"/>
  <c r="E1267" i="4" s="1"/>
  <c r="F1267" i="4" s="1"/>
  <c r="F1266" i="4"/>
  <c r="F1261" i="4"/>
  <c r="D1262" i="4"/>
  <c r="E1262" i="4" s="1"/>
  <c r="F1246" i="4"/>
  <c r="D1247" i="4"/>
  <c r="E1247" i="4" s="1"/>
  <c r="D1242" i="4"/>
  <c r="E1242" i="4" s="1"/>
  <c r="F1242" i="4" s="1"/>
  <c r="F1237" i="4"/>
  <c r="D1233" i="4"/>
  <c r="E1233" i="4" s="1"/>
  <c r="F1232" i="4"/>
  <c r="D1229" i="4"/>
  <c r="F1229" i="4" s="1"/>
  <c r="F1228" i="4"/>
  <c r="D1224" i="4"/>
  <c r="E1224" i="4" s="1"/>
  <c r="F1224" i="4" s="1"/>
  <c r="F1223" i="4"/>
  <c r="D1216" i="4"/>
  <c r="E1216" i="4" s="1"/>
  <c r="F1215" i="4"/>
  <c r="F1201" i="4"/>
  <c r="D1197" i="4"/>
  <c r="E1197" i="4" s="1"/>
  <c r="F1196" i="4"/>
  <c r="D1192" i="4"/>
  <c r="E1192" i="4" s="1"/>
  <c r="F1192" i="4" s="1"/>
  <c r="F1191" i="4"/>
  <c r="D1186" i="4"/>
  <c r="E1186" i="4" s="1"/>
  <c r="F1186" i="4" s="1"/>
  <c r="F1185" i="4"/>
  <c r="D1181" i="4"/>
  <c r="E1181" i="4" s="1"/>
  <c r="F1181" i="4" s="1"/>
  <c r="F1180" i="4"/>
  <c r="F1174" i="4"/>
  <c r="D1175" i="4"/>
  <c r="E1175" i="4" s="1"/>
  <c r="D1176" i="4" s="1"/>
  <c r="E1148" i="4"/>
  <c r="D1149" i="4" s="1"/>
  <c r="E1149" i="4" s="1"/>
  <c r="E1144" i="4"/>
  <c r="D1145" i="4" s="1"/>
  <c r="E1145" i="4" s="1"/>
  <c r="F1143" i="4"/>
  <c r="F1142" i="4"/>
  <c r="F1140" i="4"/>
  <c r="F1139" i="4"/>
  <c r="E1136" i="4"/>
  <c r="D1137" i="4" s="1"/>
  <c r="E1137" i="4" s="1"/>
  <c r="F1135" i="4"/>
  <c r="F1134" i="4"/>
  <c r="F1133" i="4"/>
  <c r="F1132" i="4"/>
  <c r="F1131" i="4"/>
  <c r="E1129" i="4"/>
  <c r="D1130" i="4" s="1"/>
  <c r="E1130" i="4" s="1"/>
  <c r="E1124" i="4"/>
  <c r="D1125" i="4" s="1"/>
  <c r="E1125" i="4" s="1"/>
  <c r="E1128" i="4"/>
  <c r="F1122" i="4"/>
  <c r="F1121" i="4"/>
  <c r="F1120" i="4"/>
  <c r="F1119" i="4"/>
  <c r="F1118" i="4"/>
  <c r="F1117" i="4"/>
  <c r="F1116" i="4"/>
  <c r="F1115" i="4"/>
  <c r="F1114" i="4"/>
  <c r="F1113" i="4"/>
  <c r="F1112" i="4"/>
  <c r="E1107" i="4"/>
  <c r="D1108" i="4" s="1"/>
  <c r="E1108" i="4" s="1"/>
  <c r="F1105" i="4"/>
  <c r="F1104" i="4"/>
  <c r="F1103" i="4"/>
  <c r="F1102" i="4"/>
  <c r="F1101" i="4"/>
  <c r="F1100" i="4"/>
  <c r="F1099" i="4"/>
  <c r="F1098" i="4"/>
  <c r="F1097" i="4"/>
  <c r="F1096" i="4"/>
  <c r="E1093" i="4"/>
  <c r="D1094" i="4" s="1"/>
  <c r="E1094" i="4" s="1"/>
  <c r="E1088" i="4"/>
  <c r="D1089" i="4" s="1"/>
  <c r="E1089" i="4" s="1"/>
  <c r="F1087" i="4"/>
  <c r="F1086" i="4"/>
  <c r="F1085" i="4"/>
  <c r="F1084" i="4"/>
  <c r="F1083" i="4"/>
  <c r="F1081" i="4"/>
  <c r="F1080" i="4"/>
  <c r="F1075" i="4"/>
  <c r="F1074" i="4"/>
  <c r="F1073" i="4"/>
  <c r="E1072" i="4"/>
  <c r="F1071" i="4"/>
  <c r="F1070" i="4"/>
  <c r="F1069" i="4"/>
  <c r="F1068" i="4"/>
  <c r="F1067" i="4"/>
  <c r="E1066" i="4"/>
  <c r="F1066" i="4" s="1"/>
  <c r="E1062" i="4"/>
  <c r="D1063" i="4" s="1"/>
  <c r="E1063" i="4" s="1"/>
  <c r="E1058" i="4"/>
  <c r="D1059" i="4" s="1"/>
  <c r="E1059" i="4" s="1"/>
  <c r="E1053" i="4"/>
  <c r="F1053" i="4" s="1"/>
  <c r="E1057" i="4"/>
  <c r="E1049" i="4"/>
  <c r="D1050" i="4" s="1"/>
  <c r="E1050" i="4" s="1"/>
  <c r="E1044" i="4"/>
  <c r="F1044" i="4" s="1"/>
  <c r="F1043" i="4"/>
  <c r="E1039" i="4"/>
  <c r="D1040" i="4" s="1"/>
  <c r="E1040" i="4" s="1"/>
  <c r="F1038" i="4"/>
  <c r="F1037" i="4"/>
  <c r="F1036" i="4"/>
  <c r="F1356" i="4" l="1"/>
  <c r="D1388" i="4"/>
  <c r="E1388" i="4" s="1"/>
  <c r="F1387" i="4"/>
  <c r="D1263" i="4"/>
  <c r="F1262" i="4"/>
  <c r="F1175" i="4"/>
  <c r="E1176" i="4"/>
  <c r="F1124" i="4"/>
  <c r="F1148" i="4"/>
  <c r="F1149" i="4"/>
  <c r="F1144" i="4"/>
  <c r="F1145" i="4"/>
  <c r="D1146" i="4"/>
  <c r="E1146" i="4" s="1"/>
  <c r="D1138" i="4"/>
  <c r="E1138" i="4" s="1"/>
  <c r="F1136" i="4"/>
  <c r="F1129" i="4"/>
  <c r="F1125" i="4"/>
  <c r="D1126" i="4"/>
  <c r="E1126" i="4" s="1"/>
  <c r="F1108" i="4"/>
  <c r="D1109" i="4"/>
  <c r="E1109" i="4" s="1"/>
  <c r="D1095" i="4"/>
  <c r="E1095" i="4" s="1"/>
  <c r="F1094" i="4"/>
  <c r="F1093" i="4"/>
  <c r="F1088" i="4"/>
  <c r="F1089" i="4"/>
  <c r="D1090" i="4"/>
  <c r="E1090" i="4" s="1"/>
  <c r="F1077" i="4"/>
  <c r="D1078" i="4"/>
  <c r="E1078" i="4" s="1"/>
  <c r="F1076" i="4"/>
  <c r="F1062" i="4"/>
  <c r="F1063" i="4"/>
  <c r="D1064" i="4"/>
  <c r="E1064" i="4" s="1"/>
  <c r="D1060" i="4"/>
  <c r="E1060" i="4" s="1"/>
  <c r="F1059" i="4"/>
  <c r="F1058" i="4"/>
  <c r="D1054" i="4"/>
  <c r="E1054" i="4" s="1"/>
  <c r="D1051" i="4"/>
  <c r="E1051" i="4" s="1"/>
  <c r="F1049" i="4"/>
  <c r="D1045" i="4"/>
  <c r="E1045" i="4" s="1"/>
  <c r="F1045" i="4" s="1"/>
  <c r="D1041" i="4"/>
  <c r="E1041" i="4" s="1"/>
  <c r="F1040" i="4"/>
  <c r="F1039" i="4"/>
  <c r="F1034" i="4"/>
  <c r="F1032" i="4"/>
  <c r="F1031" i="4"/>
  <c r="F1030" i="4"/>
  <c r="F1029" i="4"/>
  <c r="F1028" i="4"/>
  <c r="F1027" i="4"/>
  <c r="F1026" i="4"/>
  <c r="F1025" i="4"/>
  <c r="F1024" i="4"/>
  <c r="E1020" i="4"/>
  <c r="F1020" i="4" s="1"/>
  <c r="F1019" i="4"/>
  <c r="E1016" i="4"/>
  <c r="D1017" i="4" s="1"/>
  <c r="E1017" i="4" s="1"/>
  <c r="E1011" i="4"/>
  <c r="F1011" i="4" s="1"/>
  <c r="F1010" i="4"/>
  <c r="F1009" i="4"/>
  <c r="F1008" i="4"/>
  <c r="E1004" i="4"/>
  <c r="F1004" i="4" s="1"/>
  <c r="F1003" i="4"/>
  <c r="F1002" i="4"/>
  <c r="F1000" i="4"/>
  <c r="F999" i="4"/>
  <c r="F997" i="4"/>
  <c r="F996" i="4"/>
  <c r="F995" i="4"/>
  <c r="F994" i="4"/>
  <c r="F993" i="4"/>
  <c r="F992" i="4"/>
  <c r="F991" i="4"/>
  <c r="E987" i="4"/>
  <c r="D988" i="4" s="1"/>
  <c r="E988" i="4" s="1"/>
  <c r="F986" i="4"/>
  <c r="F985" i="4"/>
  <c r="F984" i="4"/>
  <c r="F983" i="4"/>
  <c r="F982" i="4"/>
  <c r="F981" i="4"/>
  <c r="F980" i="4"/>
  <c r="F979" i="4"/>
  <c r="F978" i="4"/>
  <c r="F977" i="4"/>
  <c r="E976" i="4"/>
  <c r="E973" i="4"/>
  <c r="F974" i="4"/>
  <c r="E969" i="4"/>
  <c r="F969" i="4" s="1"/>
  <c r="E964" i="4"/>
  <c r="D965" i="4" s="1"/>
  <c r="E965" i="4" s="1"/>
  <c r="F963" i="4"/>
  <c r="E959" i="4"/>
  <c r="D960" i="4" s="1"/>
  <c r="E960" i="4" s="1"/>
  <c r="D961" i="4" s="1"/>
  <c r="E961" i="4" s="1"/>
  <c r="F958" i="4"/>
  <c r="E955" i="4"/>
  <c r="F954" i="4"/>
  <c r="F953" i="4"/>
  <c r="E951" i="4"/>
  <c r="E946" i="4"/>
  <c r="D947" i="4" s="1"/>
  <c r="E947" i="4" s="1"/>
  <c r="E941" i="4"/>
  <c r="D942" i="4" s="1"/>
  <c r="E942" i="4" s="1"/>
  <c r="E945" i="4"/>
  <c r="F940" i="4"/>
  <c r="E936" i="4"/>
  <c r="D937" i="4" s="1"/>
  <c r="E937" i="4" s="1"/>
  <c r="F935" i="4"/>
  <c r="F934" i="4"/>
  <c r="F933" i="4"/>
  <c r="F932" i="4"/>
  <c r="F931" i="4"/>
  <c r="F930" i="4"/>
  <c r="F929" i="4"/>
  <c r="F928" i="4"/>
  <c r="E927" i="4"/>
  <c r="E921" i="4"/>
  <c r="D922" i="4" s="1"/>
  <c r="E922" i="4" s="1"/>
  <c r="E918" i="4"/>
  <c r="D919" i="4" s="1"/>
  <c r="E919" i="4" s="1"/>
  <c r="F917" i="4"/>
  <c r="E916" i="4"/>
  <c r="F915" i="4"/>
  <c r="F914" i="4"/>
  <c r="F913" i="4"/>
  <c r="E911" i="4"/>
  <c r="D912" i="4" s="1"/>
  <c r="E912" i="4" s="1"/>
  <c r="F910" i="4"/>
  <c r="F909" i="4"/>
  <c r="F908" i="4"/>
  <c r="F907" i="4"/>
  <c r="F906" i="4"/>
  <c r="F905" i="4"/>
  <c r="F904" i="4"/>
  <c r="F903" i="4"/>
  <c r="F902" i="4"/>
  <c r="F901" i="4"/>
  <c r="F900" i="4"/>
  <c r="F899" i="4"/>
  <c r="F898" i="4"/>
  <c r="F897" i="4"/>
  <c r="E895" i="4"/>
  <c r="F895" i="4" s="1"/>
  <c r="E891" i="4"/>
  <c r="D892" i="4" s="1"/>
  <c r="E892" i="4" s="1"/>
  <c r="E887" i="4"/>
  <c r="D888" i="4" s="1"/>
  <c r="E888" i="4" s="1"/>
  <c r="F886" i="4"/>
  <c r="F885" i="4"/>
  <c r="F884" i="4"/>
  <c r="E880" i="4"/>
  <c r="D881" i="4" s="1"/>
  <c r="E881" i="4" s="1"/>
  <c r="E875" i="4"/>
  <c r="D876" i="4" s="1"/>
  <c r="E876" i="4" s="1"/>
  <c r="E879" i="4"/>
  <c r="E871" i="4"/>
  <c r="D872" i="4" s="1"/>
  <c r="E872" i="4" s="1"/>
  <c r="E866" i="4"/>
  <c r="D867" i="4" s="1"/>
  <c r="E867" i="4" s="1"/>
  <c r="E870" i="4"/>
  <c r="F865" i="4"/>
  <c r="F864" i="4"/>
  <c r="F863" i="4"/>
  <c r="E862" i="4"/>
  <c r="F859" i="4"/>
  <c r="F857" i="4"/>
  <c r="E854" i="4"/>
  <c r="F853" i="4"/>
  <c r="E849" i="4"/>
  <c r="D850" i="4" s="1"/>
  <c r="E850" i="4" s="1"/>
  <c r="F848" i="4"/>
  <c r="E844" i="4"/>
  <c r="F844" i="4" s="1"/>
  <c r="F843" i="4"/>
  <c r="E839" i="4"/>
  <c r="D840" i="4" s="1"/>
  <c r="E840" i="4" s="1"/>
  <c r="E838" i="4"/>
  <c r="F838" i="4" s="1"/>
  <c r="Q16" i="4"/>
  <c r="R16" i="4" s="1"/>
  <c r="Q17" i="4" s="1"/>
  <c r="R17" i="4" s="1"/>
  <c r="Q18" i="4" s="1"/>
  <c r="R18" i="4" s="1"/>
  <c r="E836" i="4"/>
  <c r="F836" i="4" s="1"/>
  <c r="F835" i="4"/>
  <c r="E831" i="4"/>
  <c r="D832" i="4" s="1"/>
  <c r="E832" i="4" s="1"/>
  <c r="F830" i="4"/>
  <c r="E826" i="4"/>
  <c r="D827" i="4" s="1"/>
  <c r="E827" i="4" s="1"/>
  <c r="F825" i="4"/>
  <c r="F824" i="4"/>
  <c r="E821" i="4"/>
  <c r="D822" i="4" s="1"/>
  <c r="E822" i="4" s="1"/>
  <c r="F820" i="4"/>
  <c r="F819" i="4"/>
  <c r="E816" i="4"/>
  <c r="F816" i="4" s="1"/>
  <c r="E812" i="4"/>
  <c r="F812" i="4" s="1"/>
  <c r="F811" i="4"/>
  <c r="E807" i="4"/>
  <c r="F806" i="4"/>
  <c r="E801" i="4"/>
  <c r="D802" i="4" s="1"/>
  <c r="E802" i="4" s="1"/>
  <c r="E798" i="4"/>
  <c r="D799" i="4" s="1"/>
  <c r="E799" i="4" s="1"/>
  <c r="F797" i="4"/>
  <c r="E793" i="4"/>
  <c r="E789" i="4"/>
  <c r="D790" i="4" s="1"/>
  <c r="E790" i="4" s="1"/>
  <c r="F788" i="4"/>
  <c r="E784" i="4"/>
  <c r="F784" i="4" s="1"/>
  <c r="F780" i="4"/>
  <c r="E781" i="4"/>
  <c r="D782" i="4" s="1"/>
  <c r="E782" i="4" s="1"/>
  <c r="E776" i="4"/>
  <c r="D777" i="4" s="1"/>
  <c r="E777" i="4" s="1"/>
  <c r="F775" i="4"/>
  <c r="E773" i="4"/>
  <c r="D774" i="4" s="1"/>
  <c r="E774" i="4" s="1"/>
  <c r="F772" i="4"/>
  <c r="E768" i="4"/>
  <c r="D769" i="4" s="1"/>
  <c r="E769" i="4" s="1"/>
  <c r="F767" i="4"/>
  <c r="E765" i="4"/>
  <c r="D766" i="4" s="1"/>
  <c r="E766" i="4" s="1"/>
  <c r="F764" i="4"/>
  <c r="E760" i="4"/>
  <c r="D761" i="4" s="1"/>
  <c r="E761" i="4" s="1"/>
  <c r="E757" i="4"/>
  <c r="D758" i="4" s="1"/>
  <c r="E758" i="4" s="1"/>
  <c r="E753" i="4"/>
  <c r="D754" i="4" s="1"/>
  <c r="E754" i="4" s="1"/>
  <c r="E748" i="4"/>
  <c r="F748" i="4" s="1"/>
  <c r="F752" i="4"/>
  <c r="E747" i="4"/>
  <c r="F747" i="4" s="1"/>
  <c r="E743" i="4"/>
  <c r="D744" i="4" s="1"/>
  <c r="E744" i="4" s="1"/>
  <c r="E739" i="4"/>
  <c r="D740" i="4" s="1"/>
  <c r="E740" i="4" s="1"/>
  <c r="E735" i="4"/>
  <c r="D736" i="4" s="1"/>
  <c r="E736" i="4" s="1"/>
  <c r="F730" i="4"/>
  <c r="E731" i="4"/>
  <c r="D732" i="4" s="1"/>
  <c r="E732" i="4" s="1"/>
  <c r="E726" i="4"/>
  <c r="D727" i="4" s="1"/>
  <c r="E727" i="4" s="1"/>
  <c r="F725" i="4"/>
  <c r="E721" i="4"/>
  <c r="F721" i="4" s="1"/>
  <c r="E718" i="4"/>
  <c r="D719" i="4" s="1"/>
  <c r="E719" i="4" s="1"/>
  <c r="F717" i="4"/>
  <c r="E713" i="4"/>
  <c r="D714" i="4" s="1"/>
  <c r="E714" i="4" s="1"/>
  <c r="E712" i="4"/>
  <c r="E708" i="4"/>
  <c r="D709" i="4" s="1"/>
  <c r="E709" i="4" s="1"/>
  <c r="E706" i="4"/>
  <c r="F706" i="4" s="1"/>
  <c r="F705" i="4"/>
  <c r="E701" i="4"/>
  <c r="F701" i="4" s="1"/>
  <c r="F700" i="4"/>
  <c r="E697" i="4"/>
  <c r="F697" i="4" s="1"/>
  <c r="E695" i="4"/>
  <c r="D696" i="4" s="1"/>
  <c r="F694" i="4"/>
  <c r="E692" i="4"/>
  <c r="F692" i="4" s="1"/>
  <c r="F691" i="4"/>
  <c r="E687" i="4"/>
  <c r="D688" i="4" s="1"/>
  <c r="E688" i="4" s="1"/>
  <c r="F686" i="4"/>
  <c r="F685" i="4"/>
  <c r="E682" i="4"/>
  <c r="D683" i="4" s="1"/>
  <c r="E683" i="4" s="1"/>
  <c r="F681" i="4"/>
  <c r="E677" i="4"/>
  <c r="F677" i="4" s="1"/>
  <c r="F676" i="4"/>
  <c r="E672" i="4"/>
  <c r="D673" i="4" s="1"/>
  <c r="E673" i="4" s="1"/>
  <c r="E669" i="4"/>
  <c r="D670" i="4" s="1"/>
  <c r="E670" i="4" s="1"/>
  <c r="E667" i="4"/>
  <c r="E668" i="4"/>
  <c r="E663" i="4"/>
  <c r="F663" i="4" s="1"/>
  <c r="E660" i="4"/>
  <c r="F660" i="4" s="1"/>
  <c r="F659" i="4"/>
  <c r="F658" i="4"/>
  <c r="E654" i="4"/>
  <c r="F654" i="4" s="1"/>
  <c r="F653" i="4"/>
  <c r="E651" i="4"/>
  <c r="D652" i="4" s="1"/>
  <c r="E652" i="4" s="1"/>
  <c r="F650" i="4"/>
  <c r="E647" i="4"/>
  <c r="D648" i="4" s="1"/>
  <c r="E648" i="4" s="1"/>
  <c r="D649" i="4" s="1"/>
  <c r="E649" i="4" s="1"/>
  <c r="F645" i="4"/>
  <c r="E641" i="4"/>
  <c r="D642" i="4" s="1"/>
  <c r="E642" i="4" s="1"/>
  <c r="D643" i="4" s="1"/>
  <c r="E643" i="4" s="1"/>
  <c r="D644" i="4" s="1"/>
  <c r="E644" i="4" s="1"/>
  <c r="F644" i="4" s="1"/>
  <c r="E640" i="4"/>
  <c r="E638" i="4"/>
  <c r="F638" i="4" s="1"/>
  <c r="F637" i="4"/>
  <c r="E633" i="4"/>
  <c r="F633" i="4" s="1"/>
  <c r="E628" i="4"/>
  <c r="D629" i="4" s="1"/>
  <c r="E629" i="4" s="1"/>
  <c r="D630" i="4" s="1"/>
  <c r="E630" i="4" s="1"/>
  <c r="D631" i="4" s="1"/>
  <c r="E631" i="4" s="1"/>
  <c r="F631" i="4" s="1"/>
  <c r="F627" i="4"/>
  <c r="E623" i="4"/>
  <c r="D624" i="4" s="1"/>
  <c r="E624" i="4" s="1"/>
  <c r="F622" i="4"/>
  <c r="E618" i="4"/>
  <c r="D619" i="4" s="1"/>
  <c r="E619" i="4" s="1"/>
  <c r="E616" i="4"/>
  <c r="D617" i="4" s="1"/>
  <c r="E617" i="4" s="1"/>
  <c r="F615" i="4"/>
  <c r="E611" i="4"/>
  <c r="D612" i="4" s="1"/>
  <c r="E612" i="4" s="1"/>
  <c r="D613" i="4" s="1"/>
  <c r="E613" i="4" s="1"/>
  <c r="D614" i="4" s="1"/>
  <c r="E614" i="4" s="1"/>
  <c r="F610" i="4"/>
  <c r="E606" i="4"/>
  <c r="D607" i="4" s="1"/>
  <c r="E607" i="4" s="1"/>
  <c r="F605" i="4"/>
  <c r="F603" i="4"/>
  <c r="E604" i="4"/>
  <c r="E601" i="4"/>
  <c r="F601" i="4" s="1"/>
  <c r="E597" i="4"/>
  <c r="D598" i="4" s="1"/>
  <c r="E598" i="4" s="1"/>
  <c r="F596" i="4"/>
  <c r="E592" i="4"/>
  <c r="D593" i="4" s="1"/>
  <c r="E593" i="4" s="1"/>
  <c r="F591" i="4"/>
  <c r="E587" i="4"/>
  <c r="D588" i="4" s="1"/>
  <c r="E588" i="4" s="1"/>
  <c r="E586" i="4"/>
  <c r="F586" i="4" s="1"/>
  <c r="E582" i="4"/>
  <c r="D583" i="4" s="1"/>
  <c r="E583" i="4" s="1"/>
  <c r="E579" i="4"/>
  <c r="F578" i="4"/>
  <c r="E574" i="4"/>
  <c r="D575" i="4" s="1"/>
  <c r="E575" i="4" s="1"/>
  <c r="E570" i="4"/>
  <c r="D571" i="4" s="1"/>
  <c r="E571" i="4" s="1"/>
  <c r="E567" i="4"/>
  <c r="D568" i="4" s="1"/>
  <c r="E568" i="4" s="1"/>
  <c r="F566" i="4"/>
  <c r="E562" i="4"/>
  <c r="D563" i="4" s="1"/>
  <c r="E563" i="4" s="1"/>
  <c r="F561" i="4"/>
  <c r="E557" i="4"/>
  <c r="D558" i="4" s="1"/>
  <c r="E558" i="4" s="1"/>
  <c r="F556" i="4"/>
  <c r="F555" i="4"/>
  <c r="F554" i="4"/>
  <c r="F553" i="4"/>
  <c r="F552" i="4"/>
  <c r="E550" i="4"/>
  <c r="D551" i="4" s="1"/>
  <c r="E547" i="4"/>
  <c r="D548" i="4" s="1"/>
  <c r="E548" i="4" s="1"/>
  <c r="E543" i="4"/>
  <c r="D544" i="4" s="1"/>
  <c r="E544" i="4" s="1"/>
  <c r="F541" i="4"/>
  <c r="E538" i="4"/>
  <c r="D539" i="4" s="1"/>
  <c r="E537" i="4"/>
  <c r="F537" i="4" s="1"/>
  <c r="F536" i="4"/>
  <c r="F535" i="4"/>
  <c r="F534" i="4"/>
  <c r="F533" i="4"/>
  <c r="E530" i="4"/>
  <c r="F530" i="4" s="1"/>
  <c r="E531" i="4"/>
  <c r="F531" i="4" s="1"/>
  <c r="E532" i="4"/>
  <c r="E525" i="4"/>
  <c r="D526" i="4" s="1"/>
  <c r="E526" i="4" s="1"/>
  <c r="F524" i="4"/>
  <c r="E520" i="4"/>
  <c r="F520" i="4" s="1"/>
  <c r="E518" i="4"/>
  <c r="D519" i="4" s="1"/>
  <c r="F517" i="4"/>
  <c r="F516" i="4"/>
  <c r="F515" i="4"/>
  <c r="F514" i="4"/>
  <c r="F513" i="4"/>
  <c r="F512" i="4"/>
  <c r="F511" i="4"/>
  <c r="F510" i="4"/>
  <c r="F509" i="4"/>
  <c r="E508" i="4"/>
  <c r="F508" i="4" s="1"/>
  <c r="E507" i="4"/>
  <c r="F507" i="4" s="1"/>
  <c r="F506" i="4"/>
  <c r="F505" i="4"/>
  <c r="F504" i="4"/>
  <c r="F503" i="4"/>
  <c r="F501" i="4"/>
  <c r="F502" i="4"/>
  <c r="E500" i="4"/>
  <c r="E496" i="4"/>
  <c r="D497" i="4" s="1"/>
  <c r="E497" i="4" s="1"/>
  <c r="E493" i="4"/>
  <c r="D494" i="4" s="1"/>
  <c r="E494" i="4" s="1"/>
  <c r="F492" i="4"/>
  <c r="F491" i="4"/>
  <c r="F490" i="4"/>
  <c r="F489" i="4"/>
  <c r="F488" i="4"/>
  <c r="F487" i="4"/>
  <c r="F485" i="4"/>
  <c r="F484" i="4"/>
  <c r="F483" i="4"/>
  <c r="F482" i="4"/>
  <c r="F481" i="4"/>
  <c r="E480" i="4"/>
  <c r="F479" i="4"/>
  <c r="F478" i="4"/>
  <c r="F477" i="4"/>
  <c r="F476" i="4"/>
  <c r="F475" i="4"/>
  <c r="F474" i="4"/>
  <c r="F473" i="4"/>
  <c r="F472" i="4"/>
  <c r="F471" i="4"/>
  <c r="F470" i="4"/>
  <c r="F469" i="4"/>
  <c r="F468" i="4"/>
  <c r="F467" i="4"/>
  <c r="F466" i="4"/>
  <c r="F465" i="4"/>
  <c r="F464" i="4"/>
  <c r="F463" i="4"/>
  <c r="F462" i="4"/>
  <c r="F461" i="4"/>
  <c r="F460" i="4"/>
  <c r="F459" i="4"/>
  <c r="F458" i="4"/>
  <c r="F457" i="4"/>
  <c r="F456" i="4"/>
  <c r="F455" i="4"/>
  <c r="F454" i="4"/>
  <c r="F453" i="4"/>
  <c r="F452" i="4"/>
  <c r="F451" i="4"/>
  <c r="F450" i="4"/>
  <c r="E449" i="4"/>
  <c r="F448" i="4"/>
  <c r="E445" i="4"/>
  <c r="F445" i="4" s="1"/>
  <c r="F444" i="4"/>
  <c r="E443" i="4"/>
  <c r="E442" i="4"/>
  <c r="F442" i="4" s="1"/>
  <c r="E438" i="4"/>
  <c r="D439" i="4" s="1"/>
  <c r="E439" i="4" s="1"/>
  <c r="F437" i="4"/>
  <c r="F436" i="4"/>
  <c r="E433" i="4"/>
  <c r="D434" i="4" s="1"/>
  <c r="E434" i="4" s="1"/>
  <c r="F432" i="4"/>
  <c r="E428" i="4"/>
  <c r="F428" i="4" s="1"/>
  <c r="F427" i="4"/>
  <c r="F426" i="4"/>
  <c r="F425" i="4"/>
  <c r="F424" i="4"/>
  <c r="F423" i="4"/>
  <c r="F422" i="4"/>
  <c r="F421" i="4"/>
  <c r="F420" i="4"/>
  <c r="F419" i="4"/>
  <c r="F418" i="4"/>
  <c r="F417" i="4"/>
  <c r="F415" i="4"/>
  <c r="F414" i="4"/>
  <c r="F413" i="4"/>
  <c r="E410" i="4"/>
  <c r="F410" i="4" s="1"/>
  <c r="E411" i="4"/>
  <c r="D412" i="4" s="1"/>
  <c r="E412" i="4" s="1"/>
  <c r="F405" i="4"/>
  <c r="F403" i="4"/>
  <c r="E402" i="4"/>
  <c r="E401" i="4"/>
  <c r="E400" i="4"/>
  <c r="F399" i="4"/>
  <c r="F397" i="4"/>
  <c r="F396" i="4"/>
  <c r="E395" i="4"/>
  <c r="F394" i="4"/>
  <c r="F393" i="4"/>
  <c r="E389" i="4"/>
  <c r="F389" i="4" s="1"/>
  <c r="F388" i="4"/>
  <c r="F387" i="4"/>
  <c r="E383" i="4"/>
  <c r="F382" i="4"/>
  <c r="E378" i="4"/>
  <c r="F378" i="4" s="1"/>
  <c r="F377" i="4"/>
  <c r="E373" i="4"/>
  <c r="D374" i="4" s="1"/>
  <c r="E374" i="4" s="1"/>
  <c r="E369" i="4"/>
  <c r="F369" i="4" s="1"/>
  <c r="F368" i="4"/>
  <c r="E363" i="4"/>
  <c r="F363" i="4" s="1"/>
  <c r="F362" i="4"/>
  <c r="E358" i="4"/>
  <c r="F358" i="4" s="1"/>
  <c r="E357" i="4"/>
  <c r="F357" i="4" s="1"/>
  <c r="E356" i="4"/>
  <c r="E352" i="4"/>
  <c r="D353" i="4" s="1"/>
  <c r="E353" i="4" s="1"/>
  <c r="F351" i="4"/>
  <c r="E346" i="4"/>
  <c r="F346" i="4" s="1"/>
  <c r="E350" i="4"/>
  <c r="F344" i="4"/>
  <c r="F345" i="4"/>
  <c r="E340" i="4"/>
  <c r="D341" i="4" s="1"/>
  <c r="E341" i="4" s="1"/>
  <c r="F339" i="4"/>
  <c r="E335" i="4"/>
  <c r="F334" i="4"/>
  <c r="E330" i="4"/>
  <c r="F330" i="4" s="1"/>
  <c r="E327" i="4"/>
  <c r="D328" i="4" s="1"/>
  <c r="E328" i="4" s="1"/>
  <c r="F326" i="4"/>
  <c r="F325" i="4"/>
  <c r="F324" i="4"/>
  <c r="F323" i="4"/>
  <c r="F322" i="4"/>
  <c r="F321" i="4"/>
  <c r="E320" i="4"/>
  <c r="F320" i="4" s="1"/>
  <c r="E316" i="4"/>
  <c r="D317" i="4" s="1"/>
  <c r="E317" i="4" s="1"/>
  <c r="F315" i="4"/>
  <c r="F314" i="4"/>
  <c r="F313" i="4"/>
  <c r="F312" i="4"/>
  <c r="F311" i="4"/>
  <c r="F310" i="4"/>
  <c r="F309" i="4"/>
  <c r="F308" i="4"/>
  <c r="F306" i="4"/>
  <c r="F305" i="4"/>
  <c r="F304" i="4"/>
  <c r="F302" i="4"/>
  <c r="F301" i="4"/>
  <c r="F300" i="4"/>
  <c r="F299" i="4"/>
  <c r="F298" i="4"/>
  <c r="F297" i="4"/>
  <c r="F296" i="4"/>
  <c r="F294" i="4"/>
  <c r="F295" i="4"/>
  <c r="F293" i="4"/>
  <c r="E291" i="4"/>
  <c r="F291" i="4" s="1"/>
  <c r="E292" i="4"/>
  <c r="F292" i="4" s="1"/>
  <c r="E289" i="4"/>
  <c r="F289" i="4" s="1"/>
  <c r="F290" i="4"/>
  <c r="E285" i="4"/>
  <c r="D286" i="4" s="1"/>
  <c r="E286" i="4" s="1"/>
  <c r="E281" i="4"/>
  <c r="F281" i="4" s="1"/>
  <c r="E280" i="4"/>
  <c r="F279" i="4"/>
  <c r="F278" i="4"/>
  <c r="F277" i="4"/>
  <c r="F276" i="4"/>
  <c r="F275" i="4"/>
  <c r="E274" i="4"/>
  <c r="F273" i="4"/>
  <c r="D970" i="4" l="1"/>
  <c r="E970" i="4" s="1"/>
  <c r="D971" i="4" s="1"/>
  <c r="E971" i="4" s="1"/>
  <c r="D1005" i="4"/>
  <c r="E1005" i="4" s="1"/>
  <c r="F1005" i="4" s="1"/>
  <c r="F946" i="4"/>
  <c r="F871" i="4"/>
  <c r="F880" i="4"/>
  <c r="F1146" i="4"/>
  <c r="D1147" i="4"/>
  <c r="E1147" i="4" s="1"/>
  <c r="F1147" i="4" s="1"/>
  <c r="F1138" i="4"/>
  <c r="D1021" i="4"/>
  <c r="E1021" i="4" s="1"/>
  <c r="F1021" i="4" s="1"/>
  <c r="D1046" i="4"/>
  <c r="E1046" i="4" s="1"/>
  <c r="F1046" i="4" s="1"/>
  <c r="D1127" i="4"/>
  <c r="E1127" i="4" s="1"/>
  <c r="F1126" i="4"/>
  <c r="D1110" i="4"/>
  <c r="E1110" i="4" s="1"/>
  <c r="F1110" i="4" s="1"/>
  <c r="F1109" i="4"/>
  <c r="D1091" i="4"/>
  <c r="E1091" i="4" s="1"/>
  <c r="F1090" i="4"/>
  <c r="D1079" i="4"/>
  <c r="E1079" i="4" s="1"/>
  <c r="F1079" i="4" s="1"/>
  <c r="F1064" i="4"/>
  <c r="D1065" i="4"/>
  <c r="E1065" i="4" s="1"/>
  <c r="D1061" i="4"/>
  <c r="E1061" i="4" s="1"/>
  <c r="F1061" i="4" s="1"/>
  <c r="F1060" i="4"/>
  <c r="F1054" i="4"/>
  <c r="D1055" i="4"/>
  <c r="E1055" i="4" s="1"/>
  <c r="D1052" i="4"/>
  <c r="E1052" i="4" s="1"/>
  <c r="F1052" i="4" s="1"/>
  <c r="F1051" i="4"/>
  <c r="D1042" i="4"/>
  <c r="E1042" i="4" s="1"/>
  <c r="F1041" i="4"/>
  <c r="F1017" i="4"/>
  <c r="D1018" i="4"/>
  <c r="E1018" i="4" s="1"/>
  <c r="F1016" i="4"/>
  <c r="D1012" i="4"/>
  <c r="E1012" i="4" s="1"/>
  <c r="F988" i="4"/>
  <c r="D989" i="4"/>
  <c r="E989" i="4" s="1"/>
  <c r="F987" i="4"/>
  <c r="F976" i="4"/>
  <c r="D966" i="4"/>
  <c r="E966" i="4" s="1"/>
  <c r="F965" i="4"/>
  <c r="F964" i="4"/>
  <c r="F959" i="4"/>
  <c r="F960" i="4"/>
  <c r="D956" i="4"/>
  <c r="E956" i="4" s="1"/>
  <c r="F951" i="4"/>
  <c r="D943" i="4"/>
  <c r="E943" i="4" s="1"/>
  <c r="F936" i="4"/>
  <c r="F937" i="4"/>
  <c r="D938" i="4"/>
  <c r="E938" i="4" s="1"/>
  <c r="F926" i="4"/>
  <c r="F921" i="4"/>
  <c r="F922" i="4"/>
  <c r="D923" i="4"/>
  <c r="E923" i="4" s="1"/>
  <c r="F918" i="4"/>
  <c r="F919" i="4"/>
  <c r="D920" i="4"/>
  <c r="E920" i="4" s="1"/>
  <c r="F916" i="4"/>
  <c r="F912" i="4"/>
  <c r="F911" i="4"/>
  <c r="D896" i="4"/>
  <c r="E896" i="4" s="1"/>
  <c r="F892" i="4"/>
  <c r="D893" i="4"/>
  <c r="E893" i="4" s="1"/>
  <c r="F887" i="4"/>
  <c r="D889" i="4"/>
  <c r="E889" i="4" s="1"/>
  <c r="F888" i="4"/>
  <c r="D882" i="4"/>
  <c r="E882" i="4" s="1"/>
  <c r="F881" i="4"/>
  <c r="F876" i="4"/>
  <c r="D877" i="4"/>
  <c r="E877" i="4" s="1"/>
  <c r="F875" i="4"/>
  <c r="D873" i="4"/>
  <c r="E873" i="4" s="1"/>
  <c r="F872" i="4"/>
  <c r="D868" i="4"/>
  <c r="E868" i="4" s="1"/>
  <c r="F866" i="4"/>
  <c r="D845" i="4"/>
  <c r="E845" i="4" s="1"/>
  <c r="F845" i="4" s="1"/>
  <c r="F839" i="4"/>
  <c r="D813" i="4"/>
  <c r="E813" i="4" s="1"/>
  <c r="F813" i="4" s="1"/>
  <c r="D785" i="4"/>
  <c r="E785" i="4" s="1"/>
  <c r="F785" i="4" s="1"/>
  <c r="D817" i="4"/>
  <c r="E817" i="4" s="1"/>
  <c r="F817" i="4" s="1"/>
  <c r="D837" i="4"/>
  <c r="E837" i="4" s="1"/>
  <c r="D855" i="4"/>
  <c r="E855" i="4" s="1"/>
  <c r="D851" i="4"/>
  <c r="E851" i="4" s="1"/>
  <c r="F850" i="4"/>
  <c r="D841" i="4"/>
  <c r="E841" i="4" s="1"/>
  <c r="F840" i="4"/>
  <c r="F832" i="4"/>
  <c r="D833" i="4"/>
  <c r="E833" i="4" s="1"/>
  <c r="F827" i="4"/>
  <c r="D828" i="4"/>
  <c r="E828" i="4" s="1"/>
  <c r="F826" i="4"/>
  <c r="F822" i="4"/>
  <c r="D823" i="4"/>
  <c r="E823" i="4" s="1"/>
  <c r="D808" i="4"/>
  <c r="E808" i="4" s="1"/>
  <c r="D809" i="4" s="1"/>
  <c r="E809" i="4" s="1"/>
  <c r="F802" i="4"/>
  <c r="D803" i="4"/>
  <c r="E803" i="4" s="1"/>
  <c r="F801" i="4"/>
  <c r="D800" i="4"/>
  <c r="E800" i="4" s="1"/>
  <c r="D794" i="4"/>
  <c r="E794" i="4" s="1"/>
  <c r="F789" i="4"/>
  <c r="F790" i="4"/>
  <c r="D791" i="4"/>
  <c r="E791" i="4" s="1"/>
  <c r="D678" i="4"/>
  <c r="E678" i="4" s="1"/>
  <c r="D679" i="4" s="1"/>
  <c r="E679" i="4" s="1"/>
  <c r="D693" i="4"/>
  <c r="E693" i="4" s="1"/>
  <c r="D698" i="4"/>
  <c r="E698" i="4" s="1"/>
  <c r="F698" i="4" s="1"/>
  <c r="D702" i="4"/>
  <c r="E702" i="4" s="1"/>
  <c r="D703" i="4" s="1"/>
  <c r="E703" i="4" s="1"/>
  <c r="D749" i="4"/>
  <c r="E749" i="4" s="1"/>
  <c r="F749" i="4" s="1"/>
  <c r="F782" i="4"/>
  <c r="D783" i="4"/>
  <c r="E783" i="4" s="1"/>
  <c r="F781" i="4"/>
  <c r="F777" i="4"/>
  <c r="D778" i="4"/>
  <c r="E778" i="4" s="1"/>
  <c r="F776" i="4"/>
  <c r="F773" i="4"/>
  <c r="F774" i="4"/>
  <c r="F769" i="4"/>
  <c r="D770" i="4"/>
  <c r="E770" i="4" s="1"/>
  <c r="F765" i="4"/>
  <c r="F761" i="4"/>
  <c r="D762" i="4"/>
  <c r="E762" i="4" s="1"/>
  <c r="F760" i="4"/>
  <c r="F758" i="4"/>
  <c r="D759" i="4"/>
  <c r="E759" i="4" s="1"/>
  <c r="F757" i="4"/>
  <c r="F754" i="4"/>
  <c r="D755" i="4"/>
  <c r="E755" i="4" s="1"/>
  <c r="F753" i="4"/>
  <c r="F744" i="4"/>
  <c r="D745" i="4"/>
  <c r="E745" i="4" s="1"/>
  <c r="F743" i="4"/>
  <c r="F740" i="4"/>
  <c r="D741" i="4"/>
  <c r="E741" i="4" s="1"/>
  <c r="F739" i="4"/>
  <c r="F736" i="4"/>
  <c r="D737" i="4"/>
  <c r="E737" i="4" s="1"/>
  <c r="F735" i="4"/>
  <c r="D722" i="4"/>
  <c r="E722" i="4" s="1"/>
  <c r="D723" i="4" s="1"/>
  <c r="E723" i="4" s="1"/>
  <c r="D707" i="4"/>
  <c r="E707" i="4" s="1"/>
  <c r="F707" i="4" s="1"/>
  <c r="D733" i="4"/>
  <c r="E733" i="4" s="1"/>
  <c r="D734" i="4" s="1"/>
  <c r="E734" i="4" s="1"/>
  <c r="F734" i="4" s="1"/>
  <c r="F732" i="4"/>
  <c r="F731" i="4"/>
  <c r="F726" i="4"/>
  <c r="F727" i="4"/>
  <c r="D728" i="4"/>
  <c r="E728" i="4" s="1"/>
  <c r="D720" i="4"/>
  <c r="E720" i="4" s="1"/>
  <c r="F718" i="4"/>
  <c r="F714" i="4"/>
  <c r="D715" i="4"/>
  <c r="E715" i="4" s="1"/>
  <c r="F713" i="4"/>
  <c r="F708" i="4"/>
  <c r="F709" i="4"/>
  <c r="D710" i="4"/>
  <c r="E710" i="4" s="1"/>
  <c r="F696" i="4"/>
  <c r="F695" i="4"/>
  <c r="F687" i="4"/>
  <c r="F688" i="4"/>
  <c r="D689" i="4"/>
  <c r="E689" i="4" s="1"/>
  <c r="F683" i="4"/>
  <c r="D684" i="4"/>
  <c r="E684" i="4" s="1"/>
  <c r="F682" i="4"/>
  <c r="F673" i="4"/>
  <c r="D674" i="4"/>
  <c r="E674" i="4" s="1"/>
  <c r="F672" i="4"/>
  <c r="D671" i="4"/>
  <c r="E671" i="4" s="1"/>
  <c r="D655" i="4"/>
  <c r="E655" i="4" s="1"/>
  <c r="F655" i="4" s="1"/>
  <c r="D661" i="4"/>
  <c r="E661" i="4" s="1"/>
  <c r="F661" i="4" s="1"/>
  <c r="F557" i="4"/>
  <c r="F611" i="4"/>
  <c r="D664" i="4"/>
  <c r="E664" i="4" s="1"/>
  <c r="F651" i="4"/>
  <c r="F646" i="4"/>
  <c r="F641" i="4"/>
  <c r="D639" i="4"/>
  <c r="E639" i="4" s="1"/>
  <c r="D634" i="4"/>
  <c r="E634" i="4" s="1"/>
  <c r="F628" i="4"/>
  <c r="D625" i="4"/>
  <c r="E625" i="4" s="1"/>
  <c r="F624" i="4"/>
  <c r="F623" i="4"/>
  <c r="D620" i="4"/>
  <c r="E620" i="4" s="1"/>
  <c r="F618" i="4"/>
  <c r="F616" i="4"/>
  <c r="F612" i="4"/>
  <c r="D608" i="4"/>
  <c r="E608" i="4" s="1"/>
  <c r="F607" i="4"/>
  <c r="F606" i="4"/>
  <c r="D602" i="4"/>
  <c r="E602" i="4" s="1"/>
  <c r="D429" i="4"/>
  <c r="E429" i="4" s="1"/>
  <c r="D430" i="4" s="1"/>
  <c r="E430" i="4" s="1"/>
  <c r="F567" i="4"/>
  <c r="D446" i="4"/>
  <c r="E446" i="4" s="1"/>
  <c r="D447" i="4" s="1"/>
  <c r="D521" i="4"/>
  <c r="E521" i="4" s="1"/>
  <c r="F521" i="4" s="1"/>
  <c r="F597" i="4"/>
  <c r="D599" i="4"/>
  <c r="E599" i="4" s="1"/>
  <c r="F598" i="4"/>
  <c r="F592" i="4"/>
  <c r="F593" i="4"/>
  <c r="D594" i="4"/>
  <c r="E594" i="4" s="1"/>
  <c r="D589" i="4"/>
  <c r="E589" i="4" s="1"/>
  <c r="F583" i="4"/>
  <c r="D584" i="4"/>
  <c r="E584" i="4" s="1"/>
  <c r="D580" i="4"/>
  <c r="E580" i="4" s="1"/>
  <c r="F574" i="4"/>
  <c r="F575" i="4"/>
  <c r="D576" i="4"/>
  <c r="E576" i="4" s="1"/>
  <c r="F570" i="4"/>
  <c r="D572" i="4"/>
  <c r="E572" i="4" s="1"/>
  <c r="F571" i="4"/>
  <c r="F568" i="4"/>
  <c r="D569" i="4"/>
  <c r="E569" i="4" s="1"/>
  <c r="F562" i="4"/>
  <c r="F563" i="4"/>
  <c r="D564" i="4"/>
  <c r="E564" i="4" s="1"/>
  <c r="D559" i="4"/>
  <c r="E559" i="4" s="1"/>
  <c r="F550" i="4"/>
  <c r="F551" i="4"/>
  <c r="F548" i="4"/>
  <c r="D549" i="4"/>
  <c r="E549" i="4" s="1"/>
  <c r="F543" i="4"/>
  <c r="D545" i="4"/>
  <c r="E545" i="4" s="1"/>
  <c r="F544" i="4"/>
  <c r="F538" i="4"/>
  <c r="D527" i="4"/>
  <c r="E527" i="4" s="1"/>
  <c r="F526" i="4"/>
  <c r="F525" i="4"/>
  <c r="F518" i="4"/>
  <c r="F519" i="4"/>
  <c r="F496" i="4"/>
  <c r="D498" i="4"/>
  <c r="E498" i="4" s="1"/>
  <c r="F497" i="4"/>
  <c r="F493" i="4"/>
  <c r="D495" i="4"/>
  <c r="F494" i="4"/>
  <c r="F439" i="4"/>
  <c r="D440" i="4"/>
  <c r="E440" i="4" s="1"/>
  <c r="F433" i="4"/>
  <c r="F434" i="4"/>
  <c r="D435" i="4"/>
  <c r="E435" i="4" s="1"/>
  <c r="F412" i="4"/>
  <c r="F411" i="4"/>
  <c r="D390" i="4"/>
  <c r="E390" i="4" s="1"/>
  <c r="F390" i="4" s="1"/>
  <c r="D282" i="4"/>
  <c r="E282" i="4" s="1"/>
  <c r="F282" i="4" s="1"/>
  <c r="D384" i="4"/>
  <c r="E384" i="4" s="1"/>
  <c r="D379" i="4"/>
  <c r="E379" i="4" s="1"/>
  <c r="F374" i="4"/>
  <c r="D375" i="4"/>
  <c r="E375" i="4" s="1"/>
  <c r="F373" i="4"/>
  <c r="D370" i="4"/>
  <c r="E370" i="4" s="1"/>
  <c r="D364" i="4"/>
  <c r="E364" i="4" s="1"/>
  <c r="D359" i="4"/>
  <c r="E359" i="4" s="1"/>
  <c r="F353" i="4"/>
  <c r="D354" i="4"/>
  <c r="E354" i="4" s="1"/>
  <c r="D347" i="4"/>
  <c r="E347" i="4" s="1"/>
  <c r="F340" i="4"/>
  <c r="D342" i="4"/>
  <c r="E342" i="4" s="1"/>
  <c r="F341" i="4"/>
  <c r="D336" i="4"/>
  <c r="E336" i="4" s="1"/>
  <c r="F336" i="4" s="1"/>
  <c r="D331" i="4"/>
  <c r="E331" i="4" s="1"/>
  <c r="F327" i="4"/>
  <c r="F328" i="4"/>
  <c r="D329" i="4"/>
  <c r="E329" i="4" s="1"/>
  <c r="F316" i="4"/>
  <c r="F317" i="4"/>
  <c r="D318" i="4"/>
  <c r="E318" i="4" s="1"/>
  <c r="F285" i="4"/>
  <c r="D287" i="4"/>
  <c r="E287" i="4" s="1"/>
  <c r="F286" i="4"/>
  <c r="F272" i="4"/>
  <c r="F270" i="4"/>
  <c r="F970" i="4" l="1"/>
  <c r="D1006" i="4"/>
  <c r="E1006" i="4" s="1"/>
  <c r="D1007" i="4" s="1"/>
  <c r="E1007" i="4" s="1"/>
  <c r="F1007" i="4" s="1"/>
  <c r="D1047" i="4"/>
  <c r="E1047" i="4" s="1"/>
  <c r="D1022" i="4"/>
  <c r="E1022" i="4" s="1"/>
  <c r="D1023" i="4" s="1"/>
  <c r="E1023" i="4" s="1"/>
  <c r="F1023" i="4" s="1"/>
  <c r="D818" i="4"/>
  <c r="E818" i="4" s="1"/>
  <c r="D846" i="4"/>
  <c r="E846" i="4" s="1"/>
  <c r="F846" i="4" s="1"/>
  <c r="F702" i="4"/>
  <c r="D1056" i="4"/>
  <c r="E1056" i="4" s="1"/>
  <c r="F1056" i="4" s="1"/>
  <c r="F1055" i="4"/>
  <c r="F1012" i="4"/>
  <c r="D1013" i="4"/>
  <c r="E1013" i="4" s="1"/>
  <c r="D990" i="4"/>
  <c r="E990" i="4" s="1"/>
  <c r="F989" i="4"/>
  <c r="F971" i="4"/>
  <c r="D972" i="4"/>
  <c r="E972" i="4" s="1"/>
  <c r="F972" i="4" s="1"/>
  <c r="D967" i="4"/>
  <c r="E967" i="4" s="1"/>
  <c r="F966" i="4"/>
  <c r="D957" i="4"/>
  <c r="F956" i="4"/>
  <c r="E949" i="4"/>
  <c r="F949" i="4" s="1"/>
  <c r="F948" i="4"/>
  <c r="D944" i="4"/>
  <c r="E944" i="4" s="1"/>
  <c r="F944" i="4" s="1"/>
  <c r="F943" i="4"/>
  <c r="D939" i="4"/>
  <c r="E939" i="4" s="1"/>
  <c r="F938" i="4"/>
  <c r="E924" i="4"/>
  <c r="F924" i="4" s="1"/>
  <c r="F923" i="4"/>
  <c r="F896" i="4"/>
  <c r="D894" i="4"/>
  <c r="E894" i="4" s="1"/>
  <c r="F893" i="4"/>
  <c r="D890" i="4"/>
  <c r="E890" i="4" s="1"/>
  <c r="F889" i="4"/>
  <c r="D883" i="4"/>
  <c r="E883" i="4" s="1"/>
  <c r="F882" i="4"/>
  <c r="D878" i="4"/>
  <c r="E878" i="4" s="1"/>
  <c r="F878" i="4" s="1"/>
  <c r="D874" i="4"/>
  <c r="E874" i="4" s="1"/>
  <c r="F873" i="4"/>
  <c r="D869" i="4"/>
  <c r="E869" i="4" s="1"/>
  <c r="F868" i="4"/>
  <c r="D786" i="4"/>
  <c r="E786" i="4" s="1"/>
  <c r="D787" i="4" s="1"/>
  <c r="E787" i="4" s="1"/>
  <c r="F787" i="4" s="1"/>
  <c r="D814" i="4"/>
  <c r="E814" i="4" s="1"/>
  <c r="F814" i="4" s="1"/>
  <c r="D750" i="4"/>
  <c r="E750" i="4" s="1"/>
  <c r="F750" i="4" s="1"/>
  <c r="F722" i="4"/>
  <c r="F855" i="4"/>
  <c r="D852" i="4"/>
  <c r="E852" i="4" s="1"/>
  <c r="F852" i="4" s="1"/>
  <c r="F851" i="4"/>
  <c r="D842" i="4"/>
  <c r="E842" i="4" s="1"/>
  <c r="F842" i="4" s="1"/>
  <c r="F841" i="4"/>
  <c r="F833" i="4"/>
  <c r="D834" i="4"/>
  <c r="E834" i="4" s="1"/>
  <c r="D829" i="4"/>
  <c r="E829" i="4" s="1"/>
  <c r="F828" i="4"/>
  <c r="D810" i="4"/>
  <c r="E810" i="4" s="1"/>
  <c r="F809" i="4"/>
  <c r="D804" i="4"/>
  <c r="E804" i="4" s="1"/>
  <c r="F804" i="4" s="1"/>
  <c r="F803" i="4"/>
  <c r="D795" i="4"/>
  <c r="E795" i="4" s="1"/>
  <c r="D792" i="4"/>
  <c r="E792" i="4" s="1"/>
  <c r="F791" i="4"/>
  <c r="D699" i="4"/>
  <c r="E699" i="4" s="1"/>
  <c r="F699" i="4" s="1"/>
  <c r="F429" i="4"/>
  <c r="D656" i="4"/>
  <c r="E656" i="4" s="1"/>
  <c r="F656" i="4" s="1"/>
  <c r="D779" i="4"/>
  <c r="E779" i="4" s="1"/>
  <c r="F778" i="4"/>
  <c r="D771" i="4"/>
  <c r="E771" i="4" s="1"/>
  <c r="F770" i="4"/>
  <c r="D763" i="4"/>
  <c r="E763" i="4" s="1"/>
  <c r="F763" i="4" s="1"/>
  <c r="F762" i="4"/>
  <c r="F756" i="4"/>
  <c r="F755" i="4"/>
  <c r="D746" i="4"/>
  <c r="E746" i="4" s="1"/>
  <c r="F746" i="4" s="1"/>
  <c r="F745" i="4"/>
  <c r="D742" i="4"/>
  <c r="E742" i="4" s="1"/>
  <c r="F741" i="4"/>
  <c r="D738" i="4"/>
  <c r="F737" i="4"/>
  <c r="F733" i="4"/>
  <c r="D729" i="4"/>
  <c r="E729" i="4" s="1"/>
  <c r="F728" i="4"/>
  <c r="D724" i="4"/>
  <c r="E724" i="4" s="1"/>
  <c r="F723" i="4"/>
  <c r="F720" i="4"/>
  <c r="D716" i="4"/>
  <c r="E716" i="4" s="1"/>
  <c r="F716" i="4" s="1"/>
  <c r="F715" i="4"/>
  <c r="D711" i="4"/>
  <c r="E711" i="4" s="1"/>
  <c r="F711" i="4" s="1"/>
  <c r="F710" i="4"/>
  <c r="D704" i="4"/>
  <c r="E704" i="4" s="1"/>
  <c r="F704" i="4" s="1"/>
  <c r="F703" i="4"/>
  <c r="D690" i="4"/>
  <c r="E690" i="4" s="1"/>
  <c r="F689" i="4"/>
  <c r="F684" i="4"/>
  <c r="D680" i="4"/>
  <c r="E680" i="4" s="1"/>
  <c r="F680" i="4" s="1"/>
  <c r="F679" i="4"/>
  <c r="D675" i="4"/>
  <c r="E675" i="4" s="1"/>
  <c r="F675" i="4" s="1"/>
  <c r="F674" i="4"/>
  <c r="F446" i="4"/>
  <c r="F664" i="4"/>
  <c r="D665" i="4"/>
  <c r="E665" i="4" s="1"/>
  <c r="F647" i="4"/>
  <c r="F643" i="4"/>
  <c r="F642" i="4"/>
  <c r="D635" i="4"/>
  <c r="E635" i="4" s="1"/>
  <c r="F634" i="4"/>
  <c r="F629" i="4"/>
  <c r="F630" i="4"/>
  <c r="D626" i="4"/>
  <c r="E626" i="4" s="1"/>
  <c r="F626" i="4" s="1"/>
  <c r="F625" i="4"/>
  <c r="D621" i="4"/>
  <c r="E621" i="4" s="1"/>
  <c r="F620" i="4"/>
  <c r="F613" i="4"/>
  <c r="F614" i="4"/>
  <c r="D609" i="4"/>
  <c r="E609" i="4" s="1"/>
  <c r="F608" i="4"/>
  <c r="F602" i="4"/>
  <c r="D522" i="4"/>
  <c r="E522" i="4" s="1"/>
  <c r="D523" i="4" s="1"/>
  <c r="E523" i="4" s="1"/>
  <c r="D283" i="4"/>
  <c r="E283" i="4" s="1"/>
  <c r="F283" i="4" s="1"/>
  <c r="D391" i="4"/>
  <c r="E391" i="4" s="1"/>
  <c r="D392" i="4" s="1"/>
  <c r="E392" i="4" s="1"/>
  <c r="D600" i="4"/>
  <c r="E600" i="4" s="1"/>
  <c r="F600" i="4" s="1"/>
  <c r="D595" i="4"/>
  <c r="E595" i="4" s="1"/>
  <c r="F595" i="4" s="1"/>
  <c r="F594" i="4"/>
  <c r="D590" i="4"/>
  <c r="E590" i="4" s="1"/>
  <c r="F590" i="4" s="1"/>
  <c r="F589" i="4"/>
  <c r="D585" i="4"/>
  <c r="E585" i="4" s="1"/>
  <c r="F585" i="4" s="1"/>
  <c r="F584" i="4"/>
  <c r="F580" i="4"/>
  <c r="D581" i="4"/>
  <c r="E581" i="4" s="1"/>
  <c r="D577" i="4"/>
  <c r="E577" i="4" s="1"/>
  <c r="F577" i="4" s="1"/>
  <c r="F576" i="4"/>
  <c r="D573" i="4"/>
  <c r="E573" i="4" s="1"/>
  <c r="F573" i="4" s="1"/>
  <c r="F572" i="4"/>
  <c r="D565" i="4"/>
  <c r="E565" i="4" s="1"/>
  <c r="F565" i="4" s="1"/>
  <c r="F564" i="4"/>
  <c r="D560" i="4"/>
  <c r="E560" i="4" s="1"/>
  <c r="F559" i="4"/>
  <c r="D546" i="4"/>
  <c r="E546" i="4" s="1"/>
  <c r="F545" i="4"/>
  <c r="D528" i="4"/>
  <c r="E528" i="4" s="1"/>
  <c r="F528" i="4" s="1"/>
  <c r="F527" i="4"/>
  <c r="D499" i="4"/>
  <c r="E499" i="4" s="1"/>
  <c r="F499" i="4" s="1"/>
  <c r="F498" i="4"/>
  <c r="D441" i="4"/>
  <c r="E441" i="4" s="1"/>
  <c r="F441" i="4" s="1"/>
  <c r="F440" i="4"/>
  <c r="F435" i="4"/>
  <c r="F430" i="4"/>
  <c r="D431" i="4"/>
  <c r="E431" i="4" s="1"/>
  <c r="D385" i="4"/>
  <c r="E385" i="4" s="1"/>
  <c r="F384" i="4"/>
  <c r="D380" i="4"/>
  <c r="E380" i="4" s="1"/>
  <c r="F379" i="4"/>
  <c r="D376" i="4"/>
  <c r="F375" i="4"/>
  <c r="D371" i="4"/>
  <c r="E371" i="4" s="1"/>
  <c r="F370" i="4"/>
  <c r="D365" i="4"/>
  <c r="E365" i="4" s="1"/>
  <c r="D366" i="4" s="1"/>
  <c r="E366" i="4" s="1"/>
  <c r="F364" i="4"/>
  <c r="D360" i="4"/>
  <c r="E360" i="4" s="1"/>
  <c r="F359" i="4"/>
  <c r="D355" i="4"/>
  <c r="E355" i="4" s="1"/>
  <c r="F355" i="4" s="1"/>
  <c r="D348" i="4"/>
  <c r="E348" i="4" s="1"/>
  <c r="F342" i="4"/>
  <c r="D343" i="4"/>
  <c r="E343" i="4" s="1"/>
  <c r="F343" i="4" s="1"/>
  <c r="D337" i="4"/>
  <c r="E337" i="4" s="1"/>
  <c r="D332" i="4"/>
  <c r="E332" i="4" s="1"/>
  <c r="D333" i="4" s="1"/>
  <c r="E333" i="4" s="1"/>
  <c r="F333" i="4" s="1"/>
  <c r="F331" i="4"/>
  <c r="F329" i="4"/>
  <c r="D319" i="4"/>
  <c r="E319" i="4" s="1"/>
  <c r="F319" i="4" s="1"/>
  <c r="F318" i="4"/>
  <c r="F287" i="4"/>
  <c r="D288" i="4"/>
  <c r="E288" i="4" s="1"/>
  <c r="F284" i="4"/>
  <c r="F269" i="4"/>
  <c r="E268" i="4"/>
  <c r="F267" i="4"/>
  <c r="F266" i="4"/>
  <c r="F265" i="4"/>
  <c r="F264" i="4"/>
  <c r="F263" i="4"/>
  <c r="F262" i="4"/>
  <c r="F261" i="4"/>
  <c r="F260" i="4"/>
  <c r="F259" i="4"/>
  <c r="F258" i="4"/>
  <c r="F257" i="4"/>
  <c r="F256" i="4"/>
  <c r="F255" i="4"/>
  <c r="F254" i="4"/>
  <c r="F253" i="4"/>
  <c r="F252" i="4"/>
  <c r="F251" i="4"/>
  <c r="F248" i="4"/>
  <c r="F249" i="4"/>
  <c r="F250" i="4"/>
  <c r="F247" i="4"/>
  <c r="F244" i="4"/>
  <c r="F245" i="4"/>
  <c r="F246" i="4"/>
  <c r="F243" i="4"/>
  <c r="F242" i="4"/>
  <c r="F241" i="4"/>
  <c r="F240" i="4"/>
  <c r="F239" i="4"/>
  <c r="F237" i="4"/>
  <c r="F238" i="4"/>
  <c r="F235" i="4"/>
  <c r="F233" i="4"/>
  <c r="F234" i="4"/>
  <c r="F236" i="4"/>
  <c r="F232" i="4"/>
  <c r="F230" i="4"/>
  <c r="F231" i="4"/>
  <c r="F229" i="4"/>
  <c r="F228" i="4"/>
  <c r="F226" i="4"/>
  <c r="F227" i="4"/>
  <c r="F225" i="4"/>
  <c r="F223" i="4"/>
  <c r="F224" i="4"/>
  <c r="F220" i="4"/>
  <c r="F221" i="4"/>
  <c r="F222" i="4"/>
  <c r="F219" i="4"/>
  <c r="E216" i="4"/>
  <c r="F216" i="4" s="1"/>
  <c r="E211" i="4"/>
  <c r="D212" i="4" s="1"/>
  <c r="E212" i="4" s="1"/>
  <c r="F215" i="4"/>
  <c r="F210" i="4"/>
  <c r="D847" i="4" l="1"/>
  <c r="E847" i="4" s="1"/>
  <c r="D751" i="4"/>
  <c r="E751" i="4" s="1"/>
  <c r="F751" i="4" s="1"/>
  <c r="F1006" i="4"/>
  <c r="F522" i="4"/>
  <c r="D657" i="4"/>
  <c r="E657" i="4" s="1"/>
  <c r="F786" i="4"/>
  <c r="D815" i="4"/>
  <c r="E815" i="4" s="1"/>
  <c r="D1014" i="4"/>
  <c r="E1014" i="4" s="1"/>
  <c r="F1013" i="4"/>
  <c r="D796" i="4"/>
  <c r="E796" i="4" s="1"/>
  <c r="F738" i="4"/>
  <c r="F391" i="4"/>
  <c r="D666" i="4"/>
  <c r="E666" i="4" s="1"/>
  <c r="F665" i="4"/>
  <c r="F648" i="4"/>
  <c r="D636" i="4"/>
  <c r="E636" i="4" s="1"/>
  <c r="F636" i="4" s="1"/>
  <c r="F635" i="4"/>
  <c r="F332" i="4"/>
  <c r="F581" i="4"/>
  <c r="F211" i="4"/>
  <c r="F365" i="4"/>
  <c r="F385" i="4"/>
  <c r="D386" i="4"/>
  <c r="E386" i="4" s="1"/>
  <c r="F386" i="4" s="1"/>
  <c r="D381" i="4"/>
  <c r="E381" i="4" s="1"/>
  <c r="F381" i="4" s="1"/>
  <c r="D372" i="4"/>
  <c r="E372" i="4" s="1"/>
  <c r="F372" i="4" s="1"/>
  <c r="F371" i="4"/>
  <c r="F366" i="4"/>
  <c r="D361" i="4"/>
  <c r="E361" i="4" s="1"/>
  <c r="F361" i="4" s="1"/>
  <c r="F348" i="4"/>
  <c r="D349" i="4"/>
  <c r="E349" i="4" s="1"/>
  <c r="F349" i="4" s="1"/>
  <c r="D338" i="4"/>
  <c r="E338" i="4" s="1"/>
  <c r="F337" i="4"/>
  <c r="D217" i="4"/>
  <c r="E217" i="4" s="1"/>
  <c r="D213" i="4"/>
  <c r="E213" i="4" s="1"/>
  <c r="F212" i="4"/>
  <c r="E206" i="4"/>
  <c r="D207" i="4" s="1"/>
  <c r="E207" i="4" s="1"/>
  <c r="D208" i="4" s="1"/>
  <c r="E208" i="4" s="1"/>
  <c r="D209" i="4" s="1"/>
  <c r="E209" i="4" s="1"/>
  <c r="F205" i="4"/>
  <c r="D218" i="4" l="1"/>
  <c r="E218" i="4" s="1"/>
  <c r="F217" i="4"/>
  <c r="D214" i="4"/>
  <c r="E214" i="4" s="1"/>
  <c r="F214" i="4" s="1"/>
  <c r="F213" i="4"/>
  <c r="F206" i="4"/>
  <c r="F208" i="4"/>
  <c r="F207" i="4"/>
  <c r="E201" i="4"/>
  <c r="D202" i="4" s="1"/>
  <c r="E202" i="4" s="1"/>
  <c r="E199" i="4"/>
  <c r="F199" i="4" s="1"/>
  <c r="E195" i="4"/>
  <c r="D196" i="4" s="1"/>
  <c r="E196" i="4" s="1"/>
  <c r="D197" i="4" s="1"/>
  <c r="E197" i="4" s="1"/>
  <c r="D198" i="4" s="1"/>
  <c r="E198" i="4" s="1"/>
  <c r="F198" i="4" s="1"/>
  <c r="E189" i="4"/>
  <c r="D190" i="4" s="1"/>
  <c r="E190" i="4" s="1"/>
  <c r="F193" i="4"/>
  <c r="E187" i="4"/>
  <c r="F187" i="4" s="1"/>
  <c r="E188" i="4"/>
  <c r="F188" i="4" s="1"/>
  <c r="F183" i="4"/>
  <c r="E184" i="4"/>
  <c r="F184" i="4" s="1"/>
  <c r="E185" i="4"/>
  <c r="F185" i="4" s="1"/>
  <c r="E186" i="4"/>
  <c r="E179" i="4"/>
  <c r="D180" i="4" s="1"/>
  <c r="E180" i="4" s="1"/>
  <c r="E175" i="4"/>
  <c r="D176" i="4" s="1"/>
  <c r="E176" i="4" s="1"/>
  <c r="E172" i="4"/>
  <c r="D173" i="4" s="1"/>
  <c r="E173" i="4" s="1"/>
  <c r="E167" i="4"/>
  <c r="D168" i="4" s="1"/>
  <c r="E168" i="4" s="1"/>
  <c r="E165" i="4"/>
  <c r="E161" i="4"/>
  <c r="D162" i="4" s="1"/>
  <c r="E162" i="4" s="1"/>
  <c r="D163" i="4" s="1"/>
  <c r="E163" i="4" s="1"/>
  <c r="D164" i="4" s="1"/>
  <c r="E164" i="4" s="1"/>
  <c r="F164" i="4" s="1"/>
  <c r="E156" i="4"/>
  <c r="D157" i="4" s="1"/>
  <c r="E157" i="4" s="1"/>
  <c r="E152" i="4"/>
  <c r="D153" i="4" s="1"/>
  <c r="E153" i="4" s="1"/>
  <c r="E151" i="4"/>
  <c r="E148" i="4"/>
  <c r="D149" i="4" s="1"/>
  <c r="E149" i="4" s="1"/>
  <c r="F145" i="4"/>
  <c r="F146" i="4"/>
  <c r="F147" i="4"/>
  <c r="E142" i="4"/>
  <c r="D143" i="4" s="1"/>
  <c r="E143" i="4" s="1"/>
  <c r="E139" i="4"/>
  <c r="F139" i="4" s="1"/>
  <c r="E138" i="4"/>
  <c r="F137" i="4"/>
  <c r="E135" i="4"/>
  <c r="E136" i="4"/>
  <c r="E133" i="4"/>
  <c r="E127" i="4"/>
  <c r="D128" i="4" s="1"/>
  <c r="E128" i="4" s="1"/>
  <c r="D129" i="4" s="1"/>
  <c r="E129" i="4" s="1"/>
  <c r="D130" i="4" s="1"/>
  <c r="E130" i="4" s="1"/>
  <c r="F132" i="4"/>
  <c r="E131" i="4"/>
  <c r="F131" i="4" s="1"/>
  <c r="E126" i="4"/>
  <c r="E125" i="4"/>
  <c r="F125" i="4" s="1"/>
  <c r="F123" i="4"/>
  <c r="F124" i="4"/>
  <c r="F122" i="4"/>
  <c r="E118" i="4"/>
  <c r="D119" i="4" s="1"/>
  <c r="E119" i="4" s="1"/>
  <c r="E116" i="4"/>
  <c r="F116" i="4" s="1"/>
  <c r="E112" i="4"/>
  <c r="D113" i="4" s="1"/>
  <c r="E113" i="4" s="1"/>
  <c r="E111" i="4"/>
  <c r="E109" i="4"/>
  <c r="E110" i="4"/>
  <c r="E108" i="4"/>
  <c r="F107" i="4"/>
  <c r="F106" i="4"/>
  <c r="E104" i="4"/>
  <c r="E103" i="4"/>
  <c r="E101" i="4"/>
  <c r="D102" i="4" s="1"/>
  <c r="E102" i="4" s="1"/>
  <c r="E99" i="4"/>
  <c r="D100" i="4" s="1"/>
  <c r="E100" i="4" s="1"/>
  <c r="E98" i="4"/>
  <c r="E94" i="4"/>
  <c r="D95" i="4" s="1"/>
  <c r="E95" i="4" s="1"/>
  <c r="E91" i="4"/>
  <c r="D92" i="4" s="1"/>
  <c r="E92" i="4" s="1"/>
  <c r="F90" i="4"/>
  <c r="E88" i="4"/>
  <c r="E84" i="4"/>
  <c r="D85" i="4" s="1"/>
  <c r="E85" i="4" s="1"/>
  <c r="F83" i="4"/>
  <c r="E78" i="4"/>
  <c r="E82" i="4"/>
  <c r="E77" i="4"/>
  <c r="E76" i="4"/>
  <c r="F75" i="4"/>
  <c r="E70" i="4"/>
  <c r="E73" i="4"/>
  <c r="D74" i="4" s="1"/>
  <c r="E74" i="4" s="1"/>
  <c r="E71" i="4"/>
  <c r="D72" i="4" s="1"/>
  <c r="E72" i="4" s="1"/>
  <c r="E67" i="4"/>
  <c r="D68" i="4" s="1"/>
  <c r="E68" i="4" s="1"/>
  <c r="D69" i="4" s="1"/>
  <c r="E69" i="4" s="1"/>
  <c r="E63" i="4"/>
  <c r="F63" i="4" s="1"/>
  <c r="F62" i="4"/>
  <c r="F61" i="4"/>
  <c r="E58" i="4"/>
  <c r="D59" i="4" s="1"/>
  <c r="E59" i="4" s="1"/>
  <c r="E54" i="4"/>
  <c r="F54" i="4" s="1"/>
  <c r="E50" i="4"/>
  <c r="D51" i="4" s="1"/>
  <c r="E51" i="4" s="1"/>
  <c r="E45" i="4"/>
  <c r="D46" i="4" s="1"/>
  <c r="E46" i="4" s="1"/>
  <c r="F49" i="4"/>
  <c r="F44" i="4"/>
  <c r="E41" i="4"/>
  <c r="F41" i="4" s="1"/>
  <c r="E39" i="4"/>
  <c r="E38" i="4"/>
  <c r="F38" i="4" s="1"/>
  <c r="F40" i="4"/>
  <c r="E36" i="4"/>
  <c r="F36" i="4" s="1"/>
  <c r="F35" i="4"/>
  <c r="F31" i="4"/>
  <c r="E32" i="4"/>
  <c r="E33" i="4" s="1"/>
  <c r="D34" i="4" s="1"/>
  <c r="E34" i="4" s="1"/>
  <c r="F218" i="4" l="1"/>
  <c r="F202" i="4"/>
  <c r="D203" i="4"/>
  <c r="E203" i="4" s="1"/>
  <c r="F194" i="4"/>
  <c r="F195" i="4"/>
  <c r="F189" i="4"/>
  <c r="D191" i="4"/>
  <c r="E191" i="4" s="1"/>
  <c r="F190" i="4"/>
  <c r="F179" i="4"/>
  <c r="D181" i="4"/>
  <c r="E181" i="4" s="1"/>
  <c r="F180" i="4"/>
  <c r="F176" i="4"/>
  <c r="D177" i="4"/>
  <c r="E177" i="4" s="1"/>
  <c r="F175" i="4"/>
  <c r="F172" i="4"/>
  <c r="F173" i="4"/>
  <c r="D174" i="4"/>
  <c r="E174" i="4" s="1"/>
  <c r="F167" i="4"/>
  <c r="F168" i="4"/>
  <c r="D169" i="4"/>
  <c r="E169" i="4" s="1"/>
  <c r="F160" i="4"/>
  <c r="F161" i="4"/>
  <c r="F156" i="4"/>
  <c r="F157" i="4"/>
  <c r="D158" i="4"/>
  <c r="E158" i="4" s="1"/>
  <c r="F153" i="4"/>
  <c r="D154" i="4"/>
  <c r="E154" i="4" s="1"/>
  <c r="F155" i="4" s="1"/>
  <c r="F152" i="4"/>
  <c r="D150" i="4"/>
  <c r="E150" i="4" s="1"/>
  <c r="F148" i="4"/>
  <c r="F142" i="4"/>
  <c r="F143" i="4"/>
  <c r="D144" i="4"/>
  <c r="E144" i="4" s="1"/>
  <c r="D140" i="4"/>
  <c r="E140" i="4" s="1"/>
  <c r="D141" i="4" s="1"/>
  <c r="E141" i="4" s="1"/>
  <c r="D134" i="4"/>
  <c r="E134" i="4" s="1"/>
  <c r="F127" i="4"/>
  <c r="F119" i="4"/>
  <c r="D120" i="4"/>
  <c r="E120" i="4" s="1"/>
  <c r="D114" i="4"/>
  <c r="E114" i="4" s="1"/>
  <c r="F112" i="4"/>
  <c r="D105" i="4"/>
  <c r="E105" i="4" s="1"/>
  <c r="F104" i="4"/>
  <c r="F101" i="4"/>
  <c r="F102" i="4"/>
  <c r="F94" i="4"/>
  <c r="F95" i="4"/>
  <c r="D96" i="4"/>
  <c r="E96" i="4" s="1"/>
  <c r="F91" i="4"/>
  <c r="F92" i="4"/>
  <c r="D93" i="4"/>
  <c r="E93" i="4" s="1"/>
  <c r="F89" i="4"/>
  <c r="D86" i="4"/>
  <c r="E86" i="4" s="1"/>
  <c r="D79" i="4"/>
  <c r="E79" i="4" s="1"/>
  <c r="D80" i="4" s="1"/>
  <c r="E80" i="4" s="1"/>
  <c r="F71" i="4"/>
  <c r="F68" i="4"/>
  <c r="F67" i="4"/>
  <c r="D64" i="4"/>
  <c r="E64" i="4" s="1"/>
  <c r="D60" i="4"/>
  <c r="E60" i="4" s="1"/>
  <c r="D55" i="4"/>
  <c r="E55" i="4" s="1"/>
  <c r="D56" i="4" s="1"/>
  <c r="E56" i="4" s="1"/>
  <c r="F45" i="4"/>
  <c r="F51" i="4"/>
  <c r="D52" i="4"/>
  <c r="E52" i="4" s="1"/>
  <c r="F46" i="4"/>
  <c r="D47" i="4"/>
  <c r="E47" i="4" s="1"/>
  <c r="D42" i="4"/>
  <c r="E42" i="4" s="1"/>
  <c r="D37" i="4"/>
  <c r="E37" i="4" s="1"/>
  <c r="F37" i="4" s="1"/>
  <c r="E27" i="4"/>
  <c r="F26" i="4"/>
  <c r="E20" i="4"/>
  <c r="D21" i="4" s="1"/>
  <c r="E21" i="4" s="1"/>
  <c r="F25" i="4"/>
  <c r="F14" i="4"/>
  <c r="F19" i="4"/>
  <c r="E15" i="4"/>
  <c r="D16" i="4" s="1"/>
  <c r="E16" i="4" s="1"/>
  <c r="F16" i="4" s="1"/>
  <c r="E9" i="4"/>
  <c r="F9" i="4" s="1"/>
  <c r="E13" i="4"/>
  <c r="F13" i="4" s="1"/>
  <c r="F8" i="4"/>
  <c r="F2" i="4"/>
  <c r="E4" i="4"/>
  <c r="D5" i="4" s="1"/>
  <c r="E5" i="4" s="1"/>
  <c r="D6" i="4" s="1"/>
  <c r="E6" i="4" s="1"/>
  <c r="F6" i="4" s="1"/>
  <c r="D204" i="4" l="1"/>
  <c r="E204" i="4" s="1"/>
  <c r="F196" i="4"/>
  <c r="F191" i="4"/>
  <c r="D192" i="4"/>
  <c r="E192" i="4" s="1"/>
  <c r="F192" i="4" s="1"/>
  <c r="F181" i="4"/>
  <c r="D182" i="4"/>
  <c r="E182" i="4" s="1"/>
  <c r="F182" i="4" s="1"/>
  <c r="D178" i="4"/>
  <c r="E178" i="4" s="1"/>
  <c r="F177" i="4"/>
  <c r="F174" i="4"/>
  <c r="D170" i="4"/>
  <c r="E170" i="4" s="1"/>
  <c r="F169" i="4"/>
  <c r="F163" i="4"/>
  <c r="F162" i="4"/>
  <c r="D159" i="4"/>
  <c r="E159" i="4" s="1"/>
  <c r="F158" i="4"/>
  <c r="F154" i="4"/>
  <c r="F150" i="4"/>
  <c r="F144" i="4"/>
  <c r="F140" i="4"/>
  <c r="F134" i="4"/>
  <c r="F130" i="4"/>
  <c r="F129" i="4"/>
  <c r="D121" i="4"/>
  <c r="E121" i="4" s="1"/>
  <c r="F120" i="4"/>
  <c r="F117" i="4"/>
  <c r="F114" i="4"/>
  <c r="D115" i="4"/>
  <c r="E115" i="4" s="1"/>
  <c r="F79" i="4"/>
  <c r="F105" i="4"/>
  <c r="D97" i="4"/>
  <c r="E97" i="4" s="1"/>
  <c r="F97" i="4" s="1"/>
  <c r="F96" i="4"/>
  <c r="F86" i="4"/>
  <c r="D87" i="4"/>
  <c r="E87" i="4" s="1"/>
  <c r="F87" i="4" s="1"/>
  <c r="D81" i="4"/>
  <c r="E81" i="4" s="1"/>
  <c r="D65" i="4"/>
  <c r="E65" i="4" s="1"/>
  <c r="F60" i="4"/>
  <c r="D57" i="4"/>
  <c r="E57" i="4" s="1"/>
  <c r="F56" i="4"/>
  <c r="D53" i="4"/>
  <c r="E53" i="4" s="1"/>
  <c r="F53" i="4" s="1"/>
  <c r="F52" i="4"/>
  <c r="F47" i="4"/>
  <c r="D48" i="4"/>
  <c r="E48" i="4" s="1"/>
  <c r="F42" i="4"/>
  <c r="D43" i="4"/>
  <c r="E43" i="4" s="1"/>
  <c r="F39" i="4"/>
  <c r="F32" i="4"/>
  <c r="D28" i="4"/>
  <c r="E28" i="4" s="1"/>
  <c r="F15" i="4"/>
  <c r="D22" i="4"/>
  <c r="E22" i="4" s="1"/>
  <c r="F21" i="4"/>
  <c r="F20" i="4"/>
  <c r="D17" i="4"/>
  <c r="E17" i="4" s="1"/>
  <c r="D10" i="4"/>
  <c r="E10" i="4" s="1"/>
  <c r="F10" i="4" s="1"/>
  <c r="F4" i="4"/>
  <c r="F5" i="4"/>
  <c r="D7" i="4"/>
  <c r="F7" i="4" s="1"/>
  <c r="F118" i="4" l="1"/>
  <c r="D66" i="4"/>
  <c r="E66" i="4" s="1"/>
  <c r="F65" i="4"/>
  <c r="F34" i="4"/>
  <c r="F33" i="4"/>
  <c r="D29" i="4"/>
  <c r="E29" i="4" s="1"/>
  <c r="F28" i="4"/>
  <c r="D23" i="4"/>
  <c r="E23" i="4" s="1"/>
  <c r="D24" i="4" s="1"/>
  <c r="E24" i="4" s="1"/>
  <c r="D18" i="4"/>
  <c r="E18" i="4" s="1"/>
  <c r="F18" i="4" s="1"/>
  <c r="D11" i="4"/>
  <c r="E11" i="4" s="1"/>
  <c r="F11" i="4" s="1"/>
  <c r="F29" i="4" l="1"/>
  <c r="D30" i="4"/>
  <c r="E30" i="4" s="1"/>
  <c r="F30" i="4" s="1"/>
  <c r="D12" i="4"/>
  <c r="F12" i="4" s="1"/>
</calcChain>
</file>

<file path=xl/sharedStrings.xml><?xml version="1.0" encoding="utf-8"?>
<sst xmlns="http://schemas.openxmlformats.org/spreadsheetml/2006/main" count="3468" uniqueCount="79">
  <si>
    <t>READING</t>
  </si>
  <si>
    <t>+</t>
  </si>
  <si>
    <t>-</t>
  </si>
  <si>
    <t xml:space="preserve">           </t>
  </si>
  <si>
    <t xml:space="preserve"> </t>
  </si>
  <si>
    <t>CS50</t>
  </si>
  <si>
    <t>Row Labels</t>
  </si>
  <si>
    <t>Grand Total</t>
  </si>
  <si>
    <t>SESSION PATTERN</t>
  </si>
  <si>
    <t>TIME INTERVALS</t>
  </si>
  <si>
    <t>DATE</t>
  </si>
  <si>
    <t>STARTING TIME</t>
  </si>
  <si>
    <t>ENDING TIME</t>
  </si>
  <si>
    <t>DURATION</t>
  </si>
  <si>
    <t>COURSE</t>
  </si>
  <si>
    <t>RESULT</t>
  </si>
  <si>
    <t>DATA SCIENCE</t>
  </si>
  <si>
    <t>OTHER</t>
  </si>
  <si>
    <t>MACHINE LEARNING</t>
  </si>
  <si>
    <t>ECONOMY</t>
  </si>
  <si>
    <t>STATISTICS</t>
  </si>
  <si>
    <t>BREAK</t>
  </si>
  <si>
    <t>TODAY'S DATE</t>
  </si>
  <si>
    <t>Sum of DURATION</t>
  </si>
  <si>
    <t>Column Labels</t>
  </si>
  <si>
    <t>MEANINGS</t>
  </si>
  <si>
    <t>Duration of 1 course</t>
  </si>
  <si>
    <t xml:space="preserve">5-minute break between the first three intervalsf  </t>
  </si>
  <si>
    <t>7-minute break between the third and fourth intervals</t>
  </si>
  <si>
    <t>15-minute break between sessions</t>
  </si>
  <si>
    <t>YEAR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</si>
  <si>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</si>
  <si>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</si>
  <si>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</si>
  <si>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</si>
  <si>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</si>
  <si>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</si>
  <si>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</si>
  <si>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</si>
  <si>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</si>
  <si>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</si>
  <si>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</si>
  <si>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</si>
  <si>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</si>
  <si>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2023</t>
  </si>
  <si>
    <t>2022</t>
  </si>
  <si>
    <t>2021</t>
  </si>
  <si>
    <t>12 AM</t>
  </si>
  <si>
    <t>1 AM</t>
  </si>
  <si>
    <t>2 AM</t>
  </si>
  <si>
    <t>3 AM</t>
  </si>
  <si>
    <t>4 AM</t>
  </si>
  <si>
    <t>9 AM</t>
  </si>
  <si>
    <t>10 AM</t>
  </si>
  <si>
    <t>11 AM</t>
  </si>
  <si>
    <t>12 PM</t>
  </si>
  <si>
    <t>2 PM</t>
  </si>
  <si>
    <t>1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</si>
  <si>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</si>
  <si>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</si>
  <si>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</si>
  <si>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</si>
  <si>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</si>
  <si>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</si>
  <si>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</si>
  <si>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</si>
  <si>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</si>
  <si>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Count of DATE</t>
  </si>
  <si>
    <t>8 AM</t>
  </si>
  <si>
    <t>(Multiple Items)</t>
  </si>
  <si>
    <t>DATES</t>
  </si>
  <si>
    <t>Sum of Duration</t>
  </si>
  <si>
    <t>October 24-29, 2021</t>
  </si>
  <si>
    <t>November 14-17, 2021</t>
  </si>
  <si>
    <t>January 15-18, 2022</t>
  </si>
  <si>
    <t>December 03-09, 2021</t>
  </si>
  <si>
    <t>September 12-15, 2022</t>
  </si>
  <si>
    <t>Dates with the Highest Study Time</t>
  </si>
  <si>
    <t>The Average Study Hours Per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</si>
</sst>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5" formatCode="ddd\,\ dd/mm/yyyy"/>
    <numFmt numFmtId="166" formatCode="[hhhh]:mm"/>
    <numFmt numFmtId="169" formatCode="[hhhhh]:mm"/>
    <numFmt numFmtId="170" formatCode="ddd\,dd\.mm\.yyyy"/>
    <numFmt numFmtId="171" formatCode="hh:mm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165" fontId="0" fillId="0" borderId="0" xfId="0" applyNumberFormat="1"/>
    <xf numFmtId="20" fontId="0" fillId="0" borderId="0" xfId="0" applyNumberFormat="1"/>
    <xf numFmtId="169" fontId="0" fillId="0" borderId="0" xfId="0" applyNumberFormat="1"/>
    <xf numFmtId="170" fontId="0" fillId="0" borderId="0" xfId="0" applyNumberFormat="1" applyAlignment="1">
      <alignment horizontal="left"/>
    </xf>
    <xf numFmtId="4" fontId="0" fillId="0" borderId="0" xfId="0" applyNumberFormat="1"/>
    <xf numFmtId="0" fontId="0" fillId="0" borderId="0" xfId="0" pivotButton="1"/>
    <xf numFmtId="171" fontId="0" fillId="0" borderId="0" xfId="0" applyNumberFormat="1"/>
    <xf numFmtId="0" fontId="5" fillId="4" borderId="2" xfId="0" applyFont="1" applyFill="1" applyBorder="1" applyAlignment="1">
      <alignment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2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/>
    </xf>
    <xf numFmtId="0" fontId="6" fillId="2" borderId="0" xfId="0" applyFont="1" applyFill="1" applyAlignment="1">
      <alignment horizontal="center" vertical="center" wrapText="1"/>
    </xf>
    <xf numFmtId="0" fontId="0" fillId="0" borderId="0" xfId="0" applyAlignment="1">
      <alignment horizontal="left" indent="1"/>
    </xf>
    <xf numFmtId="171" fontId="0" fillId="0" borderId="0" xfId="0" applyNumberFormat="1" applyAlignment="1">
      <alignment horizontal="center"/>
    </xf>
    <xf numFmtId="171" fontId="0" fillId="3" borderId="1" xfId="0" applyNumberFormat="1" applyFill="1" applyBorder="1"/>
    <xf numFmtId="0" fontId="4" fillId="4" borderId="2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166" fontId="0" fillId="0" borderId="0" xfId="0" applyNumberFormat="1"/>
    <xf numFmtId="165" fontId="0" fillId="3" borderId="0" xfId="0" applyNumberFormat="1" applyFill="1" applyAlignment="1">
      <alignment horizontal="left"/>
    </xf>
    <xf numFmtId="166" fontId="0" fillId="3" borderId="0" xfId="0" applyNumberFormat="1" applyFill="1"/>
    <xf numFmtId="0" fontId="1" fillId="2" borderId="0" xfId="0" applyFont="1" applyFill="1" applyAlignment="1">
      <alignment horizontal="center" wrapText="1"/>
    </xf>
  </cellXfs>
  <cellStyles count="1">
    <cellStyle name="Normal" xfId="0" builtinId="0"/>
  </cellStyles>
  <dxfs count="14">
    <dxf>
      <numFmt numFmtId="166" formatCode="[hhhh]:mm"/>
      <fill>
        <patternFill patternType="solid">
          <fgColor theme="0" tint="-0.14999847407452621"/>
          <bgColor theme="0" tint="-0.14999847407452621"/>
        </patternFill>
      </fill>
    </dxf>
    <dxf>
      <numFmt numFmtId="165" formatCode="ddd\,\ dd/mm/yyyy"/>
      <fill>
        <patternFill patternType="solid">
          <fgColor theme="0" tint="-0.14999847407452621"/>
          <bgColor theme="0" tint="-0.14999847407452621"/>
        </patternFill>
      </fill>
      <alignment horizontal="left" vertical="bottom" textRotation="0" wrapText="0" indent="0" justifyLastLine="0" shrinkToFit="0" readingOrder="0"/>
    </dxf>
    <dxf>
      <numFmt numFmtId="166" formatCode="[hhhh]:mm"/>
    </dxf>
    <dxf>
      <numFmt numFmtId="166" formatCode="[hhhh]:mm"/>
    </dxf>
    <dxf>
      <numFmt numFmtId="169" formatCode="[hhhhh]:mm"/>
    </dxf>
    <dxf>
      <numFmt numFmtId="169" formatCode="[hhhhh]:mm"/>
    </dxf>
    <dxf>
      <numFmt numFmtId="171" formatCode="hh:mm"/>
    </dxf>
    <dxf>
      <numFmt numFmtId="171" formatCode="hh:mm"/>
    </dxf>
    <dxf>
      <numFmt numFmtId="171" formatCode="hh:mm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71" formatCode="hh:mm"/>
    </dxf>
    <dxf>
      <numFmt numFmtId="165" formatCode="ddd\,\ dd/mm/yyyy"/>
    </dxf>
    <dxf>
      <numFmt numFmtId="165" formatCode="ddd\,\ dd/mm/yyyy"/>
    </dxf>
    <dxf>
      <numFmt numFmtId="165" formatCode="ddd\,\ 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2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[DERS ÇALIŞMA (version 1)(AutoRecovered) (version 1) - Kopya.xlsm]DATA ANALYSIS!PivotTable1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600" b="1" i="0" u="none" strike="noStrike" baseline="0">
                <a:effectLst/>
              </a:rPr>
              <a:t>A Stacked Column Chart Distributed by Years and Months and Filtered by Subjects</a:t>
            </a:r>
            <a:endParaRPr lang="tr-TR" sz="1600" b="1"/>
          </a:p>
        </c:rich>
      </c:tx>
      <c:layout>
        <c:manualLayout>
          <c:xMode val="edge"/>
          <c:yMode val="edge"/>
          <c:x val="0.14239720034995623"/>
          <c:y val="2.93864476617842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4854085020194389E-2"/>
          <c:y val="0.24421619676572681"/>
          <c:w val="0.75763935330001553"/>
          <c:h val="0.3567197245505602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'DATA ANALYSIS'!$B$5:$B$6</c:f>
              <c:strCache>
                <c:ptCount val="1"/>
                <c:pt idx="0">
                  <c:v>CS50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'DATA ANALYSIS'!$A$7:$A$31</c:f>
              <c:multiLvlStrCache>
                <c:ptCount val="21"/>
                <c:lvl>
                  <c:pt idx="0">
                    <c:v>September</c:v>
                  </c:pt>
                  <c:pt idx="1">
                    <c:v>October</c:v>
                  </c:pt>
                  <c:pt idx="2">
                    <c:v>November</c:v>
                  </c:pt>
                  <c:pt idx="3">
                    <c:v>December</c:v>
                  </c:pt>
                  <c:pt idx="4">
                    <c:v>January</c:v>
                  </c:pt>
                  <c:pt idx="5">
                    <c:v>February</c:v>
                  </c:pt>
                  <c:pt idx="6">
                    <c:v>March</c:v>
                  </c:pt>
                  <c:pt idx="7">
                    <c:v>April</c:v>
                  </c:pt>
                  <c:pt idx="8">
                    <c:v>May</c:v>
                  </c:pt>
                  <c:pt idx="9">
                    <c:v>June</c:v>
                  </c:pt>
                  <c:pt idx="10">
                    <c:v>July</c:v>
                  </c:pt>
                  <c:pt idx="11">
                    <c:v>August</c:v>
                  </c:pt>
                  <c:pt idx="12">
                    <c:v>September</c:v>
                  </c:pt>
                  <c:pt idx="13">
                    <c:v>October</c:v>
                  </c:pt>
                  <c:pt idx="14">
                    <c:v>November</c:v>
                  </c:pt>
                  <c:pt idx="15">
                    <c:v>December</c:v>
                  </c:pt>
                  <c:pt idx="16">
                    <c:v>January</c:v>
                  </c:pt>
                  <c:pt idx="17">
                    <c:v>February</c:v>
                  </c:pt>
                  <c:pt idx="18">
                    <c:v>March</c:v>
                  </c:pt>
                  <c:pt idx="19">
                    <c:v>April</c:v>
                  </c:pt>
                  <c:pt idx="20">
                    <c:v>May</c:v>
                  </c:pt>
                </c:lvl>
                <c:lvl>
                  <c:pt idx="0">
                    <c:v>2021</c:v>
                  </c:pt>
                  <c:pt idx="4">
                    <c:v>2022</c:v>
                  </c:pt>
                  <c:pt idx="16">
                    <c:v>2023</c:v>
                  </c:pt>
                </c:lvl>
              </c:multiLvlStrCache>
            </c:multiLvlStrRef>
          </c:cat>
          <c:val>
            <c:numRef>
              <c:f>'DATA ANALYSIS'!$B$7:$B$31</c:f>
              <c:numCache>
                <c:formatCode>[hhhhh]:mm</c:formatCode>
                <c:ptCount val="21"/>
                <c:pt idx="10">
                  <c:v>6.8055555555555564E-2</c:v>
                </c:pt>
                <c:pt idx="11">
                  <c:v>0.1048611111111111</c:v>
                </c:pt>
                <c:pt idx="12">
                  <c:v>0.53680555555555542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F5-4A16-BCDA-420A482FE1F8}"/>
            </c:ext>
          </c:extLst>
        </c:ser>
        <c:ser>
          <c:idx val="1"/>
          <c:order val="1"/>
          <c:tx>
            <c:strRef>
              <c:f>'DATA ANALYSIS'!$C$5:$C$6</c:f>
              <c:strCache>
                <c:ptCount val="1"/>
                <c:pt idx="0">
                  <c:v>DATA SCIENCE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'DATA ANALYSIS'!$A$7:$A$31</c:f>
              <c:multiLvlStrCache>
                <c:ptCount val="21"/>
                <c:lvl>
                  <c:pt idx="0">
                    <c:v>September</c:v>
                  </c:pt>
                  <c:pt idx="1">
                    <c:v>October</c:v>
                  </c:pt>
                  <c:pt idx="2">
                    <c:v>November</c:v>
                  </c:pt>
                  <c:pt idx="3">
                    <c:v>December</c:v>
                  </c:pt>
                  <c:pt idx="4">
                    <c:v>January</c:v>
                  </c:pt>
                  <c:pt idx="5">
                    <c:v>February</c:v>
                  </c:pt>
                  <c:pt idx="6">
                    <c:v>March</c:v>
                  </c:pt>
                  <c:pt idx="7">
                    <c:v>April</c:v>
                  </c:pt>
                  <c:pt idx="8">
                    <c:v>May</c:v>
                  </c:pt>
                  <c:pt idx="9">
                    <c:v>June</c:v>
                  </c:pt>
                  <c:pt idx="10">
                    <c:v>July</c:v>
                  </c:pt>
                  <c:pt idx="11">
                    <c:v>August</c:v>
                  </c:pt>
                  <c:pt idx="12">
                    <c:v>September</c:v>
                  </c:pt>
                  <c:pt idx="13">
                    <c:v>October</c:v>
                  </c:pt>
                  <c:pt idx="14">
                    <c:v>November</c:v>
                  </c:pt>
                  <c:pt idx="15">
                    <c:v>December</c:v>
                  </c:pt>
                  <c:pt idx="16">
                    <c:v>January</c:v>
                  </c:pt>
                  <c:pt idx="17">
                    <c:v>February</c:v>
                  </c:pt>
                  <c:pt idx="18">
                    <c:v>March</c:v>
                  </c:pt>
                  <c:pt idx="19">
                    <c:v>April</c:v>
                  </c:pt>
                  <c:pt idx="20">
                    <c:v>May</c:v>
                  </c:pt>
                </c:lvl>
                <c:lvl>
                  <c:pt idx="0">
                    <c:v>2021</c:v>
                  </c:pt>
                  <c:pt idx="4">
                    <c:v>2022</c:v>
                  </c:pt>
                  <c:pt idx="16">
                    <c:v>2023</c:v>
                  </c:pt>
                </c:lvl>
              </c:multiLvlStrCache>
            </c:multiLvlStrRef>
          </c:cat>
          <c:val>
            <c:numRef>
              <c:f>'DATA ANALYSIS'!$C$7:$C$31</c:f>
              <c:numCache>
                <c:formatCode>[hhhhh]:mm</c:formatCode>
                <c:ptCount val="21"/>
                <c:pt idx="0">
                  <c:v>0.1361111111111111</c:v>
                </c:pt>
                <c:pt idx="1">
                  <c:v>7.3611111111111113E-2</c:v>
                </c:pt>
                <c:pt idx="2">
                  <c:v>2.9861111111111113E-2</c:v>
                </c:pt>
                <c:pt idx="5">
                  <c:v>0.19236111111111112</c:v>
                </c:pt>
                <c:pt idx="6">
                  <c:v>2.1645833333333333</c:v>
                </c:pt>
                <c:pt idx="7">
                  <c:v>2.1034722222222246</c:v>
                </c:pt>
                <c:pt idx="8">
                  <c:v>1.1756944444444455</c:v>
                </c:pt>
                <c:pt idx="9">
                  <c:v>1.9437500000000016</c:v>
                </c:pt>
                <c:pt idx="10">
                  <c:v>1.5534722222222228</c:v>
                </c:pt>
                <c:pt idx="11">
                  <c:v>0.74375000000000024</c:v>
                </c:pt>
                <c:pt idx="12">
                  <c:v>0.64722222222222214</c:v>
                </c:pt>
                <c:pt idx="13">
                  <c:v>1.5875000000000008</c:v>
                </c:pt>
                <c:pt idx="14">
                  <c:v>1.6173611111111119</c:v>
                </c:pt>
                <c:pt idx="15">
                  <c:v>1.0541666666666669</c:v>
                </c:pt>
                <c:pt idx="16">
                  <c:v>1.8034722222222239</c:v>
                </c:pt>
                <c:pt idx="17">
                  <c:v>1.4243055555555564</c:v>
                </c:pt>
                <c:pt idx="18">
                  <c:v>1.5250000000000004</c:v>
                </c:pt>
                <c:pt idx="19">
                  <c:v>0.96875000000000011</c:v>
                </c:pt>
                <c:pt idx="20">
                  <c:v>1.1638888888888896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F5-4A16-BCDA-420A482FE1F8}"/>
            </c:ext>
          </c:extLst>
        </c:ser>
        <c:ser>
          <c:idx val="2"/>
          <c:order val="2"/>
          <c:tx>
            <c:strRef>
              <c:f>'DATA ANALYSIS'!$D$5:$D$6</c:f>
              <c:strCache>
                <c:ptCount val="1"/>
                <c:pt idx="0">
                  <c:v>ECONOMY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'DATA ANALYSIS'!$A$7:$A$31</c:f>
              <c:multiLvlStrCache>
                <c:ptCount val="21"/>
                <c:lvl>
                  <c:pt idx="0">
                    <c:v>September</c:v>
                  </c:pt>
                  <c:pt idx="1">
                    <c:v>October</c:v>
                  </c:pt>
                  <c:pt idx="2">
                    <c:v>November</c:v>
                  </c:pt>
                  <c:pt idx="3">
                    <c:v>December</c:v>
                  </c:pt>
                  <c:pt idx="4">
                    <c:v>January</c:v>
                  </c:pt>
                  <c:pt idx="5">
                    <c:v>February</c:v>
                  </c:pt>
                  <c:pt idx="6">
                    <c:v>March</c:v>
                  </c:pt>
                  <c:pt idx="7">
                    <c:v>April</c:v>
                  </c:pt>
                  <c:pt idx="8">
                    <c:v>May</c:v>
                  </c:pt>
                  <c:pt idx="9">
                    <c:v>June</c:v>
                  </c:pt>
                  <c:pt idx="10">
                    <c:v>July</c:v>
                  </c:pt>
                  <c:pt idx="11">
                    <c:v>August</c:v>
                  </c:pt>
                  <c:pt idx="12">
                    <c:v>September</c:v>
                  </c:pt>
                  <c:pt idx="13">
                    <c:v>October</c:v>
                  </c:pt>
                  <c:pt idx="14">
                    <c:v>November</c:v>
                  </c:pt>
                  <c:pt idx="15">
                    <c:v>December</c:v>
                  </c:pt>
                  <c:pt idx="16">
                    <c:v>January</c:v>
                  </c:pt>
                  <c:pt idx="17">
                    <c:v>February</c:v>
                  </c:pt>
                  <c:pt idx="18">
                    <c:v>March</c:v>
                  </c:pt>
                  <c:pt idx="19">
                    <c:v>April</c:v>
                  </c:pt>
                  <c:pt idx="20">
                    <c:v>May</c:v>
                  </c:pt>
                </c:lvl>
                <c:lvl>
                  <c:pt idx="0">
                    <c:v>2021</c:v>
                  </c:pt>
                  <c:pt idx="4">
                    <c:v>2022</c:v>
                  </c:pt>
                  <c:pt idx="16">
                    <c:v>2023</c:v>
                  </c:pt>
                </c:lvl>
              </c:multiLvlStrCache>
            </c:multiLvlStrRef>
          </c:cat>
          <c:val>
            <c:numRef>
              <c:f>'DATA ANALYSIS'!$D$7:$D$31</c:f>
              <c:numCache>
                <c:formatCode>[hhhhh]:mm</c:formatCode>
                <c:ptCount val="21"/>
                <c:pt idx="1">
                  <c:v>1.8749999999999999E-2</c:v>
                </c:pt>
                <c:pt idx="4">
                  <c:v>2.4305555555555556E-2</c:v>
                </c:pt>
                <c:pt idx="6">
                  <c:v>3.3333333333333333E-2</c:v>
                </c:pt>
                <c:pt idx="16">
                  <c:v>7.9166666666666663E-2</c:v>
                </c:pt>
                <c:pt idx="17">
                  <c:v>0.24930555555555556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F5-4A16-BCDA-420A482FE1F8}"/>
            </c:ext>
          </c:extLst>
        </c:ser>
        <c:ser>
          <c:idx val="3"/>
          <c:order val="3"/>
          <c:tx>
            <c:strRef>
              <c:f>'DATA ANALYSIS'!$E$5:$E$6</c:f>
              <c:strCache>
                <c:ptCount val="1"/>
                <c:pt idx="0">
                  <c:v>MACHINE LEARNING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'DATA ANALYSIS'!$A$7:$A$31</c:f>
              <c:multiLvlStrCache>
                <c:ptCount val="21"/>
                <c:lvl>
                  <c:pt idx="0">
                    <c:v>September</c:v>
                  </c:pt>
                  <c:pt idx="1">
                    <c:v>October</c:v>
                  </c:pt>
                  <c:pt idx="2">
                    <c:v>November</c:v>
                  </c:pt>
                  <c:pt idx="3">
                    <c:v>December</c:v>
                  </c:pt>
                  <c:pt idx="4">
                    <c:v>January</c:v>
                  </c:pt>
                  <c:pt idx="5">
                    <c:v>February</c:v>
                  </c:pt>
                  <c:pt idx="6">
                    <c:v>March</c:v>
                  </c:pt>
                  <c:pt idx="7">
                    <c:v>April</c:v>
                  </c:pt>
                  <c:pt idx="8">
                    <c:v>May</c:v>
                  </c:pt>
                  <c:pt idx="9">
                    <c:v>June</c:v>
                  </c:pt>
                  <c:pt idx="10">
                    <c:v>July</c:v>
                  </c:pt>
                  <c:pt idx="11">
                    <c:v>August</c:v>
                  </c:pt>
                  <c:pt idx="12">
                    <c:v>September</c:v>
                  </c:pt>
                  <c:pt idx="13">
                    <c:v>October</c:v>
                  </c:pt>
                  <c:pt idx="14">
                    <c:v>November</c:v>
                  </c:pt>
                  <c:pt idx="15">
                    <c:v>December</c:v>
                  </c:pt>
                  <c:pt idx="16">
                    <c:v>January</c:v>
                  </c:pt>
                  <c:pt idx="17">
                    <c:v>February</c:v>
                  </c:pt>
                  <c:pt idx="18">
                    <c:v>March</c:v>
                  </c:pt>
                  <c:pt idx="19">
                    <c:v>April</c:v>
                  </c:pt>
                  <c:pt idx="20">
                    <c:v>May</c:v>
                  </c:pt>
                </c:lvl>
                <c:lvl>
                  <c:pt idx="0">
                    <c:v>2021</c:v>
                  </c:pt>
                  <c:pt idx="4">
                    <c:v>2022</c:v>
                  </c:pt>
                  <c:pt idx="16">
                    <c:v>2023</c:v>
                  </c:pt>
                </c:lvl>
              </c:multiLvlStrCache>
            </c:multiLvlStrRef>
          </c:cat>
          <c:val>
            <c:numRef>
              <c:f>'DATA ANALYSIS'!$E$7:$E$31</c:f>
              <c:numCache>
                <c:formatCode>[hhhhh]:mm</c:formatCode>
                <c:ptCount val="21"/>
                <c:pt idx="0">
                  <c:v>0.1236111111111111</c:v>
                </c:pt>
                <c:pt idx="1">
                  <c:v>1.30138888888889</c:v>
                </c:pt>
                <c:pt idx="2">
                  <c:v>2.090277777777779</c:v>
                </c:pt>
                <c:pt idx="3">
                  <c:v>1.9256944444444442</c:v>
                </c:pt>
                <c:pt idx="4">
                  <c:v>2.252083333333335</c:v>
                </c:pt>
                <c:pt idx="5">
                  <c:v>0.76736111111111105</c:v>
                </c:pt>
                <c:pt idx="6">
                  <c:v>0.10277777777777777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F5-4A16-BCDA-420A482FE1F8}"/>
            </c:ext>
          </c:extLst>
        </c:ser>
        <c:ser>
          <c:idx val="4"/>
          <c:order val="4"/>
          <c:tx>
            <c:strRef>
              <c:f>'DATA ANALYSIS'!$F$5:$F$6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'DATA ANALYSIS'!$A$7:$A$31</c:f>
              <c:multiLvlStrCache>
                <c:ptCount val="21"/>
                <c:lvl>
                  <c:pt idx="0">
                    <c:v>September</c:v>
                  </c:pt>
                  <c:pt idx="1">
                    <c:v>October</c:v>
                  </c:pt>
                  <c:pt idx="2">
                    <c:v>November</c:v>
                  </c:pt>
                  <c:pt idx="3">
                    <c:v>December</c:v>
                  </c:pt>
                  <c:pt idx="4">
                    <c:v>January</c:v>
                  </c:pt>
                  <c:pt idx="5">
                    <c:v>February</c:v>
                  </c:pt>
                  <c:pt idx="6">
                    <c:v>March</c:v>
                  </c:pt>
                  <c:pt idx="7">
                    <c:v>April</c:v>
                  </c:pt>
                  <c:pt idx="8">
                    <c:v>May</c:v>
                  </c:pt>
                  <c:pt idx="9">
                    <c:v>June</c:v>
                  </c:pt>
                  <c:pt idx="10">
                    <c:v>July</c:v>
                  </c:pt>
                  <c:pt idx="11">
                    <c:v>August</c:v>
                  </c:pt>
                  <c:pt idx="12">
                    <c:v>September</c:v>
                  </c:pt>
                  <c:pt idx="13">
                    <c:v>October</c:v>
                  </c:pt>
                  <c:pt idx="14">
                    <c:v>November</c:v>
                  </c:pt>
                  <c:pt idx="15">
                    <c:v>December</c:v>
                  </c:pt>
                  <c:pt idx="16">
                    <c:v>January</c:v>
                  </c:pt>
                  <c:pt idx="17">
                    <c:v>February</c:v>
                  </c:pt>
                  <c:pt idx="18">
                    <c:v>March</c:v>
                  </c:pt>
                  <c:pt idx="19">
                    <c:v>April</c:v>
                  </c:pt>
                  <c:pt idx="20">
                    <c:v>May</c:v>
                  </c:pt>
                </c:lvl>
                <c:lvl>
                  <c:pt idx="0">
                    <c:v>2021</c:v>
                  </c:pt>
                  <c:pt idx="4">
                    <c:v>2022</c:v>
                  </c:pt>
                  <c:pt idx="16">
                    <c:v>2023</c:v>
                  </c:pt>
                </c:lvl>
              </c:multiLvlStrCache>
            </c:multiLvlStrRef>
          </c:cat>
          <c:val>
            <c:numRef>
              <c:f>'DATA ANALYSIS'!$F$7:$F$31</c:f>
              <c:numCache>
                <c:formatCode>[hhhhh]:mm</c:formatCode>
                <c:ptCount val="21"/>
                <c:pt idx="0">
                  <c:v>3.4722222222222224E-2</c:v>
                </c:pt>
                <c:pt idx="1">
                  <c:v>0.40833333333333327</c:v>
                </c:pt>
                <c:pt idx="2">
                  <c:v>0.16180555555555554</c:v>
                </c:pt>
                <c:pt idx="3">
                  <c:v>0.12013888888888888</c:v>
                </c:pt>
                <c:pt idx="4">
                  <c:v>5.2083333333333336E-2</c:v>
                </c:pt>
                <c:pt idx="7">
                  <c:v>0.21250000000000002</c:v>
                </c:pt>
                <c:pt idx="8">
                  <c:v>6.8750000000000006E-2</c:v>
                </c:pt>
                <c:pt idx="9">
                  <c:v>0.40486111111111112</c:v>
                </c:pt>
                <c:pt idx="10">
                  <c:v>4.5138888888888895E-2</c:v>
                </c:pt>
                <c:pt idx="11">
                  <c:v>0.14097222222222219</c:v>
                </c:pt>
                <c:pt idx="12">
                  <c:v>1.7361111111111112E-2</c:v>
                </c:pt>
                <c:pt idx="13">
                  <c:v>1.0416666666666666E-2</c:v>
                </c:pt>
                <c:pt idx="14">
                  <c:v>0.1388888888888889</c:v>
                </c:pt>
                <c:pt idx="15">
                  <c:v>5.2083333333333336E-2</c:v>
                </c:pt>
                <c:pt idx="16">
                  <c:v>2.7777777777777776E-2</c:v>
                </c:pt>
                <c:pt idx="17">
                  <c:v>1.4583333333333332E-2</c:v>
                </c:pt>
                <c:pt idx="20">
                  <c:v>8.1944444444444431E-2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F5-4A16-BCDA-420A482FE1F8}"/>
            </c:ext>
          </c:extLst>
        </c:ser>
        <c:ser>
          <c:idx val="5"/>
          <c:order val="5"/>
          <c:tx>
            <c:strRef>
              <c:f>'DATA ANALYSIS'!$G$5:$G$6</c:f>
              <c:strCache>
                <c:ptCount val="1"/>
                <c:pt idx="0">
                  <c:v>READING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'DATA ANALYSIS'!$A$7:$A$31</c:f>
              <c:multiLvlStrCache>
                <c:ptCount val="21"/>
                <c:lvl>
                  <c:pt idx="0">
                    <c:v>September</c:v>
                  </c:pt>
                  <c:pt idx="1">
                    <c:v>October</c:v>
                  </c:pt>
                  <c:pt idx="2">
                    <c:v>November</c:v>
                  </c:pt>
                  <c:pt idx="3">
                    <c:v>December</c:v>
                  </c:pt>
                  <c:pt idx="4">
                    <c:v>January</c:v>
                  </c:pt>
                  <c:pt idx="5">
                    <c:v>February</c:v>
                  </c:pt>
                  <c:pt idx="6">
                    <c:v>March</c:v>
                  </c:pt>
                  <c:pt idx="7">
                    <c:v>April</c:v>
                  </c:pt>
                  <c:pt idx="8">
                    <c:v>May</c:v>
                  </c:pt>
                  <c:pt idx="9">
                    <c:v>June</c:v>
                  </c:pt>
                  <c:pt idx="10">
                    <c:v>July</c:v>
                  </c:pt>
                  <c:pt idx="11">
                    <c:v>August</c:v>
                  </c:pt>
                  <c:pt idx="12">
                    <c:v>September</c:v>
                  </c:pt>
                  <c:pt idx="13">
                    <c:v>October</c:v>
                  </c:pt>
                  <c:pt idx="14">
                    <c:v>November</c:v>
                  </c:pt>
                  <c:pt idx="15">
                    <c:v>December</c:v>
                  </c:pt>
                  <c:pt idx="16">
                    <c:v>January</c:v>
                  </c:pt>
                  <c:pt idx="17">
                    <c:v>February</c:v>
                  </c:pt>
                  <c:pt idx="18">
                    <c:v>March</c:v>
                  </c:pt>
                  <c:pt idx="19">
                    <c:v>April</c:v>
                  </c:pt>
                  <c:pt idx="20">
                    <c:v>May</c:v>
                  </c:pt>
                </c:lvl>
                <c:lvl>
                  <c:pt idx="0">
                    <c:v>2021</c:v>
                  </c:pt>
                  <c:pt idx="4">
                    <c:v>2022</c:v>
                  </c:pt>
                  <c:pt idx="16">
                    <c:v>2023</c:v>
                  </c:pt>
                </c:lvl>
              </c:multiLvlStrCache>
            </c:multiLvlStrRef>
          </c:cat>
          <c:val>
            <c:numRef>
              <c:f>'DATA ANALYSIS'!$G$7:$G$31</c:f>
              <c:numCache>
                <c:formatCode>[hhhhh]:mm</c:formatCode>
                <c:ptCount val="21"/>
                <c:pt idx="0">
                  <c:v>0.10208333333333333</c:v>
                </c:pt>
                <c:pt idx="1">
                  <c:v>0.48194444444444445</c:v>
                </c:pt>
                <c:pt idx="2">
                  <c:v>5.0694444444444445E-2</c:v>
                </c:pt>
                <c:pt idx="3">
                  <c:v>0.1076388888888889</c:v>
                </c:pt>
                <c:pt idx="4">
                  <c:v>3.6805555555555557E-2</c:v>
                </c:pt>
                <c:pt idx="7">
                  <c:v>2.5000000000000001E-2</c:v>
                </c:pt>
                <c:pt idx="8">
                  <c:v>3.2638888888888884E-2</c:v>
                </c:pt>
                <c:pt idx="9">
                  <c:v>5.5555555555555552E-2</c:v>
                </c:pt>
                <c:pt idx="10">
                  <c:v>7.8472222222222235E-2</c:v>
                </c:pt>
                <c:pt idx="11">
                  <c:v>5.0694444444444445E-2</c:v>
                </c:pt>
                <c:pt idx="12">
                  <c:v>2.0833333333333332E-2</c:v>
                </c:pt>
                <c:pt idx="13">
                  <c:v>3.4027777777777782E-2</c:v>
                </c:pt>
                <c:pt idx="14">
                  <c:v>5.5555555555555552E-2</c:v>
                </c:pt>
                <c:pt idx="15">
                  <c:v>2.7777777777777776E-2</c:v>
                </c:pt>
                <c:pt idx="16">
                  <c:v>7.9861111111111119E-2</c:v>
                </c:pt>
                <c:pt idx="17">
                  <c:v>6.7361111111111108E-2</c:v>
                </c:pt>
                <c:pt idx="18">
                  <c:v>4.8611111111111112E-2</c:v>
                </c:pt>
                <c:pt idx="19">
                  <c:v>1.5277777777777777E-2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F5-4A16-BCDA-420A482FE1F8}"/>
            </c:ext>
          </c:extLst>
        </c:ser>
        <c:ser>
          <c:idx val="6"/>
          <c:order val="6"/>
          <c:tx>
            <c:strRef>
              <c:f>'DATA ANALYSIS'!$H$5:$H$6</c:f>
              <c:strCache>
                <c:ptCount val="1"/>
                <c:pt idx="0">
                  <c:v>STATISTICS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'DATA ANALYSIS'!$A$7:$A$31</c:f>
              <c:multiLvlStrCache>
                <c:ptCount val="21"/>
                <c:lvl>
                  <c:pt idx="0">
                    <c:v>September</c:v>
                  </c:pt>
                  <c:pt idx="1">
                    <c:v>October</c:v>
                  </c:pt>
                  <c:pt idx="2">
                    <c:v>November</c:v>
                  </c:pt>
                  <c:pt idx="3">
                    <c:v>December</c:v>
                  </c:pt>
                  <c:pt idx="4">
                    <c:v>January</c:v>
                  </c:pt>
                  <c:pt idx="5">
                    <c:v>February</c:v>
                  </c:pt>
                  <c:pt idx="6">
                    <c:v>March</c:v>
                  </c:pt>
                  <c:pt idx="7">
                    <c:v>April</c:v>
                  </c:pt>
                  <c:pt idx="8">
                    <c:v>May</c:v>
                  </c:pt>
                  <c:pt idx="9">
                    <c:v>June</c:v>
                  </c:pt>
                  <c:pt idx="10">
                    <c:v>July</c:v>
                  </c:pt>
                  <c:pt idx="11">
                    <c:v>August</c:v>
                  </c:pt>
                  <c:pt idx="12">
                    <c:v>September</c:v>
                  </c:pt>
                  <c:pt idx="13">
                    <c:v>October</c:v>
                  </c:pt>
                  <c:pt idx="14">
                    <c:v>November</c:v>
                  </c:pt>
                  <c:pt idx="15">
                    <c:v>December</c:v>
                  </c:pt>
                  <c:pt idx="16">
                    <c:v>January</c:v>
                  </c:pt>
                  <c:pt idx="17">
                    <c:v>February</c:v>
                  </c:pt>
                  <c:pt idx="18">
                    <c:v>March</c:v>
                  </c:pt>
                  <c:pt idx="19">
                    <c:v>April</c:v>
                  </c:pt>
                  <c:pt idx="20">
                    <c:v>May</c:v>
                  </c:pt>
                </c:lvl>
                <c:lvl>
                  <c:pt idx="0">
                    <c:v>2021</c:v>
                  </c:pt>
                  <c:pt idx="4">
                    <c:v>2022</c:v>
                  </c:pt>
                  <c:pt idx="16">
                    <c:v>2023</c:v>
                  </c:pt>
                </c:lvl>
              </c:multiLvlStrCache>
            </c:multiLvlStrRef>
          </c:cat>
          <c:val>
            <c:numRef>
              <c:f>'DATA ANALYSIS'!$H$7:$H$31</c:f>
              <c:numCache>
                <c:formatCode>[hhhhh]:mm</c:formatCode>
                <c:ptCount val="21"/>
                <c:pt idx="11">
                  <c:v>0.70138888888888906</c:v>
                </c:pt>
                <c:pt idx="12">
                  <c:v>1.1638888888888892</c:v>
                </c:pt>
                <c:pt idx="13">
                  <c:v>0.24236111111111108</c:v>
                </c:pt>
                <c:pt idx="15">
                  <c:v>0.52222222222222214</c:v>
                </c:pt>
                <c:pt idx="16">
                  <c:v>5.9027777777777783E-2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F5-4A16-BCDA-420A482FE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7344479"/>
        <c:axId val="417342559"/>
      </c:barChart>
      <c:catAx>
        <c:axId val="417344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417342559"/>
        <c:crosses val="autoZero"/>
        <c:auto val="1"/>
        <c:lblAlgn val="ctr"/>
        <c:lblOffset val="100"/>
        <c:noMultiLvlLbl val="0"/>
      </c:catAx>
      <c:valAx>
        <c:axId val="417342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hhhhh]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4173444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[DERS ÇALIŞMA (version 1)(AutoRecovered) (version 1) - Kopya.xlsm]DATA ANALYSIS!PivotTable3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800" b="1" i="0" u="none" strike="noStrike" baseline="0">
                <a:solidFill>
                  <a:schemeClr val="tx1"/>
                </a:solidFill>
                <a:effectLst/>
                <a:latin typeface="+mn-lt"/>
              </a:rPr>
              <a:t>Frequency Distribution of "STARTING TIME"</a:t>
            </a:r>
            <a:endParaRPr lang="en-US" sz="1800" b="1">
              <a:solidFill>
                <a:schemeClr val="tx1"/>
              </a:solidFill>
              <a:latin typeface="+mn-lt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'DATA ANALYSIS'!$B$40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'DATA ANALYSIS'!$A$41:$A$61</c:f>
              <c:strCache>
                <c:ptCount val="20"/>
                <c:pt idx="0">
                  <c:v>4 PM</c:v>
                </c:pt>
                <c:pt idx="1">
                  <c:v>3 PM</c:v>
                </c:pt>
                <c:pt idx="2">
                  <c:v>5 PM</c:v>
                </c:pt>
                <c:pt idx="3">
                  <c:v>6 PM</c:v>
                </c:pt>
                <c:pt idx="4">
                  <c:v>2 PM</c:v>
                </c:pt>
                <c:pt idx="5">
                  <c:v>7 PM</c:v>
                </c:pt>
                <c:pt idx="6">
                  <c:v>1 PM</c:v>
                </c:pt>
                <c:pt idx="7">
                  <c:v>10 PM</c:v>
                </c:pt>
                <c:pt idx="8">
                  <c:v>9 PM</c:v>
                </c:pt>
                <c:pt idx="9">
                  <c:v>8 PM</c:v>
                </c:pt>
                <c:pt idx="10">
                  <c:v>12 PM</c:v>
                </c:pt>
                <c:pt idx="11">
                  <c:v>11 PM</c:v>
                </c:pt>
                <c:pt idx="12">
                  <c:v>12 AM</c:v>
                </c:pt>
                <c:pt idx="13">
                  <c:v>11 AM</c:v>
                </c:pt>
                <c:pt idx="14">
                  <c:v>1 AM</c:v>
                </c:pt>
                <c:pt idx="15">
                  <c:v>10 AM</c:v>
                </c:pt>
                <c:pt idx="16">
                  <c:v>2 AM</c:v>
                </c:pt>
                <c:pt idx="17">
                  <c:v>9 AM</c:v>
                </c:pt>
                <c:pt idx="18">
                  <c:v>3 AM</c:v>
                </c:pt>
                <c:pt idx="19">
                  <c:v>8 AM</c:v>
                </c:pt>
              </c:strCache>
            </c:strRef>
          </c:cat>
          <c:val>
            <c:numRef>
              <c:f>'DATA ANALYSIS'!$B$41:$B$61</c:f>
              <c:numCache>
                <c:formatCode>General</c:formatCode>
                <c:ptCount val="20"/>
                <c:pt idx="0">
                  <c:v>205</c:v>
                </c:pt>
                <c:pt idx="1">
                  <c:v>199</c:v>
                </c:pt>
                <c:pt idx="2">
                  <c:v>159</c:v>
                </c:pt>
                <c:pt idx="3">
                  <c:v>150</c:v>
                </c:pt>
                <c:pt idx="4">
                  <c:v>149</c:v>
                </c:pt>
                <c:pt idx="5">
                  <c:v>117</c:v>
                </c:pt>
                <c:pt idx="6">
                  <c:v>83</c:v>
                </c:pt>
                <c:pt idx="7">
                  <c:v>75</c:v>
                </c:pt>
                <c:pt idx="8">
                  <c:v>70</c:v>
                </c:pt>
                <c:pt idx="9">
                  <c:v>69</c:v>
                </c:pt>
                <c:pt idx="10">
                  <c:v>64</c:v>
                </c:pt>
                <c:pt idx="11">
                  <c:v>61</c:v>
                </c:pt>
                <c:pt idx="12">
                  <c:v>52</c:v>
                </c:pt>
                <c:pt idx="13">
                  <c:v>44</c:v>
                </c:pt>
                <c:pt idx="14">
                  <c:v>31</c:v>
                </c:pt>
                <c:pt idx="15">
                  <c:v>19</c:v>
                </c:pt>
                <c:pt idx="16">
                  <c:v>11</c:v>
                </c:pt>
                <c:pt idx="17">
                  <c:v>8</c:v>
                </c:pt>
                <c:pt idx="18">
                  <c:v>3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60-441F-84A8-71BED6C90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31484351"/>
        <c:axId val="1031473791"/>
        <c:axId val="0"/>
      </c:bar3DChart>
      <c:catAx>
        <c:axId val="1031484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31473791"/>
        <c:crosses val="autoZero"/>
        <c:auto val="1"/>
        <c:lblAlgn val="ctr"/>
        <c:lblOffset val="100"/>
        <c:noMultiLvlLbl val="0"/>
      </c:catAx>
      <c:valAx>
        <c:axId val="103147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31484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[DERS ÇALIŞMA (version 1)(AutoRecovered) (version 1) - Kopya.xlsm]DATA ANALYSIS!PivotTable6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tr-TR" sz="1400" b="1" i="0" u="none" strike="noStrike" kern="1200" spc="0" baseline="0">
                <a:solidFill>
                  <a:schemeClr val="tx1"/>
                </a:solidFill>
                <a:effectLst/>
              </a:rPr>
              <a:t>Frequency Distribution of "ENDING TIME"</a:t>
            </a:r>
            <a:endParaRPr lang="en-US" sz="1400" b="1" i="0" u="none" strike="noStrike" kern="1200" spc="0" baseline="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'DATA ANALYSIS'!$B$66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'DATA ANALYSIS'!$A$67:$A$87</c:f>
              <c:strCache>
                <c:ptCount val="20"/>
                <c:pt idx="0">
                  <c:v>4 PM</c:v>
                </c:pt>
                <c:pt idx="1">
                  <c:v>3 PM</c:v>
                </c:pt>
                <c:pt idx="2">
                  <c:v>5 PM</c:v>
                </c:pt>
                <c:pt idx="3">
                  <c:v>6 PM</c:v>
                </c:pt>
                <c:pt idx="4">
                  <c:v>7 PM</c:v>
                </c:pt>
                <c:pt idx="5">
                  <c:v>2 PM</c:v>
                </c:pt>
                <c:pt idx="6">
                  <c:v>12 AM</c:v>
                </c:pt>
                <c:pt idx="7">
                  <c:v>8 PM</c:v>
                </c:pt>
                <c:pt idx="8">
                  <c:v>9 PM</c:v>
                </c:pt>
                <c:pt idx="9">
                  <c:v>11 PM</c:v>
                </c:pt>
                <c:pt idx="10">
                  <c:v>1 PM</c:v>
                </c:pt>
                <c:pt idx="11">
                  <c:v>10 PM</c:v>
                </c:pt>
                <c:pt idx="12">
                  <c:v>12 PM</c:v>
                </c:pt>
                <c:pt idx="13">
                  <c:v>1 AM</c:v>
                </c:pt>
                <c:pt idx="14">
                  <c:v>11 AM</c:v>
                </c:pt>
                <c:pt idx="15">
                  <c:v>2 AM</c:v>
                </c:pt>
                <c:pt idx="16">
                  <c:v>3 AM</c:v>
                </c:pt>
                <c:pt idx="17">
                  <c:v>10 AM</c:v>
                </c:pt>
                <c:pt idx="18">
                  <c:v>4 AM</c:v>
                </c:pt>
                <c:pt idx="19">
                  <c:v>9 AM</c:v>
                </c:pt>
              </c:strCache>
            </c:strRef>
          </c:cat>
          <c:val>
            <c:numRef>
              <c:f>'DATA ANALYSIS'!$B$67:$B$87</c:f>
              <c:numCache>
                <c:formatCode>General</c:formatCode>
                <c:ptCount val="20"/>
                <c:pt idx="0">
                  <c:v>217</c:v>
                </c:pt>
                <c:pt idx="1">
                  <c:v>185</c:v>
                </c:pt>
                <c:pt idx="2">
                  <c:v>167</c:v>
                </c:pt>
                <c:pt idx="3">
                  <c:v>156</c:v>
                </c:pt>
                <c:pt idx="4">
                  <c:v>135</c:v>
                </c:pt>
                <c:pt idx="5">
                  <c:v>104</c:v>
                </c:pt>
                <c:pt idx="6">
                  <c:v>91</c:v>
                </c:pt>
                <c:pt idx="7">
                  <c:v>85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66</c:v>
                </c:pt>
                <c:pt idx="12">
                  <c:v>55</c:v>
                </c:pt>
                <c:pt idx="13">
                  <c:v>38</c:v>
                </c:pt>
                <c:pt idx="14">
                  <c:v>32</c:v>
                </c:pt>
                <c:pt idx="15">
                  <c:v>19</c:v>
                </c:pt>
                <c:pt idx="16">
                  <c:v>9</c:v>
                </c:pt>
                <c:pt idx="17">
                  <c:v>9</c:v>
                </c:pt>
                <c:pt idx="18">
                  <c:v>4</c:v>
                </c:pt>
                <c:pt idx="1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83-4CE5-95B0-DF7B21C12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31482911"/>
        <c:axId val="1031487231"/>
        <c:axId val="0"/>
      </c:bar3DChart>
      <c:catAx>
        <c:axId val="1031482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31487231"/>
        <c:crosses val="autoZero"/>
        <c:auto val="1"/>
        <c:lblAlgn val="ctr"/>
        <c:lblOffset val="100"/>
        <c:noMultiLvlLbl val="0"/>
      </c:catAx>
      <c:valAx>
        <c:axId val="1031487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31482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[DERS ÇALIŞMA (version 1)(AutoRecovered) (version 1) - Kopya.xlsm]DATA ANALYSIS!PivotTable9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600" b="1" i="0" u="none" strike="noStrike" baseline="0">
                <a:solidFill>
                  <a:schemeClr val="tx1"/>
                </a:solidFill>
                <a:effectLst/>
              </a:rPr>
              <a:t>Time Intervals of Deviation from Study Schedule</a:t>
            </a:r>
            <a:endParaRPr lang="en-US" sz="18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'DATA ANALYSIS'!$B$93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'DATA ANALYSIS'!$A$94:$A$112</c:f>
              <c:strCache>
                <c:ptCount val="18"/>
                <c:pt idx="0">
                  <c:v>8 PM</c:v>
                </c:pt>
                <c:pt idx="1">
                  <c:v>9 PM</c:v>
                </c:pt>
                <c:pt idx="2">
                  <c:v>7 PM</c:v>
                </c:pt>
                <c:pt idx="3">
                  <c:v>10 PM</c:v>
                </c:pt>
                <c:pt idx="4">
                  <c:v>5 PM</c:v>
                </c:pt>
                <c:pt idx="5">
                  <c:v>4 PM</c:v>
                </c:pt>
                <c:pt idx="6">
                  <c:v>6 PM</c:v>
                </c:pt>
                <c:pt idx="7">
                  <c:v>3 PM</c:v>
                </c:pt>
                <c:pt idx="8">
                  <c:v>11 PM</c:v>
                </c:pt>
                <c:pt idx="9">
                  <c:v>1 AM</c:v>
                </c:pt>
                <c:pt idx="10">
                  <c:v>12 AM</c:v>
                </c:pt>
                <c:pt idx="11">
                  <c:v>3 AM</c:v>
                </c:pt>
                <c:pt idx="12">
                  <c:v>10 AM</c:v>
                </c:pt>
                <c:pt idx="13">
                  <c:v>9 AM</c:v>
                </c:pt>
                <c:pt idx="14">
                  <c:v>12 PM</c:v>
                </c:pt>
                <c:pt idx="15">
                  <c:v>11 AM</c:v>
                </c:pt>
                <c:pt idx="16">
                  <c:v>1 PM</c:v>
                </c:pt>
                <c:pt idx="17">
                  <c:v>2 PM</c:v>
                </c:pt>
              </c:strCache>
            </c:strRef>
          </c:cat>
          <c:val>
            <c:numRef>
              <c:f>'DATA ANALYSIS'!$B$94:$B$112</c:f>
              <c:numCache>
                <c:formatCode>General</c:formatCode>
                <c:ptCount val="18"/>
                <c:pt idx="0">
                  <c:v>9</c:v>
                </c:pt>
                <c:pt idx="1">
                  <c:v>8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6</c:v>
                </c:pt>
                <c:pt idx="6">
                  <c:v>5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B1-4F95-82F1-FE95DCB19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29942735"/>
        <c:axId val="1029939855"/>
        <c:axId val="0"/>
      </c:bar3DChart>
      <c:catAx>
        <c:axId val="102994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29939855"/>
        <c:crosses val="autoZero"/>
        <c:auto val="1"/>
        <c:lblAlgn val="ctr"/>
        <c:lblOffset val="100"/>
        <c:noMultiLvlLbl val="0"/>
      </c:catAx>
      <c:valAx>
        <c:axId val="1029939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29942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3</xdr:row>
      <xdr:rowOff>175260</xdr:rowOff>
    </xdr:from>
    <xdr:to>
      <xdr:col>22</xdr:col>
      <xdr:colOff>457200</xdr:colOff>
      <xdr:row>30</xdr:row>
      <xdr:rowOff>175260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64D06D0E-316A-3FE8-9492-D5AC5046B2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30480</xdr:colOff>
      <xdr:row>39</xdr:row>
      <xdr:rowOff>0</xdr:rowOff>
    </xdr:from>
    <xdr:to>
      <xdr:col>14</xdr:col>
      <xdr:colOff>121920</xdr:colOff>
      <xdr:row>61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5CA119-C4B5-495A-A5B2-41BFF0B629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22860</xdr:colOff>
      <xdr:row>65</xdr:row>
      <xdr:rowOff>7620</xdr:rowOff>
    </xdr:from>
    <xdr:to>
      <xdr:col>14</xdr:col>
      <xdr:colOff>106680</xdr:colOff>
      <xdr:row>86</xdr:row>
      <xdr:rowOff>167640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74A26A-B7EA-7093-066A-5BF0661B30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45720</xdr:colOff>
      <xdr:row>92</xdr:row>
      <xdr:rowOff>15240</xdr:rowOff>
    </xdr:from>
    <xdr:to>
      <xdr:col>14</xdr:col>
      <xdr:colOff>68580</xdr:colOff>
      <xdr:row>112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B8DD0C7-2838-6DFB-332D-DD1CD92F91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" refreshedDate="45076.577949074075" createdVersion="8" refreshedVersion="8" minRefreshableVersion="3" recordCount="1661" xr:uid="{5B56271F-60A9-4FBE-A0F7-0DED18FE6BE1}">
  <cacheSource type="worksheet">
    <worksheetSource name="AutoPomodoro"/>
  </cacheSource>
  <cacheFields count="8">
    <cacheField name="DATE" numFmtId="165">
      <sharedItems containsSemiMixedTypes="0" containsNonDate="0" containsDate="1" containsString="0" minDate="2021-09-29T00:00:00" maxDate="2023-05-23T00:00:00" count="356">
        <d v="2021-09-29T00:00:00"/>
        <d v="2021-09-30T00:00:00"/>
        <d v="2021-10-01T00:00:00"/>
        <d v="2021-10-04T00:00:00"/>
        <d v="2021-10-06T00:00:00"/>
        <d v="2021-10-07T00:00:00"/>
        <d v="2021-10-11T00:00:00"/>
        <d v="2021-10-12T00:00:00"/>
        <d v="2021-10-13T00:00:00"/>
        <d v="2021-10-14T00:00:00"/>
        <d v="2021-10-15T00:00:00"/>
        <d v="2021-10-17T00:00:00"/>
        <d v="2021-10-18T00:00:00"/>
        <d v="2021-10-19T00:00:00"/>
        <d v="2021-10-20T00:00:00"/>
        <d v="2021-10-21T00:00:00"/>
        <d v="2021-10-22T00:00:00"/>
        <d v="2021-10-24T00:00:00"/>
        <d v="2021-10-25T00:00:00"/>
        <d v="2021-10-26T00:00:00"/>
        <d v="2021-10-27T00:00:00"/>
        <d v="2021-10-28T00:00:00"/>
        <d v="2021-10-29T00:00:00"/>
        <d v="2021-10-31T00:00:00"/>
        <d v="2021-11-01T00:00:00"/>
        <d v="2021-11-02T00:00:00"/>
        <d v="2021-11-03T00:00:00"/>
        <d v="2021-11-05T00:00:00"/>
        <d v="2021-11-06T00:00:00"/>
        <d v="2021-11-08T00:00:00"/>
        <d v="2021-11-09T00:00:00"/>
        <d v="2021-11-10T00:00:00"/>
        <d v="2021-11-11T00:00:00"/>
        <d v="2021-11-12T00:00:00"/>
        <d v="2021-11-14T00:00:00"/>
        <d v="2021-11-15T00:00:00"/>
        <d v="2021-11-16T00:00:00"/>
        <d v="2021-11-17T00:00:00"/>
        <d v="2021-11-26T00:00:00"/>
        <d v="2021-11-27T00:00:00"/>
        <d v="2021-11-28T00:00:00"/>
        <d v="2021-11-29T00:00:00"/>
        <d v="2021-11-30T00:00:00"/>
        <d v="2021-12-01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1T00:00:00"/>
        <d v="2021-12-13T00:00:00"/>
        <d v="2021-12-16T00:00:00"/>
        <d v="2021-12-17T00:00:00"/>
        <d v="2021-12-18T00:00:00"/>
        <d v="2021-12-20T00:00:00"/>
        <d v="2021-12-23T00:00:00"/>
        <d v="2021-12-24T00:00:00"/>
        <d v="2021-12-27T00:00:00"/>
        <d v="2021-12-31T00:00:00"/>
        <d v="2022-01-01T00:00:00"/>
        <d v="2022-01-02T00:00:00"/>
        <d v="2022-01-03T00:00:00"/>
        <d v="2022-01-05T00:00:00"/>
        <d v="2022-01-07T00:00:00"/>
        <d v="2022-01-08T00:00:00"/>
        <d v="2022-01-09T00:00:00"/>
        <d v="2022-01-13T00:00:00"/>
        <d v="2022-01-15T00:00:00"/>
        <d v="2022-01-16T00:00:00"/>
        <d v="2022-01-17T00:00:00"/>
        <d v="2022-01-18T00:00:00"/>
        <d v="2022-01-20T00:00:00"/>
        <d v="2022-01-22T00:00:00"/>
        <d v="2022-01-23T00:00:00"/>
        <d v="2022-01-24T00:00:00"/>
        <d v="2022-01-30T00:00:00"/>
        <d v="2022-02-04T00:00:00"/>
        <d v="2022-02-06T00:00:00"/>
        <d v="2022-02-07T00:00:00"/>
        <d v="2022-02-08T00:00:00"/>
        <d v="2022-02-09T00:00:00"/>
        <d v="2022-02-10T00:00:00"/>
        <d v="2022-02-14T00:00:00"/>
        <d v="2022-02-15T00:00:00"/>
        <d v="2022-02-16T00:00:00"/>
        <d v="2022-02-23T00:00:00"/>
        <d v="2022-02-24T00:00:00"/>
        <d v="2022-02-26T00:00:00"/>
        <d v="2022-02-28T00:00:00"/>
        <d v="2022-03-01T00:00:00"/>
        <d v="2022-03-02T00:00:00"/>
        <d v="2022-03-03T00:00:00"/>
        <d v="2022-03-05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7T00:00:00"/>
        <d v="2022-03-28T00:00:00"/>
        <d v="2022-03-29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11T00:00:00"/>
        <d v="2022-04-12T00:00:00"/>
        <d v="2022-04-13T00:00:00"/>
        <d v="2022-04-14T00:00:00"/>
        <d v="2022-04-15T00:00:00"/>
        <d v="2022-04-1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5T00:00:00"/>
        <d v="2022-04-26T00:00:00"/>
        <d v="2022-04-27T00:00:00"/>
        <d v="2022-04-28T00:00:00"/>
        <d v="2022-04-29T00:00:00"/>
        <d v="2022-05-09T00:00:00"/>
        <d v="2022-05-10T00:00:00"/>
        <d v="2022-05-12T00:00:00"/>
        <d v="2022-05-13T00:00:00"/>
        <d v="2022-05-15T00:00:00"/>
        <d v="2022-05-17T00:00:00"/>
        <d v="2022-05-24T00:00:00"/>
        <d v="2022-05-25T00:00:00"/>
        <d v="2022-05-28T00:00:00"/>
        <d v="2022-05-29T00:00:00"/>
        <d v="2022-05-30T00:00:00"/>
        <d v="2022-05-31T00:00:00"/>
        <d v="2022-06-01T00:00:00"/>
        <d v="2022-06-03T00:00:00"/>
        <d v="2022-06-04T00:00:00"/>
        <d v="2022-06-05T00:00:00"/>
        <d v="2022-06-06T00:00:00"/>
        <d v="2022-06-07T00:00:00"/>
        <d v="2022-06-12T00:00:00"/>
        <d v="2022-06-14T00:00:00"/>
        <d v="2022-06-15T00:00:00"/>
        <d v="2022-06-16T00:00:00"/>
        <d v="2022-06-18T00:00:00"/>
        <d v="2022-06-20T00:00:00"/>
        <d v="2022-06-22T00:00:00"/>
        <d v="2022-06-23T00:00:00"/>
        <d v="2022-06-24T00:00:00"/>
        <d v="2022-06-25T00:00:00"/>
        <d v="2022-06-26T00:00:00"/>
        <d v="2022-07-02T00:00:00"/>
        <d v="2022-07-03T00:00:00"/>
        <d v="2022-07-06T00:00:00"/>
        <d v="2022-07-07T00:00:00"/>
        <d v="2022-07-08T00:00:00"/>
        <d v="2022-07-11T00:00:00"/>
        <d v="2022-07-13T00:00:00"/>
        <d v="2022-07-14T00:00:00"/>
        <d v="2022-07-16T00:00:00"/>
        <d v="2022-07-17T00:00:00"/>
        <d v="2022-07-20T00:00:00"/>
        <d v="2022-07-21T00:00:00"/>
        <d v="2022-07-22T00:00:00"/>
        <d v="2022-07-24T00:00:00"/>
        <d v="2022-07-25T00:00:00"/>
        <d v="2022-07-26T00:00:00"/>
        <d v="2022-07-27T00:00:00"/>
        <d v="2022-07-28T00:00:00"/>
        <d v="2022-07-29T00:00:00"/>
        <d v="2022-08-01T00:00:00"/>
        <d v="2022-08-02T00:00:00"/>
        <d v="2022-08-03T00:00:00"/>
        <d v="2022-08-04T00:00:00"/>
        <d v="2022-08-05T00:00:00"/>
        <d v="2022-08-09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31T00:00:00"/>
        <d v="2022-09-03T00:00:00"/>
        <d v="2022-09-04T00:00:00"/>
        <d v="2022-09-05T00:00:00"/>
        <d v="2022-09-06T00:00:00"/>
        <d v="2022-09-07T00:00:00"/>
        <d v="2022-09-08T00:00:00"/>
        <d v="2022-09-12T00:00:00"/>
        <d v="2022-09-13T00:00:00"/>
        <d v="2022-09-14T00:00:00"/>
        <d v="2022-09-15T00:00:00"/>
        <d v="2022-09-19T00:00:00"/>
        <d v="2022-09-20T00:00:00"/>
        <d v="2022-09-21T00:00:00"/>
        <d v="2022-09-22T00:00:00"/>
        <d v="2022-09-25T00:00:00"/>
        <d v="2022-09-26T00:00:00"/>
        <d v="2022-09-27T00:00:00"/>
        <d v="2022-09-29T00:00:00"/>
        <d v="2022-09-30T00:00:00"/>
        <d v="2022-10-04T00:00:00"/>
        <d v="2022-10-05T00:00:00"/>
        <d v="2022-10-06T00:00:00"/>
        <d v="2022-10-13T00:00:00"/>
        <d v="2022-10-14T00:00:00"/>
        <d v="2022-10-16T00:00:00"/>
        <d v="2022-10-17T00:00:00"/>
        <d v="2022-10-18T00:00:00"/>
        <d v="2022-10-19T00:00:00"/>
        <d v="2022-10-20T00:00:00"/>
        <d v="2022-10-24T00:00:00"/>
        <d v="2022-10-25T00:00:00"/>
        <d v="2022-10-21T00:00:00"/>
        <d v="2022-10-26T00:00:00"/>
        <d v="2022-10-27T00:00:00"/>
        <d v="2022-10-28T00:00:00"/>
        <d v="2022-10-29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10T00:00:00"/>
        <d v="2022-11-11T00:00:00"/>
        <d v="2022-11-14T00:00:00"/>
        <d v="2022-11-15T00:00:00"/>
        <d v="2022-11-16T00:00:00"/>
        <d v="2022-11-17T00:00:00"/>
        <d v="2022-11-21T00:00:00"/>
        <d v="2022-11-24T00:00:00"/>
        <d v="2022-11-30T00:00:00"/>
        <d v="2022-12-02T00:00:00"/>
        <d v="2022-12-03T00:00:00"/>
        <d v="2022-12-05T00:00:00"/>
        <d v="2022-12-09T00:00:00"/>
        <d v="2022-12-10T00:00:00"/>
        <d v="2022-12-13T00:00:00"/>
        <d v="2022-12-14T00:00:00"/>
        <d v="2022-12-15T00:00:00"/>
        <d v="2022-12-16T00:00:00"/>
        <d v="2022-12-17T00:00:00"/>
        <d v="2022-12-19T00:00:00"/>
        <d v="2022-12-22T00:00:00"/>
        <d v="2022-12-23T00:00:00"/>
        <d v="2022-12-25T00:00:00"/>
        <d v="2022-12-26T00:00:00"/>
        <d v="2022-12-27T00:00:00"/>
        <d v="2022-12-28T00:00:00"/>
        <d v="2023-01-03T00:00:00"/>
        <d v="2023-01-04T00:00:00"/>
        <d v="2023-01-05T00:00:00"/>
        <d v="2023-01-09T00:00:00"/>
        <d v="2023-01-10T00:00:00"/>
        <d v="2023-01-11T00:00:00"/>
        <d v="2023-01-12T00:00:00"/>
        <d v="2023-01-16T00:00:00"/>
        <d v="2023-01-18T00:00:00"/>
        <d v="2023-01-19T00:00:00"/>
        <d v="2023-01-24T00:00:00"/>
        <d v="2023-01-25T00:00:00"/>
        <d v="2023-01-26T00:00:00"/>
        <d v="2023-01-27T00:00:00"/>
        <d v="2023-01-29T00:00:00"/>
        <d v="2023-01-31T00:00:00"/>
        <d v="2023-02-01T00:00:00"/>
        <d v="2023-02-02T00:00:00"/>
        <d v="2023-02-03T00:00:00"/>
        <d v="2023-02-04T00:00:00"/>
        <d v="2023-02-06T00:00:00"/>
        <d v="2023-02-07T00:00:00"/>
        <d v="2023-02-08T00:00:00"/>
        <d v="2023-02-09T00:00:00"/>
        <d v="2023-02-10T00:00:00"/>
        <d v="2023-02-11T00:00:00"/>
        <d v="2023-02-14T00:00:00"/>
        <d v="2023-02-15T00:00:00"/>
        <d v="2023-02-16T00:00:00"/>
        <d v="2023-02-18T00:00:00"/>
        <d v="2023-02-20T00:00:00"/>
        <d v="2023-02-21T00:00:00"/>
        <d v="2023-02-25T00:00:00"/>
        <d v="2023-02-26T00:00:00"/>
        <d v="2023-02-27T00:00:00"/>
        <d v="2023-02-28T00:00:00"/>
        <d v="2023-03-03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4T00:00:00"/>
        <d v="2023-03-15T00:00:00"/>
        <d v="2023-03-16T00:00:00"/>
        <d v="2023-03-21T00:00:00"/>
        <d v="2023-03-23T00:00:00"/>
        <d v="2023-03-24T00:00:00"/>
        <d v="2023-03-25T00:00:00"/>
        <d v="2023-03-26T00:00:00"/>
        <d v="2023-03-28T00:00:00"/>
        <d v="2023-04-04T00:00:00"/>
        <d v="2023-04-05T00:00:00"/>
        <d v="2023-04-06T00:00:00"/>
        <d v="2023-04-09T00:00:00"/>
        <d v="2023-04-10T00:00:00"/>
        <d v="2023-04-11T00:00:00"/>
        <d v="2023-04-12T00:00:00"/>
        <d v="2023-04-13T00:00:00"/>
        <d v="2023-04-17T00:00:00"/>
        <d v="2023-04-18T00:00:00"/>
        <d v="2023-04-19T00:00:00"/>
        <d v="2023-04-23T00:00:00"/>
        <d v="2023-04-26T00:00:00"/>
        <d v="2023-04-27T00:00:00"/>
        <d v="2023-04-28T00:00:00"/>
        <d v="2023-04-30T00:00:00"/>
        <d v="2023-05-01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2T00:00:00"/>
      </sharedItems>
    </cacheField>
    <cacheField name="MONTH" numFmtId="165">
      <sharedItems count="12">
        <s v="September"/>
        <s v="October"/>
        <s v="November"/>
        <s v="December"/>
        <s v="January"/>
        <s v="February"/>
        <s v="March"/>
        <s v="April"/>
        <s v="May"/>
        <s v="June"/>
        <s v="July"/>
        <s v="August"/>
      </sharedItems>
    </cacheField>
    <cacheField name="YEAR" numFmtId="165">
      <sharedItems count="3">
        <s v="2021"/>
        <s v="2022"/>
        <s v="2023"/>
      </sharedItems>
    </cacheField>
    <cacheField name="STARTING TIME" numFmtId="171">
      <sharedItems containsNonDate="0" containsDate="1" containsString="0" containsBlank="1" minDate="1899-12-30T00:00:00" maxDate="1900-01-01T00:00:00" count="634">
        <d v="1899-12-30T00:00:00"/>
        <m/>
        <d v="1899-12-30T15:50:00"/>
        <d v="1899-12-30T16:20:00"/>
        <d v="1899-12-30T16:50:00"/>
        <d v="1899-12-30T17:22:00"/>
        <d v="1899-12-30T01:04:00"/>
        <d v="1899-12-30T11:05:00"/>
        <d v="1899-12-30T11:35:00"/>
        <d v="1899-12-30T12:05:00"/>
        <d v="1899-12-30T12:37:00"/>
        <d v="1899-12-30T13:13:00"/>
        <d v="1899-12-30T13:38:00"/>
        <d v="1899-12-30T15:00:00"/>
        <d v="1899-12-30T15:30:00"/>
        <d v="1899-12-30T16:00:00"/>
        <d v="1899-12-30T16:32:00"/>
        <d v="1899-12-30T17:08:00"/>
        <d v="1899-12-30T11:10:00"/>
        <d v="1899-12-30T11:40:00"/>
        <d v="1899-12-30T12:10:00"/>
        <d v="1899-12-30T12:42:00"/>
        <d v="1899-12-30T13:14:00"/>
        <d v="1899-12-30T13:10:00"/>
        <d v="1899-12-30T15:33:00"/>
        <d v="1899-12-30T00:20:00"/>
        <d v="1899-12-30T00:50:00"/>
        <d v="1899-12-30T01:20:00"/>
        <d v="1899-12-30T01:52:00"/>
        <d v="1899-12-30T22:40:00"/>
        <d v="1899-12-30T23:20:00"/>
        <d v="1899-12-30T23:50:00"/>
        <d v="1899-12-30T13:12:00"/>
        <d v="1899-12-30T09:15:00"/>
        <d v="1899-12-30T09:45:00"/>
        <d v="1899-12-30T10:17:00"/>
        <d v="1899-12-30T10:50:00"/>
        <d v="1899-12-30T11:23:00"/>
        <d v="1899-12-30T12:55:00"/>
        <d v="1899-12-30T13:25:00"/>
        <d v="1899-12-30T13:55:00"/>
        <d v="1899-12-30T11:00:00"/>
        <d v="1899-12-30T11:30:00"/>
        <d v="1899-12-30T12:00:00"/>
        <d v="1899-12-30T12:32:00"/>
        <d v="1899-12-30T13:17:00"/>
        <d v="1899-12-30T17:30:00"/>
        <d v="1899-12-30T18:00:00"/>
        <d v="1899-12-30T18:30:00"/>
        <d v="1899-12-30T19:02:00"/>
        <d v="1899-12-30T19:00:00"/>
        <d v="1899-12-30T19:30:00"/>
        <d v="1899-12-30T14:28:00"/>
        <d v="1899-12-30T14:54:00"/>
        <d v="1899-12-30T13:50:00"/>
        <d v="1899-12-30T14:20:00"/>
        <d v="1899-12-30T14:50:00"/>
        <d v="1899-12-30T15:22:00"/>
        <d v="1899-12-30T16:55:00"/>
        <d v="1899-12-30T17:25:00"/>
        <d v="1899-12-30T17:55:00"/>
        <d v="1899-12-30T10:25:00"/>
        <d v="1899-12-30T10:55:00"/>
        <d v="1899-12-30T12:25:00"/>
        <d v="1899-12-30T11:55:00"/>
        <d v="1899-12-30T09:35:00"/>
        <d v="1899-12-30T10:05:00"/>
        <d v="1899-12-30T10:35:00"/>
        <d v="1899-12-30T11:07:00"/>
        <d v="1899-12-30T11:43:00"/>
        <d v="1899-12-30T10:53:00"/>
        <d v="1899-12-30T14:25:00"/>
        <d v="1899-12-30T14:55:00"/>
        <d v="1899-12-30T15:27:00"/>
        <d v="1899-12-30T16:03:00"/>
        <d v="1899-12-30T22:13:00"/>
        <d v="1899-12-30T11:04:00"/>
        <d v="1899-12-30T21:19:00"/>
        <d v="1899-12-30T21:49:00"/>
        <d v="1899-12-30T22:19:00"/>
        <d v="1899-12-30T13:35:00"/>
        <d v="1899-12-30T14:05:00"/>
        <d v="1899-12-30T14:35:00"/>
        <d v="1899-12-30T15:07:00"/>
        <d v="1899-12-30T15:41:00"/>
        <d v="1899-12-30T20:21:00"/>
        <d v="1899-12-30T20:51:00"/>
        <d v="1899-12-30T16:13:00"/>
        <d v="1899-12-30T16:43:00"/>
        <d v="1899-12-30T18:17:00"/>
        <d v="1899-12-30T18:47:00"/>
        <d v="1899-12-30T19:19:00"/>
        <d v="1899-12-30T19:52:00"/>
        <d v="1899-12-30T17:33:00"/>
        <d v="1899-12-30T19:32:00"/>
        <d v="1899-12-30T08:41:00"/>
        <d v="1899-12-30T09:46:00"/>
        <d v="1899-12-30T10:59:00"/>
        <d v="1899-12-30T17:20:00"/>
        <d v="1899-12-30T17:50:00"/>
        <d v="1899-12-30T18:20:00"/>
        <d v="1899-12-30T18:52:00"/>
        <d v="1899-12-30T19:24:00"/>
        <d v="1899-12-30T19:49:00"/>
        <d v="1899-12-30T21:00:00"/>
        <d v="1899-12-30T21:30:00"/>
        <d v="1899-12-30T22:02:00"/>
        <d v="1899-12-30T20:00:00"/>
        <d v="1899-12-30T20:30:00"/>
        <d v="1899-12-30T15:20:00"/>
        <d v="1899-12-30T18:26:00"/>
        <d v="1899-12-30T18:55:00"/>
        <d v="1899-12-30T15:25:00"/>
        <d v="1899-12-30T12:45:00"/>
        <d v="1899-12-30T13:15:00"/>
        <d v="1899-12-30T13:45:00"/>
        <d v="1899-12-30T14:10:00"/>
        <d v="1899-12-30T14:40:00"/>
        <d v="1899-12-30T15:10:00"/>
        <d v="1899-12-30T15:40:00"/>
        <d v="1899-12-30T16:12:00"/>
        <d v="1899-12-30T16:37:00"/>
        <d v="1899-12-30T17:45:00"/>
        <d v="1899-12-30T18:15:00"/>
        <d v="1899-12-30T18:45:00"/>
        <d v="1899-12-30T19:17:00"/>
        <d v="1899-12-30T14:45:00"/>
        <d v="1899-12-30T15:15:00"/>
        <d v="1899-12-30T15:45:00"/>
        <d v="1899-12-30T16:17:00"/>
        <d v="1899-12-30T16:42:00"/>
        <d v="1899-12-30T17:12:00"/>
        <d v="1899-12-30T17:42:00"/>
        <d v="1899-12-30T18:12:00"/>
        <d v="1899-12-30T22:05:00"/>
        <d v="1899-12-30T22:35:00"/>
        <d v="1899-12-30T23:05:00"/>
        <d v="1899-12-30T23:37:00"/>
        <d v="1899-12-30T16:25:00"/>
        <d v="1899-12-30T17:57:00"/>
        <d v="1899-12-30T18:22:00"/>
        <d v="1899-12-30T19:25:00"/>
        <d v="1899-12-30T19:55:00"/>
        <d v="1899-12-30T23:15:00"/>
        <d v="1899-12-30T23:45:00"/>
        <d v="1899-12-30T15:05:00"/>
        <d v="1899-12-30T15:37:00"/>
        <d v="1899-12-30T16:09:00"/>
        <d v="1899-12-30T16:45:00"/>
        <d v="1899-12-30T19:34:00"/>
        <d v="1899-12-30T19:59:00"/>
        <d v="1899-12-30T21:05:00"/>
        <d v="1899-12-30T21:35:00"/>
        <d v="1899-12-30T22:37:00"/>
        <d v="1899-12-30T23:08:00"/>
        <d v="1899-12-30T00:30:00"/>
        <d v="1899-12-30T01:00:00"/>
        <d v="1899-12-30T01:32:00"/>
        <d v="1899-12-30T02:20:00"/>
        <d v="1899-12-30T19:40:00"/>
        <d v="1899-12-30T20:10:00"/>
        <d v="1899-12-30T20:40:00"/>
        <d v="1899-12-30T21:12:00"/>
        <d v="1899-12-30T21:37:00"/>
        <d v="1899-12-30T21:52:00"/>
        <d v="1899-12-30T22:22:00"/>
        <d v="1899-12-30T22:52:00"/>
        <d v="1899-12-30T18:53:00"/>
        <d v="1899-12-30T19:50:00"/>
        <d v="1899-12-30T19:37:00"/>
        <d v="1899-12-30T20:46:00"/>
        <d v="1899-12-30T22:08:00"/>
        <d v="1899-12-30T21:03:00"/>
        <d v="1899-12-30T23:32:00"/>
        <d v="1899-12-30T19:20:00"/>
        <d v="1899-12-30T14:52:00"/>
        <d v="1899-12-30T15:39:00"/>
        <d v="1899-12-30T19:31:00"/>
        <d v="1899-12-30T21:23:00"/>
        <d v="1899-12-30T19:11:00"/>
        <d v="1899-12-30T21:10:00"/>
        <d v="1899-12-30T22:00:00"/>
        <d v="1899-12-30T22:56:00"/>
        <d v="1899-12-30T20:22:00"/>
        <d v="1899-12-30T21:56:00"/>
        <d v="1899-12-30T22:39:00"/>
        <d v="1899-12-30T23:09:00"/>
        <d v="1899-12-30T00:21:00"/>
        <d v="1899-12-30T17:00:00"/>
        <d v="1899-12-30T18:48:00"/>
        <d v="1899-12-30T09:10:00"/>
        <d v="1899-12-30T10:31:00"/>
        <d v="1899-12-30T18:41:00"/>
        <d v="1899-12-30T20:25:00"/>
        <d v="1899-12-30T12:35:00"/>
        <d v="1899-12-30T20:37:00"/>
        <d v="1899-12-30T21:34:00"/>
        <d v="1899-12-30T14:31:00"/>
        <d v="1899-12-30T16:23:00"/>
        <d v="1899-12-30T17:24:00"/>
        <d v="1899-12-30T18:37:00"/>
        <d v="1899-12-30T20:26:00"/>
        <d v="1899-12-30T22:15:00"/>
        <d v="1899-12-30T12:30:00"/>
        <d v="1899-12-30T18:05:00"/>
        <d v="1899-12-30T19:35:00"/>
        <d v="1899-12-30T02:48:00"/>
        <d v="1899-12-30T21:25:00"/>
        <d v="1899-12-30T19:09:00"/>
        <d v="1899-12-30T20:16:00"/>
        <d v="1899-12-30T16:30:00"/>
        <d v="1899-12-30T20:04:00"/>
        <d v="1899-12-30T20:29:00"/>
        <d v="1899-12-30T21:20:00"/>
        <d v="1899-12-30T21:50:00"/>
        <d v="1899-12-30T22:12:00"/>
        <d v="1899-12-30T19:45:00"/>
        <d v="1899-12-30T20:44:00"/>
        <d v="1899-12-30T16:10:00"/>
        <d v="1899-12-30T18:34:00"/>
        <d v="1899-12-30T00:22:00"/>
        <d v="1899-12-30T19:46:00"/>
        <d v="1899-12-30T19:47:00"/>
        <d v="1899-12-30T21:11:00"/>
        <d v="1899-12-30T22:07:00"/>
        <d v="1899-12-30T20:05:00"/>
        <d v="1899-12-30T13:46:00"/>
        <d v="1899-12-30T14:42:00"/>
        <d v="1899-12-30T21:39:00"/>
        <d v="1899-12-30T22:32:00"/>
        <d v="1899-12-30T20:32:00"/>
        <d v="1899-12-30T21:04:00"/>
        <d v="1899-12-30T22:25:00"/>
        <d v="1899-12-30T16:48:00"/>
        <d v="1899-12-30T15:55:00"/>
        <d v="1899-12-30T22:55:00"/>
        <d v="1899-12-30T23:25:00"/>
        <d v="1899-12-30T23:57:00"/>
        <d v="1899-12-30T00:40:00"/>
        <d v="1899-12-30T01:10:00"/>
        <d v="1899-12-30T01:40:00"/>
        <d v="1899-12-30T02:12:00"/>
        <d v="1899-12-30T03:24:00"/>
        <d v="1899-12-30T16:52:00"/>
        <d v="1899-12-30T17:49:00"/>
        <d v="1899-12-30T18:50:00"/>
        <d v="1899-12-30T20:24:00"/>
        <d v="1899-12-30T20:49:00"/>
        <d v="1899-12-30T21:40:00"/>
        <d v="1899-12-30T22:10:00"/>
        <d v="1899-12-30T23:12:00"/>
        <d v="1899-12-30T18:10:00"/>
        <d v="1899-12-30T17:52:00"/>
        <d v="1899-12-30T20:54:00"/>
        <d v="1899-12-30T22:20:00"/>
        <d v="1899-12-30T22:50:00"/>
        <d v="1899-12-30T23:52:00"/>
        <d v="1899-12-30T17:32:00"/>
        <d v="1899-12-30T19:15:00"/>
        <d v="1899-12-30T20:12:00"/>
        <d v="1899-12-30T21:15:00"/>
        <d v="1899-12-30T21:45:00"/>
        <d v="1899-12-30T22:47:00"/>
        <d v="1899-12-30T15:35:00"/>
        <d v="1899-12-30T18:40:00"/>
        <d v="1899-12-30T19:10:00"/>
        <d v="1899-12-30T19:42:00"/>
        <d v="1899-12-30T21:17:00"/>
        <d v="1899-12-30T18:43:00"/>
        <d v="1899-12-30T15:38:00"/>
        <d v="1899-12-30T21:55:00"/>
        <d v="1899-12-30T18:02:00"/>
        <d v="1899-12-30T19:56:00"/>
        <d v="1899-12-30T11:52:00"/>
        <d v="1899-12-30T13:30:00"/>
        <d v="1899-12-30T20:19:00"/>
        <d v="1899-12-30T14:47:00"/>
        <d v="1899-12-30T14:08:00"/>
        <d v="1899-12-30T14:57:00"/>
        <d v="1899-12-30T11:50:00"/>
        <d v="1899-12-30T19:38:00"/>
        <d v="1899-12-30T18:39:00"/>
        <d v="1899-12-30T18:01:00"/>
        <d v="1899-12-30T18:21:00"/>
        <d v="1899-12-30T10:43:00"/>
        <d v="1899-12-30T12:38:00"/>
        <d v="1899-12-30T16:05:00"/>
        <d v="1899-12-30T16:35:00"/>
        <d v="1899-12-30T17:07:00"/>
        <d v="1899-12-30T18:35:00"/>
        <d v="1899-12-30T19:05:00"/>
        <d v="1899-12-30T19:57:00"/>
        <d v="1899-12-30T12:20:00"/>
        <d v="1899-12-30T12:50:00"/>
        <d v="1899-12-30T13:22:00"/>
        <d v="1899-12-30T13:54:00"/>
        <d v="1899-12-30T14:26:00"/>
        <d v="1899-12-30T14:51:00"/>
        <d v="1899-12-30T11:51:00"/>
        <d v="1899-12-30T12:41:00"/>
        <d v="1899-12-30T13:52:00"/>
        <d v="1899-12-30T14:41:00"/>
        <d v="1899-12-30T16:07:00"/>
        <d v="1899-12-30T20:08:00"/>
        <d v="1899-12-30T13:39:00"/>
        <d v="1899-12-30T16:40:00"/>
        <d v="1899-12-30T16:21:00"/>
        <d v="1899-12-30T17:21:00"/>
        <d v="1899-12-30T18:13:00"/>
        <d v="1899-12-30T18:42:00"/>
        <d v="1899-12-30T14:37:00"/>
        <d v="1899-12-30T18:16:00"/>
        <d v="1899-12-30T14:12:00"/>
        <d v="1899-12-30T15:18:00"/>
        <d v="1899-12-30T16:57:00"/>
        <d v="1899-12-30T16:54:00"/>
        <d v="1899-12-30T18:08:00"/>
        <d v="1899-12-30T15:43:00"/>
        <d v="1899-12-30T14:49:00"/>
        <d v="1899-12-30T17:31:00"/>
        <d v="1899-12-30T21:43:00"/>
        <d v="1899-12-30T17:04:00"/>
        <d v="1899-12-30T15:04:00"/>
        <d v="1899-12-30T16:22:00"/>
        <d v="1899-12-30T13:28:00"/>
        <d v="1899-12-30T15:23:00"/>
        <d v="1899-12-30T16:01:00"/>
        <d v="1899-12-30T17:40:00"/>
        <d v="1899-12-30T14:18:00"/>
        <d v="1899-12-30T15:34:00"/>
        <d v="1899-12-30T17:36:00"/>
        <d v="1899-12-30T17:02:00"/>
        <d v="1899-12-30T17:27:00"/>
        <d v="1899-12-30T21:22:00"/>
        <d v="1899-12-30T14:11:00"/>
        <d v="1899-12-30T15:16:00"/>
        <d v="1899-12-30T16:56:00"/>
        <d v="1899-12-30T18:24:00"/>
        <d v="1899-12-30T17:15:00"/>
        <d v="1899-12-30T16:15:00"/>
        <d v="1899-12-30T17:17:00"/>
        <d v="1899-12-30T20:35:00"/>
        <d v="1899-12-30T17:14:00"/>
        <d v="1899-12-30T15:49:00"/>
        <d v="1899-12-30T18:11:00"/>
        <d v="1899-12-30T18:27:00"/>
        <d v="1899-12-30T18:59:00"/>
        <d v="1899-12-30T19:39:00"/>
        <d v="1899-12-30T20:09:00"/>
        <d v="1899-12-30T20:39:00"/>
        <d v="1899-12-30T16:47:00"/>
        <d v="1899-12-30T17:47:00"/>
        <d v="1899-12-30T19:44:00"/>
        <d v="1899-12-30T20:59:00"/>
        <d v="1899-12-30T21:31:00"/>
        <d v="1899-12-30T22:45:00"/>
        <d v="1899-12-30T00:35:00"/>
        <d v="1899-12-30T00:48:00"/>
        <d v="1899-12-30T01:36:00"/>
        <d v="1899-12-30T14:00:00"/>
        <d v="1899-12-30T14:30:00"/>
        <d v="1899-12-30T15:32:00"/>
        <d v="1899-12-30T15:57:00"/>
        <d v="1899-12-30T17:44:00"/>
        <d v="1899-12-30T18:09:00"/>
        <d v="1899-12-30T18:54:00"/>
        <d v="1899-12-30T18:49:00"/>
        <d v="1899-12-30T19:04:00"/>
        <d v="1899-12-30T20:36:00"/>
        <d v="1899-12-30T22:57:00"/>
        <d v="1899-12-30T23:42:00"/>
        <d v="1899-12-30T22:27:00"/>
        <d v="1899-12-30T22:42:00"/>
        <d v="1899-12-30T23:00:00"/>
        <d v="1899-12-30T23:30:00"/>
        <d v="1899-12-31T00:00:00"/>
        <d v="1899-12-30T14:38:00"/>
        <d v="1899-12-30T15:08:00"/>
        <d v="1899-12-30T22:30:00"/>
        <d v="1899-12-30T22:48:00"/>
        <d v="1899-12-30T23:18:00"/>
        <d v="1899-12-30T23:48:00"/>
        <d v="1899-12-31T00:20:00"/>
        <d v="1899-12-30T14:07:00"/>
        <d v="1899-12-30T19:07:00"/>
        <d v="1899-12-30T20:34:00"/>
        <d v="1899-12-30T14:22:00"/>
        <d v="1899-12-30T19:12:00"/>
        <d v="1899-12-30T20:47:00"/>
        <d v="1899-12-30T13:05:00"/>
        <d v="1899-12-30T22:33:00"/>
        <d v="1899-12-30T12:07:00"/>
        <d v="1899-12-30T12:47:00"/>
        <d v="1899-12-30T10:20:00"/>
        <d v="1899-12-30T11:20:00"/>
        <d v="1899-12-30T12:17:00"/>
        <d v="1899-12-30T13:02:00"/>
        <d v="1899-12-30T13:32:00"/>
        <d v="1899-12-30T14:04:00"/>
        <d v="1899-12-30T14:29:00"/>
        <d v="1899-12-30T11:15:00"/>
        <d v="1899-12-30T11:45:00"/>
        <d v="1899-12-30T12:15:00"/>
        <d v="1899-12-30T17:35:00"/>
        <d v="1899-12-30T15:47:00"/>
        <d v="1899-12-30T16:02:00"/>
        <d v="1899-12-30T17:39:00"/>
        <d v="1899-12-30T13:07:00"/>
        <d v="1899-12-30T14:17:00"/>
        <d v="1899-12-30T15:17:00"/>
        <d v="1899-12-30T16:19:00"/>
        <d v="1899-12-30T16:44:00"/>
        <d v="1899-12-30T16:59:00"/>
        <d v="1899-12-30T17:29:00"/>
        <d v="1899-12-30T18:03:00"/>
        <d v="1899-12-30T18:33:00"/>
        <d v="1899-12-30T19:03:00"/>
        <d v="1899-12-30T20:45:00"/>
        <d v="1899-12-30T21:33:00"/>
        <d v="1899-12-30T22:03:00"/>
        <d v="1899-12-30T20:42:00"/>
        <d v="1899-12-30T21:44:00"/>
        <d v="1899-12-30T13:08:00"/>
        <d v="1899-12-30T13:00:00"/>
        <d v="1899-12-30T22:53:00"/>
        <d v="1899-12-30T12:40:00"/>
        <d v="1899-12-30T17:34:00"/>
        <d v="1899-12-30T17:59:00"/>
        <d v="1899-12-30T18:14:00"/>
        <d v="1899-12-30T18:44:00"/>
        <d v="1899-12-30T13:40:00"/>
        <d v="1899-12-30T15:52:00"/>
        <d v="1899-12-30T17:19:00"/>
        <d v="1899-12-30T20:57:00"/>
        <d v="1899-12-30T21:42:00"/>
        <d v="1899-12-30T13:57:00"/>
        <d v="1899-12-30T09:28:00"/>
        <d v="1899-12-30T09:36:00"/>
        <d v="1899-12-30T12:18:00"/>
        <d v="1899-12-30T13:53:00"/>
        <d v="1899-12-30T13:37:00"/>
        <d v="1899-12-30T14:02:00"/>
        <d v="1899-12-30T19:01:00"/>
        <d v="1899-12-30T15:42:00"/>
        <d v="1899-12-30T20:17:00"/>
        <d v="1899-12-30T14:15:00"/>
        <d v="1899-12-30T15:24:00"/>
        <d v="1899-12-30T16:53:00"/>
        <d v="1899-12-30T16:31:00"/>
        <d v="1899-12-30T15:06:00"/>
        <d v="1899-12-30T16:33:00"/>
        <d v="1899-12-30T20:41:00"/>
        <d v="1899-12-30T15:48:00"/>
        <d v="1899-12-31T00:18:00"/>
        <d v="1899-12-31T00:48:00"/>
        <d v="1899-12-30T17:10:00"/>
        <d v="1899-12-30T18:36:00"/>
        <d v="1899-12-30T21:02:00"/>
        <d v="1899-12-30T20:11:00"/>
        <d v="1899-12-30T16:34:00"/>
        <d v="1899-12-30T21:28:00"/>
        <d v="1899-12-30T21:58:00"/>
        <d v="1899-12-30T22:28:00"/>
        <d v="1899-12-30T02:19:00"/>
        <d v="1899-12-30T14:53:00"/>
        <d v="1899-12-30T23:43:00"/>
        <d v="1899-12-30T00:03:00"/>
        <d v="1899-12-30T00:33:00"/>
        <d v="1899-12-30T01:03:00"/>
        <d v="1899-12-30T02:26:00"/>
        <d v="1899-12-30T15:53:00"/>
        <d v="1899-12-30T18:25:00"/>
        <d v="1899-12-30T18:57:00"/>
        <d v="1899-12-30T19:29:00"/>
        <d v="1899-12-30T18:38:00"/>
        <d v="1899-12-30T20:31:00"/>
        <d v="1899-12-30T16:51:00"/>
        <d v="1899-12-30T17:51:00"/>
        <d v="1899-12-30T18:23:00"/>
        <d v="1899-12-30T17:41:00"/>
        <d v="1899-12-30T17:23:00"/>
        <d v="1899-12-30T20:15:00"/>
        <d v="1899-12-30T21:13:00"/>
        <d v="1899-12-30T03:15:00"/>
        <d v="1899-12-30T20:28:00"/>
        <d v="1899-12-30T17:26:00"/>
        <d v="1899-12-30T21:36:00"/>
        <d v="1899-12-30T22:38:00"/>
        <d v="1899-12-30T23:33:00"/>
        <d v="1899-12-30T22:51:00"/>
        <d v="1899-12-30T23:04:00"/>
        <d v="1899-12-30T23:34:00"/>
        <d v="1899-12-31T00:04:00"/>
        <d v="1899-12-31T00:36:00"/>
        <d v="1899-12-30T17:01:00"/>
        <d v="1899-12-30T17:28:00"/>
        <d v="1899-12-30T18:06:00"/>
        <d v="1899-12-30T13:26:00"/>
        <d v="1899-12-30T15:58:00"/>
        <d v="1899-12-30T12:01:00"/>
        <d v="1899-12-30T12:58:00"/>
        <d v="1899-12-30T13:58:00"/>
        <d v="1899-12-30T17:05:00"/>
        <d v="1899-12-30T20:50:00"/>
        <d v="1899-12-30T23:02:00"/>
        <d v="1899-12-31T00:02:00"/>
        <d v="1899-12-31T00:34:00"/>
        <d v="1899-12-30T01:25:00"/>
        <d v="1899-12-30T01:55:00"/>
        <d v="1899-12-30T02:25:00"/>
        <d v="1899-12-30T02:57:00"/>
        <d v="1899-12-30T03:29:00"/>
        <d v="1899-12-30T02:40:00"/>
        <d v="1899-12-30T19:14:00"/>
        <d v="1899-12-30T15:09:00"/>
        <d v="1899-12-30T16:27:00"/>
        <d v="1899-12-30T17:54:00"/>
        <d v="1899-12-30T14:32:00"/>
        <d v="1899-12-30T00:42:00"/>
        <d v="1899-12-30T01:13:00"/>
        <d v="1899-12-30T15:13:00"/>
        <d v="1899-12-30T14:58:00"/>
        <d v="1899-12-30T15:28:00"/>
        <d v="1899-12-30T11:48:00"/>
        <d v="1899-12-30T16:24:00"/>
        <d v="1899-12-30T10:45:00"/>
        <d v="1899-12-30T00:17:00"/>
        <d v="1899-12-30T12:22:00"/>
        <d v="1899-12-30T10:37:00"/>
        <d v="1899-12-30T23:10:00"/>
        <d v="1899-12-30T10:46:00"/>
        <d v="1899-12-30T16:38:00"/>
        <d v="1899-12-30T09:25:00"/>
        <d v="1899-12-30T09:55:00"/>
        <d v="1899-12-30T10:57:00"/>
        <d v="1899-12-30T11:22:00"/>
        <d v="1899-12-30T11:37:00"/>
        <d v="1899-12-30T13:09:00"/>
        <d v="1899-12-30T13:34:00"/>
        <d v="1899-12-30T13:47:00"/>
        <d v="1899-12-30T15:14:00"/>
        <d v="1899-12-30T15:54:00"/>
        <d v="1899-12-30T18:32:00"/>
        <d v="1899-12-30T00:10:00"/>
        <d v="1899-12-30T01:12:00"/>
        <d v="1899-12-30T02:29:00"/>
        <d v="1899-12-30T22:58:00"/>
        <d v="1899-12-30T13:27:00"/>
        <d v="1899-12-30T14:27:00"/>
        <d v="1899-12-30T14:59:00"/>
        <d v="1899-12-30T10:34:00"/>
        <d v="1899-12-30T11:36:00"/>
        <d v="1899-12-30T12:12:00"/>
        <d v="1899-12-30T10:42:00"/>
        <d v="1899-12-30T13:41:00"/>
        <d v="1899-12-30T14:43:00"/>
        <d v="1899-12-30T23:44:00"/>
        <d v="1899-12-30T14:13:00"/>
        <d v="1899-12-30T01:07:00"/>
        <d v="1899-12-30T11:47:00"/>
        <d v="1899-12-30T13:11:00"/>
        <d v="1899-12-30T15:56:00"/>
        <d v="1899-12-30T22:23:00"/>
        <d v="1899-12-30T00:01:00"/>
        <d v="1899-12-30T01:47:00"/>
        <d v="1899-12-30T20:53:00"/>
        <d v="1899-12-30T00:37:00"/>
        <d v="1899-12-30T14:56:00"/>
        <d v="1899-12-30T17:43:00"/>
        <d v="1899-12-30T01:42:00"/>
        <d v="1899-12-30T23:23:00"/>
        <d v="1899-12-30T23:53:00"/>
        <d v="1899-12-31T00:23:00"/>
        <d v="1899-12-31T00:55:00"/>
        <d v="1899-12-30T23:40:00"/>
        <d v="1899-12-31T00:10:00"/>
        <d v="1899-12-31T00:42:00"/>
        <d v="1899-12-31T01:07:00"/>
        <d v="1899-12-31T01:22:00"/>
        <d v="1899-12-31T01:52:00"/>
        <d v="1899-12-30T16:28:00"/>
        <d v="1899-12-30T16:58:00"/>
        <d v="1899-12-30T20:07:00"/>
        <d v="1899-12-30T20:52:00"/>
        <d v="1899-12-30T14:23:00"/>
        <d v="1899-12-30T00:56:00"/>
        <d v="1899-12-30T01:26:00"/>
        <d v="1899-12-30T01:56:00"/>
        <d v="1899-12-30T16:41:00"/>
        <d v="1899-12-30T23:13:00"/>
        <d v="1899-12-31T00:13:00"/>
        <d v="1899-12-31T00:45:00"/>
        <d v="1899-12-31T01:10:00"/>
        <d v="1899-12-31T01:25:00"/>
        <d v="1899-12-31T01:55:00"/>
        <d v="1899-12-30T21:24:00"/>
        <d v="1899-12-30T01:30:00"/>
        <d v="1899-12-30T23:55:00"/>
        <d v="1899-12-30T23:07:00"/>
        <d v="1899-12-31T00:07:00"/>
        <d v="1899-12-30T01:18:00"/>
        <d v="1899-12-30T00:09:00"/>
        <d v="1899-12-30T00:45:00"/>
        <d v="1899-12-30T00:06:00"/>
        <d v="1899-12-30T13:33:00"/>
        <d v="1899-12-30T14:03:00"/>
        <d v="1899-12-30T14:33:00"/>
        <d v="1899-12-30T21:07:00"/>
        <d v="1899-12-30T01:22:00"/>
        <d v="1899-12-30T01:43:00"/>
        <d v="1899-12-30T22:11:00"/>
        <d v="1899-12-30T17:37:00"/>
        <d v="1899-12-30T18:07:00"/>
        <d v="1899-12-30T01:50:00"/>
        <d v="1899-12-30T22:06:00"/>
        <d v="1899-12-30T02:56:00"/>
        <d v="1899-12-30T16:39:00"/>
        <d v="1899-12-30T02:50:00"/>
        <d v="1899-12-30T19:18:00"/>
        <d v="1899-12-30T19:48:00"/>
        <d v="1899-12-30T15:02:00"/>
        <d v="1899-12-30T15:12:00"/>
        <d v="1899-12-30T15:44:00"/>
        <d v="1899-12-30T15:03:00"/>
        <d v="1899-12-30T12:27:00"/>
        <d v="1899-12-30T19:36:00"/>
        <d v="1899-12-30T19:43:00"/>
        <d v="1899-12-30T22:24:00"/>
        <d v="1899-12-30T14:06:00"/>
        <d v="1899-12-30T15:36:00"/>
        <d v="1899-12-30T16:06:00"/>
        <d v="1899-12-30T20:02:00"/>
        <d v="1899-12-30T23:35:00"/>
        <d v="1899-12-31T00:15:00"/>
      </sharedItems>
    </cacheField>
    <cacheField name="ENDING TIME" numFmtId="171">
      <sharedItems containsNonDate="0" containsDate="1" containsString="0" containsBlank="1" minDate="1899-12-30T00:00:00" maxDate="1899-12-31T02:20:00" count="638">
        <d v="1899-12-30T02:00:00"/>
        <m/>
        <d v="1899-12-30T16:15:00"/>
        <d v="1899-12-30T16:45:00"/>
        <d v="1899-12-30T17:15:00"/>
        <d v="1899-12-30T17:51:00"/>
        <d v="1899-12-30T01:43:00"/>
        <d v="1899-12-30T11:30:00"/>
        <d v="1899-12-30T12:00:00"/>
        <d v="1899-12-30T12:30:00"/>
        <d v="1899-12-30T13:06:00"/>
        <d v="1899-12-30T13:38:00"/>
        <d v="1899-12-30T15:00:00"/>
        <d v="1899-12-30T15:25:00"/>
        <d v="1899-12-30T15:55:00"/>
        <d v="1899-12-30T16:25:00"/>
        <d v="1899-12-30T16:57:00"/>
        <d v="1899-12-30T17:36:00"/>
        <d v="1899-12-30T11:35:00"/>
        <d v="1899-12-30T12:05:00"/>
        <d v="1899-12-30T12:35:00"/>
        <d v="1899-12-30T13:07:00"/>
        <d v="1899-12-30T13:39:00"/>
        <d v="1899-12-30T14:50:00"/>
        <d v="1899-12-30T16:00:00"/>
        <d v="1899-12-30T00:45:00"/>
        <d v="1899-12-30T01:15:00"/>
        <d v="1899-12-30T01:45:00"/>
        <d v="1899-12-30T02:17:00"/>
        <d v="1899-12-30T00:36:00"/>
        <d v="1899-12-30T23:05:00"/>
        <d v="1899-12-30T23:45:00"/>
        <d v="1899-12-31T00:15:00"/>
        <d v="1899-12-30T13:36:00"/>
        <d v="1899-12-30T09:40:00"/>
        <d v="1899-12-30T10:10:00"/>
        <d v="1899-12-30T10:42:00"/>
        <d v="1899-12-30T11:15:00"/>
        <d v="1899-12-30T11:57:00"/>
        <d v="1899-12-30T13:20:00"/>
        <d v="1899-12-30T13:50:00"/>
        <d v="1899-12-30T14:20:00"/>
        <d v="1899-12-30T00:52:00"/>
        <d v="1899-12-30T11:25:00"/>
        <d v="1899-12-30T11:55:00"/>
        <d v="1899-12-30T12:25:00"/>
        <d v="1899-12-30T12:57:00"/>
        <d v="1899-12-30T17:55:00"/>
        <d v="1899-12-30T18:25:00"/>
        <d v="1899-12-30T18:55:00"/>
        <d v="1899-12-30T19:27:00"/>
        <d v="1899-12-30T19:25:00"/>
        <d v="1899-12-30T19:55:00"/>
        <d v="1899-12-30T15:29:00"/>
        <d v="1899-12-30T14:15:00"/>
        <d v="1899-12-30T14:45:00"/>
        <d v="1899-12-30T15:15:00"/>
        <d v="1899-12-30T15:47:00"/>
        <d v="1899-12-30T17:20:00"/>
        <d v="1899-12-30T17:50:00"/>
        <d v="1899-12-30T18:20:00"/>
        <d v="1899-12-30T00:25:00"/>
        <d v="1899-12-30T10:50:00"/>
        <d v="1899-12-30T11:20:00"/>
        <d v="1899-12-30T12:50:00"/>
        <d v="1899-12-30T13:00:00"/>
        <d v="1899-12-30T10:00:00"/>
        <d v="1899-12-30T10:30:00"/>
        <d v="1899-12-30T11:00:00"/>
        <d v="1899-12-30T11:32:00"/>
        <d v="1899-12-30T12:08:00"/>
        <d v="1899-12-30T11:17:00"/>
        <d v="1899-12-30T15:20:00"/>
        <d v="1899-12-30T15:52:00"/>
        <d v="1899-12-30T16:28:00"/>
        <d v="1899-12-30T22:49:00"/>
        <d v="1899-12-30T11:33:00"/>
        <d v="1899-12-30T21:44:00"/>
        <d v="1899-12-30T22:14:00"/>
        <d v="1899-12-30T22:44:00"/>
        <d v="1899-12-30T14:00:00"/>
        <d v="1899-12-30T14:30:00"/>
        <d v="1899-12-30T15:32:00"/>
        <d v="1899-12-30T16:06:00"/>
        <d v="1899-12-30T20:46:00"/>
        <d v="1899-12-30T21:16:00"/>
        <d v="1899-12-30T16:38:00"/>
        <d v="1899-12-30T17:08:00"/>
        <d v="1899-12-30T18:42:00"/>
        <d v="1899-12-30T19:12:00"/>
        <d v="1899-12-30T19:44:00"/>
        <d v="1899-12-30T20:50:00"/>
        <d v="1899-12-30T17:33:00"/>
        <d v="1899-12-30T18:00:00"/>
        <d v="1899-12-30T19:57:00"/>
        <d v="1899-12-30T09:30:00"/>
        <d v="1899-12-30T10:31:00"/>
        <d v="1899-12-30T11:36:00"/>
        <d v="1899-12-30T17:45:00"/>
        <d v="1899-12-30T18:15:00"/>
        <d v="1899-12-30T18:45:00"/>
        <d v="1899-12-30T19:17:00"/>
        <d v="1899-12-30T19:49:00"/>
        <d v="1899-12-30T21:00:00"/>
        <d v="1899-12-30T21:25:00"/>
        <d v="1899-12-30T21:55:00"/>
        <d v="1899-12-30T22:16:00"/>
        <d v="1899-12-30T20:25:00"/>
        <d v="1899-12-30T20:55:00"/>
        <d v="1899-12-30T15:45:00"/>
        <d v="1899-12-30T18:48:00"/>
        <d v="1899-12-30T19:47:00"/>
        <d v="1899-12-30T20:43:00"/>
        <d v="1899-12-30T15:50:00"/>
        <d v="1899-12-30T13:10:00"/>
        <d v="1899-12-30T13:40:00"/>
        <d v="1899-12-30T14:10:00"/>
        <d v="1899-12-30T14:40:00"/>
        <d v="1899-12-30T15:05:00"/>
        <d v="1899-12-30T15:35:00"/>
        <d v="1899-12-30T16:05:00"/>
        <d v="1899-12-30T16:37:00"/>
        <d v="1899-12-30T18:10:00"/>
        <d v="1899-12-30T18:40:00"/>
        <d v="1899-12-30T19:10:00"/>
        <d v="1899-12-30T19:42:00"/>
        <d v="1899-12-30T20:14:00"/>
        <d v="1899-12-30T15:10:00"/>
        <d v="1899-12-30T15:40:00"/>
        <d v="1899-12-30T16:10:00"/>
        <d v="1899-12-30T16:42:00"/>
        <d v="1899-12-30T17:12:00"/>
        <d v="1899-12-30T17:37:00"/>
        <d v="1899-12-30T18:07:00"/>
        <d v="1899-12-30T18:37:00"/>
        <d v="1899-12-30T22:30:00"/>
        <d v="1899-12-30T23:00:00"/>
        <d v="1899-12-30T23:30:00"/>
        <d v="1899-12-31T00:02:00"/>
        <d v="1899-12-30T16:50:00"/>
        <d v="1899-12-30T18:22:00"/>
        <d v="1899-12-30T19:20:00"/>
        <d v="1899-12-30T19:50:00"/>
        <d v="1899-12-30T20:20:00"/>
        <d v="1899-12-30T23:40:00"/>
        <d v="1899-12-31T00:10:00"/>
        <d v="1899-12-30T15:30:00"/>
        <d v="1899-12-30T16:02:00"/>
        <d v="1899-12-30T17:30:00"/>
        <d v="1899-12-30T19:59:00"/>
        <d v="1899-12-30T21:05:00"/>
        <d v="1899-12-30T21:30:00"/>
        <d v="1899-12-30T22:00:00"/>
        <d v="1899-12-30T23:02:00"/>
        <d v="1899-12-30T23:31:00"/>
        <d v="1899-12-30T00:55:00"/>
        <d v="1899-12-30T01:25:00"/>
        <d v="1899-12-30T01:57:00"/>
        <d v="1899-12-30T02:51:00"/>
        <d v="1899-12-30T20:05:00"/>
        <d v="1899-12-30T20:35:00"/>
        <d v="1899-12-30T21:37:00"/>
        <d v="1899-12-30T21:52:00"/>
        <d v="1899-12-30T22:17:00"/>
        <d v="1899-12-30T22:47:00"/>
        <d v="1899-12-30T23:17:00"/>
        <d v="1899-12-30T21:26:00"/>
        <d v="1899-12-30T21:53:00"/>
        <d v="1899-12-30T19:30:00"/>
        <d v="1899-12-30T20:34:00"/>
        <d v="1899-12-30T19:22:00"/>
        <d v="1899-12-30T21:39:00"/>
        <d v="1899-12-30T23:54:00"/>
        <d v="1899-12-30T18:19:00"/>
        <d v="1899-12-30T18:57:00"/>
        <d v="1899-12-30T21:43:00"/>
        <d v="1899-12-30T16:13:00"/>
        <d v="1899-12-30T22:31:00"/>
        <d v="1899-12-30T19:03:00"/>
        <d v="1899-12-30T20:10:00"/>
        <d v="1899-12-30T21:18:00"/>
        <d v="1899-12-30T22:43:00"/>
        <d v="1899-12-31T00:01:00"/>
        <d v="1899-12-30T21:47:00"/>
        <d v="1899-12-30T22:27:00"/>
        <d v="1899-12-30T23:06:00"/>
        <d v="1899-12-31T00:08:00"/>
        <d v="1899-12-30T01:05:00"/>
        <d v="1899-12-30T18:35:00"/>
        <d v="1899-12-30T19:33:00"/>
        <d v="1899-12-30T10:26:00"/>
        <d v="1899-12-30T11:31:00"/>
        <d v="1899-12-30T20:18:00"/>
        <d v="1899-12-30T20:57:00"/>
        <d v="1899-12-30T21:40:00"/>
        <d v="1899-12-30T21:23:00"/>
        <d v="1899-12-30T22:42:00"/>
        <d v="1899-12-30T15:13:00"/>
        <d v="1899-12-30T16:18:00"/>
        <d v="1899-12-30T16:53:00"/>
        <d v="1899-12-30T18:32:00"/>
        <d v="1899-12-30T19:41:00"/>
        <d v="1899-12-30T20:16:00"/>
        <d v="1899-12-30T20:42:00"/>
        <d v="1899-12-30T23:25:00"/>
        <d v="1899-12-30T13:25:00"/>
        <d v="1899-12-30T19:24:00"/>
        <d v="1899-12-30T20:37:00"/>
        <d v="1899-12-30T03:25:00"/>
        <d v="1899-12-30T21:10:00"/>
        <d v="1899-12-30T20:39:00"/>
        <d v="1899-12-30T17:54:00"/>
        <d v="1899-12-30T18:52:00"/>
        <d v="1899-12-30T20:06:00"/>
        <d v="1899-12-30T20:40:00"/>
        <d v="1899-12-30T16:55:00"/>
        <d v="1899-12-30T17:25:00"/>
        <d v="1899-12-30T20:29:00"/>
        <d v="1899-12-30T21:20:00"/>
        <d v="1899-12-30T21:45:00"/>
        <d v="1899-12-30T22:15:00"/>
        <d v="1899-12-30T20:33:00"/>
        <d v="1899-12-30T23:50:00"/>
        <d v="1899-12-30T22:09:00"/>
        <d v="1899-12-30T19:45:00"/>
        <d v="1899-12-30T22:20:00"/>
        <d v="1899-12-31T00:18:00"/>
        <d v="1899-12-30T01:03:00"/>
        <d v="1899-12-30T23:44:00"/>
        <d v="1899-12-30T21:49:00"/>
        <d v="1899-12-30T23:12:00"/>
        <d v="1899-12-30T22:18:00"/>
        <d v="1899-12-30T23:20:00"/>
        <d v="1899-12-30T21:56:00"/>
        <d v="1899-12-30T14:23:00"/>
        <d v="1899-12-30T17:16:00"/>
        <d v="1899-12-30T22:22:00"/>
        <d v="1899-12-30T21:29:00"/>
        <d v="1899-12-30T21:17:00"/>
        <d v="1899-12-30T23:11:00"/>
        <d v="1899-12-30T16:17:00"/>
        <d v="1899-12-30T17:47:00"/>
        <d v="1899-12-30T16:20:00"/>
        <d v="1899-12-30T22:50:00"/>
        <d v="1899-12-31T00:22:00"/>
        <d v="1899-12-30T00:40:00"/>
        <d v="1899-12-30T01:35:00"/>
        <d v="1899-12-30T02:05:00"/>
        <d v="1899-12-30T02:37:00"/>
        <d v="1899-12-30T04:10:00"/>
        <d v="1899-12-30T17:17:00"/>
        <d v="1899-12-30T17:49:00"/>
        <d v="1899-12-30T19:15:00"/>
        <d v="1899-12-30T20:17:00"/>
        <d v="1899-12-30T20:49:00"/>
        <d v="1899-12-30T22:05:00"/>
        <d v="1899-12-30T22:35:00"/>
        <d v="1899-12-30T23:37:00"/>
        <d v="1899-12-30T18:17:00"/>
        <d v="1899-12-30T18:50:00"/>
        <d v="1899-12-30T20:15:00"/>
        <d v="1899-12-30T20:47:00"/>
        <d v="1899-12-30T21:19:00"/>
        <d v="1899-12-30T22:45:00"/>
        <d v="1899-12-30T23:15:00"/>
        <d v="1899-12-31T00:17:00"/>
        <d v="1899-12-30T19:40:00"/>
        <d v="1899-12-30T20:12:00"/>
        <d v="1899-12-30T21:15:00"/>
        <d v="1899-12-30T22:10:00"/>
        <d v="1899-12-30T22:40:00"/>
        <d v="1899-12-30T19:05:00"/>
        <d v="1899-12-30T19:35:00"/>
        <d v="1899-12-30T20:07:00"/>
        <d v="1899-12-30T22:06:00"/>
        <d v="1899-12-30T23:04:00"/>
        <d v="1899-12-30T19:32:00"/>
        <d v="1899-12-30T12:20:00"/>
        <d v="1899-12-30T00:00:00"/>
        <d v="1899-12-30T00:30:00"/>
        <d v="1899-12-30T01:00:00"/>
        <d v="1899-12-30T01:32:00"/>
        <d v="1899-12-30T14:25:00"/>
        <d v="1899-12-30T12:44:00"/>
        <d v="1899-12-30T16:48:00"/>
        <d v="1899-12-30T19:06:00"/>
        <d v="1899-12-30T20:11:00"/>
        <d v="1899-12-30T19:07:00"/>
        <d v="1899-12-30T20:23:00"/>
        <d v="1899-12-30T18:09:00"/>
        <d v="1899-12-30T19:09:00"/>
        <d v="1899-12-30T20:27:00"/>
        <d v="1899-12-30T16:30:00"/>
        <d v="1899-12-30T17:00:00"/>
        <d v="1899-12-30T17:32:00"/>
        <d v="1899-12-30T18:05:00"/>
        <d v="1899-12-30T18:30:00"/>
        <d v="1899-12-30T19:00:00"/>
        <d v="1899-12-30T12:15:00"/>
        <d v="1899-12-30T12:45:00"/>
        <d v="1899-12-30T13:15:00"/>
        <d v="1899-12-30T13:47:00"/>
        <d v="1899-12-30T14:19:00"/>
        <d v="1899-12-30T14:51:00"/>
        <d v="1899-12-30T17:35:00"/>
        <d v="1899-12-30T23:47:00"/>
        <d v="1899-12-30T11:46:00"/>
        <d v="1899-12-30T13:16:00"/>
        <d v="1899-12-30T14:22:00"/>
        <d v="1899-12-30T17:01:00"/>
        <d v="1899-12-30T18:06:00"/>
        <d v="1899-12-30T19:11:00"/>
        <d v="1899-12-30T20:02:00"/>
        <d v="1899-12-30T20:45:00"/>
        <d v="1899-12-30T14:52:00"/>
        <d v="1899-12-30T17:06:00"/>
        <d v="1899-12-30T19:02:00"/>
        <d v="1899-12-30T17:38:00"/>
        <d v="1899-12-30T17:11:00"/>
        <d v="1899-12-30T17:58:00"/>
        <d v="1899-12-30T19:26:00"/>
        <d v="1899-12-30T15:09:00"/>
        <d v="1899-12-30T16:34:00"/>
        <d v="1899-12-30T17:02:00"/>
        <d v="1899-12-30T17:29:00"/>
        <d v="1899-12-30T19:48:00"/>
        <d v="1899-12-30T21:13:00"/>
        <d v="1899-12-30T17:27:00"/>
        <d v="1899-12-30T18:51:00"/>
        <d v="1899-12-30T16:52:00"/>
        <d v="1899-12-30T15:56:00"/>
        <d v="1899-12-30T22:19:00"/>
        <d v="1899-12-30T17:44:00"/>
        <d v="1899-12-30T14:49:00"/>
        <d v="1899-12-30T15:38:00"/>
        <d v="1899-12-30T16:59:00"/>
        <d v="1899-12-30T13:55:00"/>
        <d v="1899-12-30T15:04:00"/>
        <d v="1899-12-30T14:55:00"/>
        <d v="1899-12-30T15:57:00"/>
        <d v="1899-12-30T15:03:00"/>
        <d v="1899-12-30T16:36:00"/>
        <d v="1899-12-30T18:23:00"/>
        <d v="1899-12-30T18:49:00"/>
        <d v="1899-12-30T16:35:00"/>
        <d v="1899-12-30T16:40:00"/>
        <d v="1899-12-30T17:10:00"/>
        <d v="1899-12-30T17:42:00"/>
        <d v="1899-12-30T20:00:00"/>
        <d v="1899-12-30T20:30:00"/>
        <d v="1899-12-30T17:07:00"/>
        <d v="1899-12-30T17:23:00"/>
        <d v="1899-12-30T15:07:00"/>
        <d v="1899-12-30T17:03:00"/>
        <d v="1899-12-30T17:52:00"/>
        <d v="1899-12-30T19:39:00"/>
        <d v="1899-12-30T20:04:00"/>
        <d v="1899-12-30T21:04:00"/>
        <d v="1899-12-30T18:12:00"/>
        <d v="1899-12-30T20:24:00"/>
        <d v="1899-12-30T20:54:00"/>
        <d v="1899-12-30T21:24:00"/>
        <d v="1899-12-30T23:10:00"/>
        <d v="1899-12-30T01:13:00"/>
        <d v="1899-12-30T02:34:00"/>
        <d v="1899-12-30T16:12:00"/>
        <d v="1899-12-30T18:24:00"/>
        <d v="1899-12-30T19:19:00"/>
        <d v="1899-12-30T19:04:00"/>
        <d v="1899-12-30T19:29:00"/>
        <d v="1899-12-30T21:01:00"/>
        <d v="1899-12-30T22:25:00"/>
        <d v="1899-12-30T22:57:00"/>
        <d v="1899-12-31T00:07:00"/>
        <d v="1899-12-30T23:55:00"/>
        <d v="1899-12-31T00:25:00"/>
        <d v="1899-12-30T15:58:00"/>
        <d v="1899-12-30T14:05:00"/>
        <d v="1899-12-30T14:33:00"/>
        <d v="1899-12-30T15:33:00"/>
        <d v="1899-12-30T21:42:00"/>
        <d v="1899-12-30T23:13:00"/>
        <d v="1899-12-30T23:43:00"/>
        <d v="1899-12-31T00:13:00"/>
        <d v="1899-12-31T00:45:00"/>
        <d v="1899-12-30T14:32:00"/>
        <d v="1899-12-30T15:02:00"/>
        <d v="1899-12-30T21:35:00"/>
        <d v="1899-12-30T19:37:00"/>
        <d v="1899-12-30T19:52:00"/>
        <d v="1899-12-30T13:30:00"/>
        <d v="1899-12-30T12:32:00"/>
        <d v="1899-12-30T12:47:00"/>
        <d v="1899-12-30T13:12:00"/>
        <d v="1899-12-30T13:42:00"/>
        <d v="1899-12-30T18:47:00"/>
        <d v="1899-12-30T14:29:00"/>
        <d v="1899-12-30T10:45:00"/>
        <d v="1899-12-30T11:45:00"/>
        <d v="1899-12-30T12:17:00"/>
        <d v="1899-12-30T13:27:00"/>
        <d v="1899-12-30T13:57:00"/>
        <d v="1899-12-30T11:40:00"/>
        <d v="1899-12-30T12:10:00"/>
        <d v="1899-12-30T12:40:00"/>
        <d v="1899-12-30T16:27:00"/>
        <d v="1899-12-30T18:04:00"/>
        <d v="1899-12-30T13:22:00"/>
        <d v="1899-12-30T14:17:00"/>
        <d v="1899-12-30T14:47:00"/>
        <d v="1899-12-30T15:12:00"/>
        <d v="1899-12-30T15:42:00"/>
        <d v="1899-12-30T16:44:00"/>
        <d v="1899-12-30T17:24:00"/>
        <d v="1899-12-30T17:46:00"/>
        <d v="1899-12-30T18:28:00"/>
        <d v="1899-12-30T18:58:00"/>
        <d v="1899-12-30T19:28:00"/>
        <d v="1899-12-30T21:28:00"/>
        <d v="1899-12-30T21:58:00"/>
        <d v="1899-12-30T22:28:00"/>
        <d v="1899-12-30T21:07:00"/>
        <d v="1899-12-30T17:57:00"/>
        <d v="1899-12-30T17:05:00"/>
        <d v="1899-12-30T18:11:00"/>
        <d v="1899-12-30T13:05:00"/>
        <d v="1899-12-30T13:33:00"/>
        <d v="1899-12-30T14:03:00"/>
        <d v="1899-12-30T18:38:00"/>
        <d v="1899-12-31T00:00:00"/>
        <d v="1899-12-30T13:35:00"/>
        <d v="1899-12-30T17:59:00"/>
        <d v="1899-12-30T18:14:00"/>
        <d v="1899-12-30T18:39:00"/>
        <d v="1899-12-30T14:35:00"/>
        <d v="1899-12-30T15:22:00"/>
        <d v="1899-12-30T16:47:00"/>
        <d v="1899-12-30T17:19:00"/>
        <d v="1899-12-30T21:12:00"/>
        <d v="1899-12-30T22:07:00"/>
        <d v="1899-12-30T09:36:00"/>
        <d v="1899-12-30T12:02:00"/>
        <d v="1899-12-30T12:37:00"/>
        <d v="1899-12-30T12:55:00"/>
        <d v="1899-12-30T16:23:00"/>
        <d v="1899-12-30T14:02:00"/>
        <d v="1899-12-30T14:42:00"/>
        <d v="1899-12-30T16:14:00"/>
        <d v="1899-12-30T22:32:00"/>
        <d v="1899-12-30T16:07:00"/>
        <d v="1899-12-30T15:53:00"/>
        <d v="1899-12-30T18:54:00"/>
        <d v="1899-12-30T17:34:00"/>
        <d v="1899-12-30T19:58:00"/>
        <d v="1899-12-30T22:52:00"/>
        <d v="1899-12-30T21:06:00"/>
        <d v="1899-12-30T16:32:00"/>
        <d v="1899-12-31T00:43:00"/>
        <d v="1899-12-31T01:13:00"/>
        <d v="1899-12-30T20:58:00"/>
        <d v="1899-12-30T21:21:00"/>
        <d v="1899-12-30T22:23:00"/>
        <d v="1899-12-30T22:53:00"/>
        <d v="1899-12-30T03:00:00"/>
        <d v="1899-12-30T14:53:00"/>
        <d v="1899-12-30T00:28:00"/>
        <d v="1899-12-30T00:58:00"/>
        <d v="1899-12-30T01:28:00"/>
        <d v="1899-12-30T15:18:00"/>
        <d v="1899-12-30T15:48:00"/>
        <d v="1899-12-30T19:54:00"/>
        <d v="1899-12-30T18:33:00"/>
        <d v="1899-12-30T18:53:00"/>
        <d v="1899-12-30T23:56:00"/>
        <d v="1899-12-30T12:41:00"/>
        <d v="1899-12-30T18:16:00"/>
        <d v="1899-12-30T18:21:00"/>
        <d v="1899-12-31T00:29:00"/>
        <d v="1899-12-30T21:11:00"/>
        <d v="1899-12-30T23:09:00"/>
        <d v="1899-12-30T04:39:00"/>
        <d v="1899-12-30T17:40:00"/>
        <d v="1899-12-30T23:07:00"/>
        <d v="1899-12-31T00:20:00"/>
        <d v="1899-12-30T23:01:00"/>
        <d v="1899-12-30T23:29:00"/>
        <d v="1899-12-30T23:59:00"/>
        <d v="1899-12-31T01:01:00"/>
        <d v="1899-12-30T15:51:00"/>
        <d v="1899-12-30T17:22:00"/>
        <d v="1899-12-30T19:21:00"/>
        <d v="1899-12-30T11:52:00"/>
        <d v="1899-12-30T12:33:00"/>
        <d v="1899-12-30T13:23:00"/>
        <d v="1899-12-30T13:53:00"/>
        <d v="1899-12-30T16:58:00"/>
        <d v="1899-12-30T23:27:00"/>
        <d v="1899-12-30T23:57:00"/>
        <d v="1899-12-31T00:27:00"/>
        <d v="1899-12-31T00:59:00"/>
        <d v="1899-12-30T01:50:00"/>
        <d v="1899-12-30T02:20:00"/>
        <d v="1899-12-30T02:50:00"/>
        <d v="1899-12-30T03:22:00"/>
        <d v="1899-12-30T03:54:00"/>
        <d v="1899-12-30T04:50:00"/>
        <d v="1899-12-30T14:38:00"/>
        <d v="1899-12-30T16:51:00"/>
        <d v="1899-12-30T01:30:00"/>
        <d v="1899-12-30T14:56:00"/>
        <d v="1899-12-30T16:19:00"/>
        <d v="1899-12-30T16:54:00"/>
        <d v="1899-12-30T15:49:00"/>
        <d v="1899-12-30T14:57:00"/>
        <d v="1899-12-30T18:56:00"/>
        <d v="1899-12-31T00:04:00"/>
        <d v="1899-12-30T01:09:00"/>
        <d v="1899-12-30T01:27:00"/>
        <d v="1899-12-30T15:54:00"/>
        <d v="1899-12-30T15:23:00"/>
        <d v="1899-12-30T11:29:00"/>
        <d v="1899-12-30T16:08:00"/>
        <d v="1899-12-30T18:34:00"/>
        <d v="1899-12-30T21:50:00"/>
        <d v="1899-12-30T22:55:00"/>
        <d v="1899-12-30T12:18:00"/>
        <d v="1899-12-30T15:28:00"/>
        <d v="1899-12-30T13:26:00"/>
        <d v="1899-12-30T12:19:00"/>
        <d v="1899-12-30T13:58:00"/>
        <d v="1899-12-30T15:11:00"/>
        <d v="1899-12-30T16:21:00"/>
        <d v="1899-12-31T00:37:00"/>
        <d v="1899-12-30T12:23:00"/>
        <d v="1899-12-30T14:12:00"/>
        <d v="1899-12-31T00:33:00"/>
        <d v="1899-12-30T11:54:00"/>
        <d v="1899-12-30T16:49:00"/>
        <d v="1899-12-30T18:29:00"/>
        <d v="1899-12-30T09:50:00"/>
        <d v="1899-12-30T10:20:00"/>
        <d v="1899-12-30T11:22:00"/>
        <d v="1899-12-30T11:37:00"/>
        <d v="1899-12-30T13:02:00"/>
        <d v="1899-12-30T13:34:00"/>
        <d v="1899-12-30T03:45:00"/>
        <d v="1899-12-30T13:17:00"/>
        <d v="1899-12-30T15:14:00"/>
        <d v="1899-12-30T17:39:00"/>
        <d v="1899-12-30T18:01:00"/>
        <d v="1899-12-30T18:27:00"/>
        <d v="1899-12-30T20:13:00"/>
        <d v="1899-12-30T03:30:00"/>
        <d v="1899-12-30T23:23:00"/>
        <d v="1899-12-30T13:52:00"/>
        <d v="1899-12-30T14:07:00"/>
        <d v="1899-12-30T16:04:00"/>
        <d v="1899-12-30T12:07:00"/>
        <d v="1899-12-30T12:43:00"/>
        <d v="1899-12-30T15:08:00"/>
        <d v="1899-12-30T22:37:00"/>
        <d v="1899-12-31T00:30:00"/>
        <d v="1899-12-30T18:43:00"/>
        <d v="1899-12-30T04:18:00"/>
        <d v="1899-12-30T13:44:00"/>
        <d v="1899-12-31T00:50:00"/>
        <d v="1899-12-30T23:34:00"/>
        <d v="1899-12-30T23:49:00"/>
        <d v="1899-12-30T01:41:00"/>
        <d v="1899-12-30T03:50:00"/>
        <d v="1899-12-30T02:15:00"/>
        <d v="1899-12-30T23:48:00"/>
        <d v="1899-12-31T00:48:00"/>
        <d v="1899-12-30T01:58:00"/>
        <d v="1899-12-30T23:35:00"/>
        <d v="1899-12-31T00:05:00"/>
        <d v="1899-12-31T00:35:00"/>
        <d v="1899-12-31T01:07:00"/>
        <d v="1899-12-31T01:22:00"/>
        <d v="1899-12-31T01:47:00"/>
        <d v="1899-12-30T20:22:00"/>
        <d v="1899-12-30T14:48:00"/>
        <d v="1899-12-30T01:21:00"/>
        <d v="1899-12-30T01:51:00"/>
        <d v="1899-12-30T02:32:00"/>
        <d v="1899-12-30T18:31:00"/>
        <d v="1899-12-30T23:38:00"/>
        <d v="1899-12-31T00:38:00"/>
        <d v="1899-12-31T01:10:00"/>
        <d v="1899-12-31T01:25:00"/>
        <d v="1899-12-31T01:50:00"/>
        <d v="1899-12-31T02:20:00"/>
        <d v="1899-12-30T20:09:00"/>
        <d v="1899-12-30T22:21:00"/>
        <d v="1899-12-30T02:10:00"/>
        <d v="1899-12-30T23:32:00"/>
        <d v="1899-12-31T00:32:00"/>
        <d v="1899-12-30T03:12:00"/>
        <d v="1899-12-30T17:43:00"/>
        <d v="1899-12-30T00:37:00"/>
        <d v="1899-12-30T19:13:00"/>
        <d v="1899-12-30T01:07:00"/>
        <d v="1899-12-30T18:59:00"/>
        <d v="1899-12-30T19:14:00"/>
        <d v="1899-12-30T14:28:00"/>
        <d v="1899-12-30T14:58:00"/>
        <d v="1899-12-30T22:04:00"/>
        <d v="1899-12-30T18:41:00"/>
        <d v="1899-12-30T18:02:00"/>
        <d v="1899-12-30T23:22:00"/>
        <d v="1899-12-30T16:22:00"/>
        <d v="1899-12-30T03:40:00"/>
        <d v="1899-12-30T17:04:00"/>
        <d v="1899-12-30T03:18:00"/>
        <d v="1899-12-30T19:43:00"/>
        <d v="1899-12-30T00:53:00"/>
        <d v="1899-12-30T01:52:00"/>
        <d v="1899-12-30T15:41:00"/>
        <d v="1899-12-30T01:12:00"/>
        <d v="1899-12-30T02:09:00"/>
        <d v="1899-12-30T15:17:00"/>
        <d v="1899-12-30T15:27:00"/>
        <d v="1899-12-30T15:37:00"/>
        <d v="1899-12-30T16:09:00"/>
        <d v="1899-12-30T13:04:00"/>
        <d v="1899-12-30T14:27:00"/>
        <d v="1899-12-30T15:19:00"/>
        <d v="1899-12-30T13:37:00"/>
        <d v="1899-12-30T16:39:00"/>
        <d v="1899-12-30T19:08:00"/>
        <d v="1899-12-30T23:21:00"/>
        <d v="1899-12-30T14:36:00"/>
        <d v="1899-12-30T15:31:00"/>
        <d v="1899-12-30T16:01:00"/>
        <d v="1899-12-30T16:31:00"/>
        <d v="1899-12-30T19:51:00"/>
        <d v="1899-12-30T20:31:00"/>
        <d v="1899-12-31T00:40:00"/>
      </sharedItems>
    </cacheField>
    <cacheField name="DURATION" numFmtId="20">
      <sharedItems containsSemiMixedTypes="0" containsNonDate="0" containsDate="1" containsString="0" minDate="1899-12-30T00:06:00" maxDate="1899-12-30T03:45:00"/>
    </cacheField>
    <cacheField name="COURSE" numFmtId="0">
      <sharedItems containsBlank="1" count="10">
        <s v="DATA SCIENCE"/>
        <s v="MACHINE LEARNING"/>
        <s v="READING"/>
        <s v="OTHER"/>
        <s v="BREAK"/>
        <s v="ECONOMY"/>
        <s v="CS50"/>
        <s v="STATISTICS"/>
        <m u="1"/>
        <s v="MOLA" u="1"/>
      </sharedItems>
    </cacheField>
    <cacheField name="RESULT" numFmtId="0">
      <sharedItems containsBlank="1" count="3">
        <s v="+"/>
        <s v="-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" refreshedDate="45076.612473263885" createdVersion="8" refreshedVersion="8" minRefreshableVersion="3" recordCount="1661" xr:uid="{9165CA9F-E057-42DA-84D6-934DE6A560D4}">
  <cacheSource type="worksheet">
    <worksheetSource name="AutoPomodoro"/>
  </cacheSource>
  <cacheFields count="14">
    <cacheField name="DATE" numFmtId="165">
      <sharedItems containsSemiMixedTypes="0" containsNonDate="0" containsDate="1" containsString="0" minDate="2021-09-29T00:00:00" maxDate="2023-05-23T00:00:00" count="356">
        <d v="2021-09-29T00:00:00"/>
        <d v="2021-09-30T00:00:00"/>
        <d v="2021-10-01T00:00:00"/>
        <d v="2021-10-04T00:00:00"/>
        <d v="2021-10-06T00:00:00"/>
        <d v="2021-10-07T00:00:00"/>
        <d v="2021-10-11T00:00:00"/>
        <d v="2021-10-12T00:00:00"/>
        <d v="2021-10-13T00:00:00"/>
        <d v="2021-10-14T00:00:00"/>
        <d v="2021-10-15T00:00:00"/>
        <d v="2021-10-17T00:00:00"/>
        <d v="2021-10-18T00:00:00"/>
        <d v="2021-10-19T00:00:00"/>
        <d v="2021-10-20T00:00:00"/>
        <d v="2021-10-21T00:00:00"/>
        <d v="2021-10-22T00:00:00"/>
        <d v="2021-10-24T00:00:00"/>
        <d v="2021-10-25T00:00:00"/>
        <d v="2021-10-26T00:00:00"/>
        <d v="2021-10-27T00:00:00"/>
        <d v="2021-10-28T00:00:00"/>
        <d v="2021-10-29T00:00:00"/>
        <d v="2021-10-31T00:00:00"/>
        <d v="2021-11-01T00:00:00"/>
        <d v="2021-11-02T00:00:00"/>
        <d v="2021-11-03T00:00:00"/>
        <d v="2021-11-05T00:00:00"/>
        <d v="2021-11-06T00:00:00"/>
        <d v="2021-11-08T00:00:00"/>
        <d v="2021-11-09T00:00:00"/>
        <d v="2021-11-10T00:00:00"/>
        <d v="2021-11-11T00:00:00"/>
        <d v="2021-11-12T00:00:00"/>
        <d v="2021-11-14T00:00:00"/>
        <d v="2021-11-15T00:00:00"/>
        <d v="2021-11-16T00:00:00"/>
        <d v="2021-11-17T00:00:00"/>
        <d v="2021-11-26T00:00:00"/>
        <d v="2021-11-27T00:00:00"/>
        <d v="2021-11-28T00:00:00"/>
        <d v="2021-11-29T00:00:00"/>
        <d v="2021-11-30T00:00:00"/>
        <d v="2021-12-01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1T00:00:00"/>
        <d v="2021-12-13T00:00:00"/>
        <d v="2021-12-16T00:00:00"/>
        <d v="2021-12-17T00:00:00"/>
        <d v="2021-12-18T00:00:00"/>
        <d v="2021-12-20T00:00:00"/>
        <d v="2021-12-23T00:00:00"/>
        <d v="2021-12-24T00:00:00"/>
        <d v="2021-12-27T00:00:00"/>
        <d v="2021-12-31T00:00:00"/>
        <d v="2022-01-01T00:00:00"/>
        <d v="2022-01-02T00:00:00"/>
        <d v="2022-01-03T00:00:00"/>
        <d v="2022-01-05T00:00:00"/>
        <d v="2022-01-07T00:00:00"/>
        <d v="2022-01-08T00:00:00"/>
        <d v="2022-01-09T00:00:00"/>
        <d v="2022-01-13T00:00:00"/>
        <d v="2022-01-15T00:00:00"/>
        <d v="2022-01-16T00:00:00"/>
        <d v="2022-01-17T00:00:00"/>
        <d v="2022-01-18T00:00:00"/>
        <d v="2022-01-20T00:00:00"/>
        <d v="2022-01-22T00:00:00"/>
        <d v="2022-01-23T00:00:00"/>
        <d v="2022-01-24T00:00:00"/>
        <d v="2022-01-30T00:00:00"/>
        <d v="2022-02-04T00:00:00"/>
        <d v="2022-02-06T00:00:00"/>
        <d v="2022-02-07T00:00:00"/>
        <d v="2022-02-08T00:00:00"/>
        <d v="2022-02-09T00:00:00"/>
        <d v="2022-02-10T00:00:00"/>
        <d v="2022-02-14T00:00:00"/>
        <d v="2022-02-15T00:00:00"/>
        <d v="2022-02-16T00:00:00"/>
        <d v="2022-02-23T00:00:00"/>
        <d v="2022-02-24T00:00:00"/>
        <d v="2022-02-26T00:00:00"/>
        <d v="2022-02-28T00:00:00"/>
        <d v="2022-03-01T00:00:00"/>
        <d v="2022-03-02T00:00:00"/>
        <d v="2022-03-03T00:00:00"/>
        <d v="2022-03-05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7T00:00:00"/>
        <d v="2022-03-28T00:00:00"/>
        <d v="2022-03-29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11T00:00:00"/>
        <d v="2022-04-12T00:00:00"/>
        <d v="2022-04-13T00:00:00"/>
        <d v="2022-04-14T00:00:00"/>
        <d v="2022-04-15T00:00:00"/>
        <d v="2022-04-1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5T00:00:00"/>
        <d v="2022-04-26T00:00:00"/>
        <d v="2022-04-27T00:00:00"/>
        <d v="2022-04-28T00:00:00"/>
        <d v="2022-04-29T00:00:00"/>
        <d v="2022-05-09T00:00:00"/>
        <d v="2022-05-10T00:00:00"/>
        <d v="2022-05-12T00:00:00"/>
        <d v="2022-05-13T00:00:00"/>
        <d v="2022-05-15T00:00:00"/>
        <d v="2022-05-17T00:00:00"/>
        <d v="2022-05-24T00:00:00"/>
        <d v="2022-05-25T00:00:00"/>
        <d v="2022-05-28T00:00:00"/>
        <d v="2022-05-29T00:00:00"/>
        <d v="2022-05-30T00:00:00"/>
        <d v="2022-05-31T00:00:00"/>
        <d v="2022-06-01T00:00:00"/>
        <d v="2022-06-03T00:00:00"/>
        <d v="2022-06-04T00:00:00"/>
        <d v="2022-06-05T00:00:00"/>
        <d v="2022-06-06T00:00:00"/>
        <d v="2022-06-07T00:00:00"/>
        <d v="2022-06-12T00:00:00"/>
        <d v="2022-06-14T00:00:00"/>
        <d v="2022-06-15T00:00:00"/>
        <d v="2022-06-16T00:00:00"/>
        <d v="2022-06-18T00:00:00"/>
        <d v="2022-06-20T00:00:00"/>
        <d v="2022-06-22T00:00:00"/>
        <d v="2022-06-23T00:00:00"/>
        <d v="2022-06-24T00:00:00"/>
        <d v="2022-06-25T00:00:00"/>
        <d v="2022-06-26T00:00:00"/>
        <d v="2022-07-02T00:00:00"/>
        <d v="2022-07-03T00:00:00"/>
        <d v="2022-07-06T00:00:00"/>
        <d v="2022-07-07T00:00:00"/>
        <d v="2022-07-08T00:00:00"/>
        <d v="2022-07-11T00:00:00"/>
        <d v="2022-07-13T00:00:00"/>
        <d v="2022-07-14T00:00:00"/>
        <d v="2022-07-16T00:00:00"/>
        <d v="2022-07-17T00:00:00"/>
        <d v="2022-07-20T00:00:00"/>
        <d v="2022-07-21T00:00:00"/>
        <d v="2022-07-22T00:00:00"/>
        <d v="2022-07-24T00:00:00"/>
        <d v="2022-07-25T00:00:00"/>
        <d v="2022-07-26T00:00:00"/>
        <d v="2022-07-27T00:00:00"/>
        <d v="2022-07-28T00:00:00"/>
        <d v="2022-07-29T00:00:00"/>
        <d v="2022-08-01T00:00:00"/>
        <d v="2022-08-02T00:00:00"/>
        <d v="2022-08-03T00:00:00"/>
        <d v="2022-08-04T00:00:00"/>
        <d v="2022-08-05T00:00:00"/>
        <d v="2022-08-09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31T00:00:00"/>
        <d v="2022-09-03T00:00:00"/>
        <d v="2022-09-04T00:00:00"/>
        <d v="2022-09-05T00:00:00"/>
        <d v="2022-09-06T00:00:00"/>
        <d v="2022-09-07T00:00:00"/>
        <d v="2022-09-08T00:00:00"/>
        <d v="2022-09-12T00:00:00"/>
        <d v="2022-09-13T00:00:00"/>
        <d v="2022-09-14T00:00:00"/>
        <d v="2022-09-15T00:00:00"/>
        <d v="2022-09-19T00:00:00"/>
        <d v="2022-09-20T00:00:00"/>
        <d v="2022-09-21T00:00:00"/>
        <d v="2022-09-22T00:00:00"/>
        <d v="2022-09-25T00:00:00"/>
        <d v="2022-09-26T00:00:00"/>
        <d v="2022-09-27T00:00:00"/>
        <d v="2022-09-29T00:00:00"/>
        <d v="2022-09-30T00:00:00"/>
        <d v="2022-10-04T00:00:00"/>
        <d v="2022-10-05T00:00:00"/>
        <d v="2022-10-06T00:00:00"/>
        <d v="2022-10-13T00:00:00"/>
        <d v="2022-10-14T00:00:00"/>
        <d v="2022-10-16T00:00:00"/>
        <d v="2022-10-17T00:00:00"/>
        <d v="2022-10-18T00:00:00"/>
        <d v="2022-10-19T00:00:00"/>
        <d v="2022-10-20T00:00:00"/>
        <d v="2022-10-24T00:00:00"/>
        <d v="2022-10-25T00:00:00"/>
        <d v="2022-10-21T00:00:00"/>
        <d v="2022-10-26T00:00:00"/>
        <d v="2022-10-27T00:00:00"/>
        <d v="2022-10-28T00:00:00"/>
        <d v="2022-10-29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10T00:00:00"/>
        <d v="2022-11-11T00:00:00"/>
        <d v="2022-11-14T00:00:00"/>
        <d v="2022-11-15T00:00:00"/>
        <d v="2022-11-16T00:00:00"/>
        <d v="2022-11-17T00:00:00"/>
        <d v="2022-11-21T00:00:00"/>
        <d v="2022-11-24T00:00:00"/>
        <d v="2022-11-30T00:00:00"/>
        <d v="2022-12-02T00:00:00"/>
        <d v="2022-12-03T00:00:00"/>
        <d v="2022-12-05T00:00:00"/>
        <d v="2022-12-09T00:00:00"/>
        <d v="2022-12-10T00:00:00"/>
        <d v="2022-12-13T00:00:00"/>
        <d v="2022-12-14T00:00:00"/>
        <d v="2022-12-15T00:00:00"/>
        <d v="2022-12-16T00:00:00"/>
        <d v="2022-12-17T00:00:00"/>
        <d v="2022-12-19T00:00:00"/>
        <d v="2022-12-22T00:00:00"/>
        <d v="2022-12-23T00:00:00"/>
        <d v="2022-12-25T00:00:00"/>
        <d v="2022-12-26T00:00:00"/>
        <d v="2022-12-27T00:00:00"/>
        <d v="2022-12-28T00:00:00"/>
        <d v="2023-01-03T00:00:00"/>
        <d v="2023-01-04T00:00:00"/>
        <d v="2023-01-05T00:00:00"/>
        <d v="2023-01-09T00:00:00"/>
        <d v="2023-01-10T00:00:00"/>
        <d v="2023-01-11T00:00:00"/>
        <d v="2023-01-12T00:00:00"/>
        <d v="2023-01-16T00:00:00"/>
        <d v="2023-01-18T00:00:00"/>
        <d v="2023-01-19T00:00:00"/>
        <d v="2023-01-24T00:00:00"/>
        <d v="2023-01-25T00:00:00"/>
        <d v="2023-01-26T00:00:00"/>
        <d v="2023-01-27T00:00:00"/>
        <d v="2023-01-29T00:00:00"/>
        <d v="2023-01-31T00:00:00"/>
        <d v="2023-02-01T00:00:00"/>
        <d v="2023-02-02T00:00:00"/>
        <d v="2023-02-03T00:00:00"/>
        <d v="2023-02-04T00:00:00"/>
        <d v="2023-02-06T00:00:00"/>
        <d v="2023-02-07T00:00:00"/>
        <d v="2023-02-08T00:00:00"/>
        <d v="2023-02-09T00:00:00"/>
        <d v="2023-02-10T00:00:00"/>
        <d v="2023-02-11T00:00:00"/>
        <d v="2023-02-14T00:00:00"/>
        <d v="2023-02-15T00:00:00"/>
        <d v="2023-02-16T00:00:00"/>
        <d v="2023-02-18T00:00:00"/>
        <d v="2023-02-20T00:00:00"/>
        <d v="2023-02-21T00:00:00"/>
        <d v="2023-02-25T00:00:00"/>
        <d v="2023-02-26T00:00:00"/>
        <d v="2023-02-27T00:00:00"/>
        <d v="2023-02-28T00:00:00"/>
        <d v="2023-03-03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4T00:00:00"/>
        <d v="2023-03-15T00:00:00"/>
        <d v="2023-03-16T00:00:00"/>
        <d v="2023-03-21T00:00:00"/>
        <d v="2023-03-23T00:00:00"/>
        <d v="2023-03-24T00:00:00"/>
        <d v="2023-03-25T00:00:00"/>
        <d v="2023-03-26T00:00:00"/>
        <d v="2023-03-28T00:00:00"/>
        <d v="2023-04-04T00:00:00"/>
        <d v="2023-04-05T00:00:00"/>
        <d v="2023-04-06T00:00:00"/>
        <d v="2023-04-09T00:00:00"/>
        <d v="2023-04-10T00:00:00"/>
        <d v="2023-04-11T00:00:00"/>
        <d v="2023-04-12T00:00:00"/>
        <d v="2023-04-13T00:00:00"/>
        <d v="2023-04-17T00:00:00"/>
        <d v="2023-04-18T00:00:00"/>
        <d v="2023-04-19T00:00:00"/>
        <d v="2023-04-23T00:00:00"/>
        <d v="2023-04-26T00:00:00"/>
        <d v="2023-04-27T00:00:00"/>
        <d v="2023-04-28T00:00:00"/>
        <d v="2023-04-30T00:00:00"/>
        <d v="2023-05-01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2T00:00:00"/>
      </sharedItems>
      <fieldGroup par="13"/>
    </cacheField>
    <cacheField name="MONTH" numFmtId="165">
      <sharedItems count="12">
        <s v="September"/>
        <s v="October"/>
        <s v="November"/>
        <s v="December"/>
        <s v="January"/>
        <s v="February"/>
        <s v="March"/>
        <s v="April"/>
        <s v="May"/>
        <s v="June"/>
        <s v="July"/>
        <s v="August"/>
      </sharedItems>
    </cacheField>
    <cacheField name="YEAR" numFmtId="165">
      <sharedItems/>
    </cacheField>
    <cacheField name="STARTING TIME" numFmtId="171">
      <sharedItems containsNonDate="0" containsDate="1" containsString="0" containsBlank="1" minDate="1899-12-30T00:00:00" maxDate="1900-01-01T00:00:00" count="634">
        <d v="1899-12-30T00:00:00"/>
        <m/>
        <d v="1899-12-30T15:50:00"/>
        <d v="1899-12-30T16:20:00"/>
        <d v="1899-12-30T16:50:00"/>
        <d v="1899-12-30T17:22:00"/>
        <d v="1899-12-30T01:04:00"/>
        <d v="1899-12-30T11:05:00"/>
        <d v="1899-12-30T11:35:00"/>
        <d v="1899-12-30T12:05:00"/>
        <d v="1899-12-30T12:37:00"/>
        <d v="1899-12-30T13:13:00"/>
        <d v="1899-12-30T13:38:00"/>
        <d v="1899-12-30T15:00:00"/>
        <d v="1899-12-30T15:30:00"/>
        <d v="1899-12-30T16:00:00"/>
        <d v="1899-12-30T16:32:00"/>
        <d v="1899-12-30T17:08:00"/>
        <d v="1899-12-30T11:10:00"/>
        <d v="1899-12-30T11:40:00"/>
        <d v="1899-12-30T12:10:00"/>
        <d v="1899-12-30T12:42:00"/>
        <d v="1899-12-30T13:14:00"/>
        <d v="1899-12-30T13:10:00"/>
        <d v="1899-12-30T15:33:00"/>
        <d v="1899-12-30T00:20:00"/>
        <d v="1899-12-30T00:50:00"/>
        <d v="1899-12-30T01:20:00"/>
        <d v="1899-12-30T01:52:00"/>
        <d v="1899-12-30T22:40:00"/>
        <d v="1899-12-30T23:20:00"/>
        <d v="1899-12-30T23:50:00"/>
        <d v="1899-12-30T13:12:00"/>
        <d v="1899-12-30T09:15:00"/>
        <d v="1899-12-30T09:45:00"/>
        <d v="1899-12-30T10:17:00"/>
        <d v="1899-12-30T10:50:00"/>
        <d v="1899-12-30T11:23:00"/>
        <d v="1899-12-30T12:55:00"/>
        <d v="1899-12-30T13:25:00"/>
        <d v="1899-12-30T13:55:00"/>
        <d v="1899-12-30T11:00:00"/>
        <d v="1899-12-30T11:30:00"/>
        <d v="1899-12-30T12:00:00"/>
        <d v="1899-12-30T12:32:00"/>
        <d v="1899-12-30T13:17:00"/>
        <d v="1899-12-30T17:30:00"/>
        <d v="1899-12-30T18:00:00"/>
        <d v="1899-12-30T18:30:00"/>
        <d v="1899-12-30T19:02:00"/>
        <d v="1899-12-30T19:00:00"/>
        <d v="1899-12-30T19:30:00"/>
        <d v="1899-12-30T14:28:00"/>
        <d v="1899-12-30T14:54:00"/>
        <d v="1899-12-30T13:50:00"/>
        <d v="1899-12-30T14:20:00"/>
        <d v="1899-12-30T14:50:00"/>
        <d v="1899-12-30T15:22:00"/>
        <d v="1899-12-30T16:55:00"/>
        <d v="1899-12-30T17:25:00"/>
        <d v="1899-12-30T17:55:00"/>
        <d v="1899-12-30T10:25:00"/>
        <d v="1899-12-30T10:55:00"/>
        <d v="1899-12-30T12:25:00"/>
        <d v="1899-12-30T11:55:00"/>
        <d v="1899-12-30T09:35:00"/>
        <d v="1899-12-30T10:05:00"/>
        <d v="1899-12-30T10:35:00"/>
        <d v="1899-12-30T11:07:00"/>
        <d v="1899-12-30T11:43:00"/>
        <d v="1899-12-30T10:53:00"/>
        <d v="1899-12-30T14:25:00"/>
        <d v="1899-12-30T14:55:00"/>
        <d v="1899-12-30T15:27:00"/>
        <d v="1899-12-30T16:03:00"/>
        <d v="1899-12-30T22:13:00"/>
        <d v="1899-12-30T11:04:00"/>
        <d v="1899-12-30T21:19:00"/>
        <d v="1899-12-30T21:49:00"/>
        <d v="1899-12-30T22:19:00"/>
        <d v="1899-12-30T13:35:00"/>
        <d v="1899-12-30T14:05:00"/>
        <d v="1899-12-30T14:35:00"/>
        <d v="1899-12-30T15:07:00"/>
        <d v="1899-12-30T15:41:00"/>
        <d v="1899-12-30T20:21:00"/>
        <d v="1899-12-30T20:51:00"/>
        <d v="1899-12-30T16:13:00"/>
        <d v="1899-12-30T16:43:00"/>
        <d v="1899-12-30T18:17:00"/>
        <d v="1899-12-30T18:47:00"/>
        <d v="1899-12-30T19:19:00"/>
        <d v="1899-12-30T19:52:00"/>
        <d v="1899-12-30T17:33:00"/>
        <d v="1899-12-30T19:32:00"/>
        <d v="1899-12-30T08:41:00"/>
        <d v="1899-12-30T09:46:00"/>
        <d v="1899-12-30T10:59:00"/>
        <d v="1899-12-30T17:20:00"/>
        <d v="1899-12-30T17:50:00"/>
        <d v="1899-12-30T18:20:00"/>
        <d v="1899-12-30T18:52:00"/>
        <d v="1899-12-30T19:24:00"/>
        <d v="1899-12-30T19:49:00"/>
        <d v="1899-12-30T21:00:00"/>
        <d v="1899-12-30T21:30:00"/>
        <d v="1899-12-30T22:02:00"/>
        <d v="1899-12-30T20:00:00"/>
        <d v="1899-12-30T20:30:00"/>
        <d v="1899-12-30T15:20:00"/>
        <d v="1899-12-30T18:26:00"/>
        <d v="1899-12-30T18:55:00"/>
        <d v="1899-12-30T15:25:00"/>
        <d v="1899-12-30T12:45:00"/>
        <d v="1899-12-30T13:15:00"/>
        <d v="1899-12-30T13:45:00"/>
        <d v="1899-12-30T14:10:00"/>
        <d v="1899-12-30T14:40:00"/>
        <d v="1899-12-30T15:10:00"/>
        <d v="1899-12-30T15:40:00"/>
        <d v="1899-12-30T16:12:00"/>
        <d v="1899-12-30T16:37:00"/>
        <d v="1899-12-30T17:45:00"/>
        <d v="1899-12-30T18:15:00"/>
        <d v="1899-12-30T18:45:00"/>
        <d v="1899-12-30T19:17:00"/>
        <d v="1899-12-30T14:45:00"/>
        <d v="1899-12-30T15:15:00"/>
        <d v="1899-12-30T15:45:00"/>
        <d v="1899-12-30T16:17:00"/>
        <d v="1899-12-30T16:42:00"/>
        <d v="1899-12-30T17:12:00"/>
        <d v="1899-12-30T17:42:00"/>
        <d v="1899-12-30T18:12:00"/>
        <d v="1899-12-30T22:05:00"/>
        <d v="1899-12-30T22:35:00"/>
        <d v="1899-12-30T23:05:00"/>
        <d v="1899-12-30T23:37:00"/>
        <d v="1899-12-30T16:25:00"/>
        <d v="1899-12-30T17:57:00"/>
        <d v="1899-12-30T18:22:00"/>
        <d v="1899-12-30T19:25:00"/>
        <d v="1899-12-30T19:55:00"/>
        <d v="1899-12-30T23:15:00"/>
        <d v="1899-12-30T23:45:00"/>
        <d v="1899-12-30T15:05:00"/>
        <d v="1899-12-30T15:37:00"/>
        <d v="1899-12-30T16:09:00"/>
        <d v="1899-12-30T16:45:00"/>
        <d v="1899-12-30T19:34:00"/>
        <d v="1899-12-30T19:59:00"/>
        <d v="1899-12-30T21:05:00"/>
        <d v="1899-12-30T21:35:00"/>
        <d v="1899-12-30T22:37:00"/>
        <d v="1899-12-30T23:08:00"/>
        <d v="1899-12-30T00:30:00"/>
        <d v="1899-12-30T01:00:00"/>
        <d v="1899-12-30T01:32:00"/>
        <d v="1899-12-30T02:20:00"/>
        <d v="1899-12-30T19:40:00"/>
        <d v="1899-12-30T20:10:00"/>
        <d v="1899-12-30T20:40:00"/>
        <d v="1899-12-30T21:12:00"/>
        <d v="1899-12-30T21:37:00"/>
        <d v="1899-12-30T21:52:00"/>
        <d v="1899-12-30T22:22:00"/>
        <d v="1899-12-30T22:52:00"/>
        <d v="1899-12-30T18:53:00"/>
        <d v="1899-12-30T19:50:00"/>
        <d v="1899-12-30T19:37:00"/>
        <d v="1899-12-30T20:46:00"/>
        <d v="1899-12-30T22:08:00"/>
        <d v="1899-12-30T21:03:00"/>
        <d v="1899-12-30T23:32:00"/>
        <d v="1899-12-30T19:20:00"/>
        <d v="1899-12-30T14:52:00"/>
        <d v="1899-12-30T15:39:00"/>
        <d v="1899-12-30T19:31:00"/>
        <d v="1899-12-30T21:23:00"/>
        <d v="1899-12-30T19:11:00"/>
        <d v="1899-12-30T21:10:00"/>
        <d v="1899-12-30T22:00:00"/>
        <d v="1899-12-30T22:56:00"/>
        <d v="1899-12-30T20:22:00"/>
        <d v="1899-12-30T21:56:00"/>
        <d v="1899-12-30T22:39:00"/>
        <d v="1899-12-30T23:09:00"/>
        <d v="1899-12-30T00:21:00"/>
        <d v="1899-12-30T17:00:00"/>
        <d v="1899-12-30T18:48:00"/>
        <d v="1899-12-30T09:10:00"/>
        <d v="1899-12-30T10:31:00"/>
        <d v="1899-12-30T18:41:00"/>
        <d v="1899-12-30T20:25:00"/>
        <d v="1899-12-30T12:35:00"/>
        <d v="1899-12-30T20:37:00"/>
        <d v="1899-12-30T21:34:00"/>
        <d v="1899-12-30T14:31:00"/>
        <d v="1899-12-30T16:23:00"/>
        <d v="1899-12-30T17:24:00"/>
        <d v="1899-12-30T18:37:00"/>
        <d v="1899-12-30T20:26:00"/>
        <d v="1899-12-30T22:15:00"/>
        <d v="1899-12-30T12:30:00"/>
        <d v="1899-12-30T18:05:00"/>
        <d v="1899-12-30T19:35:00"/>
        <d v="1899-12-30T02:48:00"/>
        <d v="1899-12-30T21:25:00"/>
        <d v="1899-12-30T19:09:00"/>
        <d v="1899-12-30T20:16:00"/>
        <d v="1899-12-30T16:30:00"/>
        <d v="1899-12-30T20:04:00"/>
        <d v="1899-12-30T20:29:00"/>
        <d v="1899-12-30T21:20:00"/>
        <d v="1899-12-30T21:50:00"/>
        <d v="1899-12-30T22:12:00"/>
        <d v="1899-12-30T19:45:00"/>
        <d v="1899-12-30T20:44:00"/>
        <d v="1899-12-30T16:10:00"/>
        <d v="1899-12-30T18:34:00"/>
        <d v="1899-12-30T00:22:00"/>
        <d v="1899-12-30T19:46:00"/>
        <d v="1899-12-30T19:47:00"/>
        <d v="1899-12-30T21:11:00"/>
        <d v="1899-12-30T22:07:00"/>
        <d v="1899-12-30T20:05:00"/>
        <d v="1899-12-30T13:46:00"/>
        <d v="1899-12-30T14:42:00"/>
        <d v="1899-12-30T21:39:00"/>
        <d v="1899-12-30T22:32:00"/>
        <d v="1899-12-30T20:32:00"/>
        <d v="1899-12-30T21:04:00"/>
        <d v="1899-12-30T22:25:00"/>
        <d v="1899-12-30T16:48:00"/>
        <d v="1899-12-30T15:55:00"/>
        <d v="1899-12-30T22:55:00"/>
        <d v="1899-12-30T23:25:00"/>
        <d v="1899-12-30T23:57:00"/>
        <d v="1899-12-30T00:40:00"/>
        <d v="1899-12-30T01:10:00"/>
        <d v="1899-12-30T01:40:00"/>
        <d v="1899-12-30T02:12:00"/>
        <d v="1899-12-30T03:24:00"/>
        <d v="1899-12-30T16:52:00"/>
        <d v="1899-12-30T17:49:00"/>
        <d v="1899-12-30T18:50:00"/>
        <d v="1899-12-30T20:24:00"/>
        <d v="1899-12-30T20:49:00"/>
        <d v="1899-12-30T21:40:00"/>
        <d v="1899-12-30T22:10:00"/>
        <d v="1899-12-30T23:12:00"/>
        <d v="1899-12-30T18:10:00"/>
        <d v="1899-12-30T17:52:00"/>
        <d v="1899-12-30T20:54:00"/>
        <d v="1899-12-30T22:20:00"/>
        <d v="1899-12-30T22:50:00"/>
        <d v="1899-12-30T23:52:00"/>
        <d v="1899-12-30T17:32:00"/>
        <d v="1899-12-30T19:15:00"/>
        <d v="1899-12-30T20:12:00"/>
        <d v="1899-12-30T21:15:00"/>
        <d v="1899-12-30T21:45:00"/>
        <d v="1899-12-30T22:47:00"/>
        <d v="1899-12-30T15:35:00"/>
        <d v="1899-12-30T18:40:00"/>
        <d v="1899-12-30T19:10:00"/>
        <d v="1899-12-30T19:42:00"/>
        <d v="1899-12-30T21:17:00"/>
        <d v="1899-12-30T18:43:00"/>
        <d v="1899-12-30T15:38:00"/>
        <d v="1899-12-30T21:55:00"/>
        <d v="1899-12-30T18:02:00"/>
        <d v="1899-12-30T19:56:00"/>
        <d v="1899-12-30T11:52:00"/>
        <d v="1899-12-30T13:30:00"/>
        <d v="1899-12-30T20:19:00"/>
        <d v="1899-12-30T14:47:00"/>
        <d v="1899-12-30T14:08:00"/>
        <d v="1899-12-30T14:57:00"/>
        <d v="1899-12-30T11:50:00"/>
        <d v="1899-12-30T19:38:00"/>
        <d v="1899-12-30T18:39:00"/>
        <d v="1899-12-30T18:01:00"/>
        <d v="1899-12-30T18:21:00"/>
        <d v="1899-12-30T10:43:00"/>
        <d v="1899-12-30T12:38:00"/>
        <d v="1899-12-30T16:05:00"/>
        <d v="1899-12-30T16:35:00"/>
        <d v="1899-12-30T17:07:00"/>
        <d v="1899-12-30T18:35:00"/>
        <d v="1899-12-30T19:05:00"/>
        <d v="1899-12-30T19:57:00"/>
        <d v="1899-12-30T12:20:00"/>
        <d v="1899-12-30T12:50:00"/>
        <d v="1899-12-30T13:22:00"/>
        <d v="1899-12-30T13:54:00"/>
        <d v="1899-12-30T14:26:00"/>
        <d v="1899-12-30T14:51:00"/>
        <d v="1899-12-30T11:51:00"/>
        <d v="1899-12-30T12:41:00"/>
        <d v="1899-12-30T13:52:00"/>
        <d v="1899-12-30T14:41:00"/>
        <d v="1899-12-30T16:07:00"/>
        <d v="1899-12-30T20:08:00"/>
        <d v="1899-12-30T13:39:00"/>
        <d v="1899-12-30T16:40:00"/>
        <d v="1899-12-30T16:21:00"/>
        <d v="1899-12-30T17:21:00"/>
        <d v="1899-12-30T18:13:00"/>
        <d v="1899-12-30T18:42:00"/>
        <d v="1899-12-30T14:37:00"/>
        <d v="1899-12-30T18:16:00"/>
        <d v="1899-12-30T14:12:00"/>
        <d v="1899-12-30T15:18:00"/>
        <d v="1899-12-30T16:57:00"/>
        <d v="1899-12-30T16:54:00"/>
        <d v="1899-12-30T18:08:00"/>
        <d v="1899-12-30T15:43:00"/>
        <d v="1899-12-30T14:49:00"/>
        <d v="1899-12-30T17:31:00"/>
        <d v="1899-12-30T21:43:00"/>
        <d v="1899-12-30T17:04:00"/>
        <d v="1899-12-30T15:04:00"/>
        <d v="1899-12-30T16:22:00"/>
        <d v="1899-12-30T13:28:00"/>
        <d v="1899-12-30T15:23:00"/>
        <d v="1899-12-30T16:01:00"/>
        <d v="1899-12-30T17:40:00"/>
        <d v="1899-12-30T14:18:00"/>
        <d v="1899-12-30T15:34:00"/>
        <d v="1899-12-30T17:36:00"/>
        <d v="1899-12-30T17:02:00"/>
        <d v="1899-12-30T17:27:00"/>
        <d v="1899-12-30T21:22:00"/>
        <d v="1899-12-30T14:11:00"/>
        <d v="1899-12-30T15:16:00"/>
        <d v="1899-12-30T16:56:00"/>
        <d v="1899-12-30T18:24:00"/>
        <d v="1899-12-30T17:15:00"/>
        <d v="1899-12-30T16:15:00"/>
        <d v="1899-12-30T17:17:00"/>
        <d v="1899-12-30T20:35:00"/>
        <d v="1899-12-30T17:14:00"/>
        <d v="1899-12-30T15:49:00"/>
        <d v="1899-12-30T18:11:00"/>
        <d v="1899-12-30T18:27:00"/>
        <d v="1899-12-30T18:59:00"/>
        <d v="1899-12-30T19:39:00"/>
        <d v="1899-12-30T20:09:00"/>
        <d v="1899-12-30T20:39:00"/>
        <d v="1899-12-30T16:47:00"/>
        <d v="1899-12-30T17:47:00"/>
        <d v="1899-12-30T19:44:00"/>
        <d v="1899-12-30T20:59:00"/>
        <d v="1899-12-30T21:31:00"/>
        <d v="1899-12-30T22:45:00"/>
        <d v="1899-12-30T00:35:00"/>
        <d v="1899-12-30T00:48:00"/>
        <d v="1899-12-30T01:36:00"/>
        <d v="1899-12-30T14:00:00"/>
        <d v="1899-12-30T14:30:00"/>
        <d v="1899-12-30T15:32:00"/>
        <d v="1899-12-30T15:57:00"/>
        <d v="1899-12-30T17:44:00"/>
        <d v="1899-12-30T18:09:00"/>
        <d v="1899-12-30T18:54:00"/>
        <d v="1899-12-30T18:49:00"/>
        <d v="1899-12-30T19:04:00"/>
        <d v="1899-12-30T20:36:00"/>
        <d v="1899-12-30T22:57:00"/>
        <d v="1899-12-30T23:42:00"/>
        <d v="1899-12-30T22:27:00"/>
        <d v="1899-12-30T22:42:00"/>
        <d v="1899-12-30T23:00:00"/>
        <d v="1899-12-30T23:30:00"/>
        <d v="1899-12-31T00:00:00"/>
        <d v="1899-12-30T14:38:00"/>
        <d v="1899-12-30T15:08:00"/>
        <d v="1899-12-30T22:30:00"/>
        <d v="1899-12-30T22:48:00"/>
        <d v="1899-12-30T23:18:00"/>
        <d v="1899-12-30T23:48:00"/>
        <d v="1899-12-31T00:20:00"/>
        <d v="1899-12-30T14:07:00"/>
        <d v="1899-12-30T19:07:00"/>
        <d v="1899-12-30T20:34:00"/>
        <d v="1899-12-30T14:22:00"/>
        <d v="1899-12-30T19:12:00"/>
        <d v="1899-12-30T20:47:00"/>
        <d v="1899-12-30T13:05:00"/>
        <d v="1899-12-30T22:33:00"/>
        <d v="1899-12-30T12:07:00"/>
        <d v="1899-12-30T12:47:00"/>
        <d v="1899-12-30T10:20:00"/>
        <d v="1899-12-30T11:20:00"/>
        <d v="1899-12-30T12:17:00"/>
        <d v="1899-12-30T13:02:00"/>
        <d v="1899-12-30T13:32:00"/>
        <d v="1899-12-30T14:04:00"/>
        <d v="1899-12-30T14:29:00"/>
        <d v="1899-12-30T11:15:00"/>
        <d v="1899-12-30T11:45:00"/>
        <d v="1899-12-30T12:15:00"/>
        <d v="1899-12-30T17:35:00"/>
        <d v="1899-12-30T15:47:00"/>
        <d v="1899-12-30T16:02:00"/>
        <d v="1899-12-30T17:39:00"/>
        <d v="1899-12-30T13:07:00"/>
        <d v="1899-12-30T14:17:00"/>
        <d v="1899-12-30T15:17:00"/>
        <d v="1899-12-30T16:19:00"/>
        <d v="1899-12-30T16:44:00"/>
        <d v="1899-12-30T16:59:00"/>
        <d v="1899-12-30T17:29:00"/>
        <d v="1899-12-30T18:03:00"/>
        <d v="1899-12-30T18:33:00"/>
        <d v="1899-12-30T19:03:00"/>
        <d v="1899-12-30T20:45:00"/>
        <d v="1899-12-30T21:33:00"/>
        <d v="1899-12-30T22:03:00"/>
        <d v="1899-12-30T20:42:00"/>
        <d v="1899-12-30T21:44:00"/>
        <d v="1899-12-30T13:08:00"/>
        <d v="1899-12-30T13:00:00"/>
        <d v="1899-12-30T22:53:00"/>
        <d v="1899-12-30T12:40:00"/>
        <d v="1899-12-30T17:34:00"/>
        <d v="1899-12-30T17:59:00"/>
        <d v="1899-12-30T18:14:00"/>
        <d v="1899-12-30T18:44:00"/>
        <d v="1899-12-30T13:40:00"/>
        <d v="1899-12-30T15:52:00"/>
        <d v="1899-12-30T17:19:00"/>
        <d v="1899-12-30T20:57:00"/>
        <d v="1899-12-30T21:42:00"/>
        <d v="1899-12-30T13:57:00"/>
        <d v="1899-12-30T09:28:00"/>
        <d v="1899-12-30T09:36:00"/>
        <d v="1899-12-30T12:18:00"/>
        <d v="1899-12-30T13:53:00"/>
        <d v="1899-12-30T13:37:00"/>
        <d v="1899-12-30T14:02:00"/>
        <d v="1899-12-30T19:01:00"/>
        <d v="1899-12-30T15:42:00"/>
        <d v="1899-12-30T20:17:00"/>
        <d v="1899-12-30T14:15:00"/>
        <d v="1899-12-30T15:24:00"/>
        <d v="1899-12-30T16:53:00"/>
        <d v="1899-12-30T16:31:00"/>
        <d v="1899-12-30T15:06:00"/>
        <d v="1899-12-30T16:33:00"/>
        <d v="1899-12-30T20:41:00"/>
        <d v="1899-12-30T15:48:00"/>
        <d v="1899-12-31T00:18:00"/>
        <d v="1899-12-31T00:48:00"/>
        <d v="1899-12-30T17:10:00"/>
        <d v="1899-12-30T18:36:00"/>
        <d v="1899-12-30T21:02:00"/>
        <d v="1899-12-30T20:11:00"/>
        <d v="1899-12-30T16:34:00"/>
        <d v="1899-12-30T21:28:00"/>
        <d v="1899-12-30T21:58:00"/>
        <d v="1899-12-30T22:28:00"/>
        <d v="1899-12-30T02:19:00"/>
        <d v="1899-12-30T14:53:00"/>
        <d v="1899-12-30T23:43:00"/>
        <d v="1899-12-30T00:03:00"/>
        <d v="1899-12-30T00:33:00"/>
        <d v="1899-12-30T01:03:00"/>
        <d v="1899-12-30T02:26:00"/>
        <d v="1899-12-30T15:53:00"/>
        <d v="1899-12-30T18:25:00"/>
        <d v="1899-12-30T18:57:00"/>
        <d v="1899-12-30T19:29:00"/>
        <d v="1899-12-30T18:38:00"/>
        <d v="1899-12-30T20:31:00"/>
        <d v="1899-12-30T16:51:00"/>
        <d v="1899-12-30T17:51:00"/>
        <d v="1899-12-30T18:23:00"/>
        <d v="1899-12-30T17:41:00"/>
        <d v="1899-12-30T17:23:00"/>
        <d v="1899-12-30T20:15:00"/>
        <d v="1899-12-30T21:13:00"/>
        <d v="1899-12-30T03:15:00"/>
        <d v="1899-12-30T20:28:00"/>
        <d v="1899-12-30T17:26:00"/>
        <d v="1899-12-30T21:36:00"/>
        <d v="1899-12-30T22:38:00"/>
        <d v="1899-12-30T23:33:00"/>
        <d v="1899-12-30T22:51:00"/>
        <d v="1899-12-30T23:04:00"/>
        <d v="1899-12-30T23:34:00"/>
        <d v="1899-12-31T00:04:00"/>
        <d v="1899-12-31T00:36:00"/>
        <d v="1899-12-30T17:01:00"/>
        <d v="1899-12-30T17:28:00"/>
        <d v="1899-12-30T18:06:00"/>
        <d v="1899-12-30T13:26:00"/>
        <d v="1899-12-30T15:58:00"/>
        <d v="1899-12-30T12:01:00"/>
        <d v="1899-12-30T12:58:00"/>
        <d v="1899-12-30T13:58:00"/>
        <d v="1899-12-30T17:05:00"/>
        <d v="1899-12-30T20:50:00"/>
        <d v="1899-12-30T23:02:00"/>
        <d v="1899-12-31T00:02:00"/>
        <d v="1899-12-31T00:34:00"/>
        <d v="1899-12-30T01:25:00"/>
        <d v="1899-12-30T01:55:00"/>
        <d v="1899-12-30T02:25:00"/>
        <d v="1899-12-30T02:57:00"/>
        <d v="1899-12-30T03:29:00"/>
        <d v="1899-12-30T02:40:00"/>
        <d v="1899-12-30T19:14:00"/>
        <d v="1899-12-30T15:09:00"/>
        <d v="1899-12-30T16:27:00"/>
        <d v="1899-12-30T17:54:00"/>
        <d v="1899-12-30T14:32:00"/>
        <d v="1899-12-30T00:42:00"/>
        <d v="1899-12-30T01:13:00"/>
        <d v="1899-12-30T15:13:00"/>
        <d v="1899-12-30T14:58:00"/>
        <d v="1899-12-30T15:28:00"/>
        <d v="1899-12-30T11:48:00"/>
        <d v="1899-12-30T16:24:00"/>
        <d v="1899-12-30T10:45:00"/>
        <d v="1899-12-30T00:17:00"/>
        <d v="1899-12-30T12:22:00"/>
        <d v="1899-12-30T10:37:00"/>
        <d v="1899-12-30T23:10:00"/>
        <d v="1899-12-30T10:46:00"/>
        <d v="1899-12-30T16:38:00"/>
        <d v="1899-12-30T09:25:00"/>
        <d v="1899-12-30T09:55:00"/>
        <d v="1899-12-30T10:57:00"/>
        <d v="1899-12-30T11:22:00"/>
        <d v="1899-12-30T11:37:00"/>
        <d v="1899-12-30T13:09:00"/>
        <d v="1899-12-30T13:34:00"/>
        <d v="1899-12-30T13:47:00"/>
        <d v="1899-12-30T15:14:00"/>
        <d v="1899-12-30T15:54:00"/>
        <d v="1899-12-30T18:32:00"/>
        <d v="1899-12-30T00:10:00"/>
        <d v="1899-12-30T01:12:00"/>
        <d v="1899-12-30T02:29:00"/>
        <d v="1899-12-30T22:58:00"/>
        <d v="1899-12-30T13:27:00"/>
        <d v="1899-12-30T14:27:00"/>
        <d v="1899-12-30T14:59:00"/>
        <d v="1899-12-30T10:34:00"/>
        <d v="1899-12-30T11:36:00"/>
        <d v="1899-12-30T12:12:00"/>
        <d v="1899-12-30T10:42:00"/>
        <d v="1899-12-30T13:41:00"/>
        <d v="1899-12-30T14:43:00"/>
        <d v="1899-12-30T23:44:00"/>
        <d v="1899-12-30T14:13:00"/>
        <d v="1899-12-30T01:07:00"/>
        <d v="1899-12-30T11:47:00"/>
        <d v="1899-12-30T13:11:00"/>
        <d v="1899-12-30T15:56:00"/>
        <d v="1899-12-30T22:23:00"/>
        <d v="1899-12-30T00:01:00"/>
        <d v="1899-12-30T01:47:00"/>
        <d v="1899-12-30T20:53:00"/>
        <d v="1899-12-30T00:37:00"/>
        <d v="1899-12-30T14:56:00"/>
        <d v="1899-12-30T17:43:00"/>
        <d v="1899-12-30T01:42:00"/>
        <d v="1899-12-30T23:23:00"/>
        <d v="1899-12-30T23:53:00"/>
        <d v="1899-12-31T00:23:00"/>
        <d v="1899-12-31T00:55:00"/>
        <d v="1899-12-30T23:40:00"/>
        <d v="1899-12-31T00:10:00"/>
        <d v="1899-12-31T00:42:00"/>
        <d v="1899-12-31T01:07:00"/>
        <d v="1899-12-31T01:22:00"/>
        <d v="1899-12-31T01:52:00"/>
        <d v="1899-12-30T16:28:00"/>
        <d v="1899-12-30T16:58:00"/>
        <d v="1899-12-30T20:07:00"/>
        <d v="1899-12-30T20:52:00"/>
        <d v="1899-12-30T14:23:00"/>
        <d v="1899-12-30T00:56:00"/>
        <d v="1899-12-30T01:26:00"/>
        <d v="1899-12-30T01:56:00"/>
        <d v="1899-12-30T16:41:00"/>
        <d v="1899-12-30T23:13:00"/>
        <d v="1899-12-31T00:13:00"/>
        <d v="1899-12-31T00:45:00"/>
        <d v="1899-12-31T01:10:00"/>
        <d v="1899-12-31T01:25:00"/>
        <d v="1899-12-31T01:55:00"/>
        <d v="1899-12-30T21:24:00"/>
        <d v="1899-12-30T01:30:00"/>
        <d v="1899-12-30T23:55:00"/>
        <d v="1899-12-30T23:07:00"/>
        <d v="1899-12-31T00:07:00"/>
        <d v="1899-12-30T01:18:00"/>
        <d v="1899-12-30T00:09:00"/>
        <d v="1899-12-30T00:45:00"/>
        <d v="1899-12-30T00:06:00"/>
        <d v="1899-12-30T13:33:00"/>
        <d v="1899-12-30T14:03:00"/>
        <d v="1899-12-30T14:33:00"/>
        <d v="1899-12-30T21:07:00"/>
        <d v="1899-12-30T01:22:00"/>
        <d v="1899-12-30T01:43:00"/>
        <d v="1899-12-30T22:11:00"/>
        <d v="1899-12-30T17:37:00"/>
        <d v="1899-12-30T18:07:00"/>
        <d v="1899-12-30T01:50:00"/>
        <d v="1899-12-30T22:06:00"/>
        <d v="1899-12-30T02:56:00"/>
        <d v="1899-12-30T16:39:00"/>
        <d v="1899-12-30T02:50:00"/>
        <d v="1899-12-30T19:18:00"/>
        <d v="1899-12-30T19:48:00"/>
        <d v="1899-12-30T15:02:00"/>
        <d v="1899-12-30T15:12:00"/>
        <d v="1899-12-30T15:44:00"/>
        <d v="1899-12-30T15:03:00"/>
        <d v="1899-12-30T12:27:00"/>
        <d v="1899-12-30T19:36:00"/>
        <d v="1899-12-30T19:43:00"/>
        <d v="1899-12-30T22:24:00"/>
        <d v="1899-12-30T14:06:00"/>
        <d v="1899-12-30T15:36:00"/>
        <d v="1899-12-30T16:06:00"/>
        <d v="1899-12-30T20:02:00"/>
        <d v="1899-12-30T23:35:00"/>
        <d v="1899-12-31T00:15:00"/>
      </sharedItems>
      <fieldGroup par="9"/>
    </cacheField>
    <cacheField name="ENDING TIME" numFmtId="171">
      <sharedItems containsNonDate="0" containsDate="1" containsString="0" containsBlank="1" minDate="1899-12-30T00:00:00" maxDate="1899-12-31T02:20:00" count="638">
        <d v="1899-12-30T02:00:00"/>
        <m/>
        <d v="1899-12-30T16:15:00"/>
        <d v="1899-12-30T16:45:00"/>
        <d v="1899-12-30T17:15:00"/>
        <d v="1899-12-30T17:51:00"/>
        <d v="1899-12-30T01:43:00"/>
        <d v="1899-12-30T11:30:00"/>
        <d v="1899-12-30T12:00:00"/>
        <d v="1899-12-30T12:30:00"/>
        <d v="1899-12-30T13:06:00"/>
        <d v="1899-12-30T13:38:00"/>
        <d v="1899-12-30T15:00:00"/>
        <d v="1899-12-30T15:25:00"/>
        <d v="1899-12-30T15:55:00"/>
        <d v="1899-12-30T16:25:00"/>
        <d v="1899-12-30T16:57:00"/>
        <d v="1899-12-30T17:36:00"/>
        <d v="1899-12-30T11:35:00"/>
        <d v="1899-12-30T12:05:00"/>
        <d v="1899-12-30T12:35:00"/>
        <d v="1899-12-30T13:07:00"/>
        <d v="1899-12-30T13:39:00"/>
        <d v="1899-12-30T14:50:00"/>
        <d v="1899-12-30T16:00:00"/>
        <d v="1899-12-30T00:45:00"/>
        <d v="1899-12-30T01:15:00"/>
        <d v="1899-12-30T01:45:00"/>
        <d v="1899-12-30T02:17:00"/>
        <d v="1899-12-30T00:36:00"/>
        <d v="1899-12-30T23:05:00"/>
        <d v="1899-12-30T23:45:00"/>
        <d v="1899-12-31T00:15:00"/>
        <d v="1899-12-30T13:36:00"/>
        <d v="1899-12-30T09:40:00"/>
        <d v="1899-12-30T10:10:00"/>
        <d v="1899-12-30T10:42:00"/>
        <d v="1899-12-30T11:15:00"/>
        <d v="1899-12-30T11:57:00"/>
        <d v="1899-12-30T13:20:00"/>
        <d v="1899-12-30T13:50:00"/>
        <d v="1899-12-30T14:20:00"/>
        <d v="1899-12-30T00:52:00"/>
        <d v="1899-12-30T11:25:00"/>
        <d v="1899-12-30T11:55:00"/>
        <d v="1899-12-30T12:25:00"/>
        <d v="1899-12-30T12:57:00"/>
        <d v="1899-12-30T17:55:00"/>
        <d v="1899-12-30T18:25:00"/>
        <d v="1899-12-30T18:55:00"/>
        <d v="1899-12-30T19:27:00"/>
        <d v="1899-12-30T19:25:00"/>
        <d v="1899-12-30T19:55:00"/>
        <d v="1899-12-30T15:29:00"/>
        <d v="1899-12-30T14:15:00"/>
        <d v="1899-12-30T14:45:00"/>
        <d v="1899-12-30T15:15:00"/>
        <d v="1899-12-30T15:47:00"/>
        <d v="1899-12-30T17:20:00"/>
        <d v="1899-12-30T17:50:00"/>
        <d v="1899-12-30T18:20:00"/>
        <d v="1899-12-30T00:25:00"/>
        <d v="1899-12-30T10:50:00"/>
        <d v="1899-12-30T11:20:00"/>
        <d v="1899-12-30T12:50:00"/>
        <d v="1899-12-30T13:00:00"/>
        <d v="1899-12-30T10:00:00"/>
        <d v="1899-12-30T10:30:00"/>
        <d v="1899-12-30T11:00:00"/>
        <d v="1899-12-30T11:32:00"/>
        <d v="1899-12-30T12:08:00"/>
        <d v="1899-12-30T11:17:00"/>
        <d v="1899-12-30T15:20:00"/>
        <d v="1899-12-30T15:52:00"/>
        <d v="1899-12-30T16:28:00"/>
        <d v="1899-12-30T22:49:00"/>
        <d v="1899-12-30T11:33:00"/>
        <d v="1899-12-30T21:44:00"/>
        <d v="1899-12-30T22:14:00"/>
        <d v="1899-12-30T22:44:00"/>
        <d v="1899-12-30T14:00:00"/>
        <d v="1899-12-30T14:30:00"/>
        <d v="1899-12-30T15:32:00"/>
        <d v="1899-12-30T16:06:00"/>
        <d v="1899-12-30T20:46:00"/>
        <d v="1899-12-30T21:16:00"/>
        <d v="1899-12-30T16:38:00"/>
        <d v="1899-12-30T17:08:00"/>
        <d v="1899-12-30T18:42:00"/>
        <d v="1899-12-30T19:12:00"/>
        <d v="1899-12-30T19:44:00"/>
        <d v="1899-12-30T20:50:00"/>
        <d v="1899-12-30T17:33:00"/>
        <d v="1899-12-30T18:00:00"/>
        <d v="1899-12-30T19:57:00"/>
        <d v="1899-12-30T09:30:00"/>
        <d v="1899-12-30T10:31:00"/>
        <d v="1899-12-30T11:36:00"/>
        <d v="1899-12-30T17:45:00"/>
        <d v="1899-12-30T18:15:00"/>
        <d v="1899-12-30T18:45:00"/>
        <d v="1899-12-30T19:17:00"/>
        <d v="1899-12-30T19:49:00"/>
        <d v="1899-12-30T21:00:00"/>
        <d v="1899-12-30T21:25:00"/>
        <d v="1899-12-30T21:55:00"/>
        <d v="1899-12-30T22:16:00"/>
        <d v="1899-12-30T20:25:00"/>
        <d v="1899-12-30T20:55:00"/>
        <d v="1899-12-30T15:45:00"/>
        <d v="1899-12-30T18:48:00"/>
        <d v="1899-12-30T19:47:00"/>
        <d v="1899-12-30T20:43:00"/>
        <d v="1899-12-30T15:50:00"/>
        <d v="1899-12-30T13:10:00"/>
        <d v="1899-12-30T13:40:00"/>
        <d v="1899-12-30T14:10:00"/>
        <d v="1899-12-30T14:40:00"/>
        <d v="1899-12-30T15:05:00"/>
        <d v="1899-12-30T15:35:00"/>
        <d v="1899-12-30T16:05:00"/>
        <d v="1899-12-30T16:37:00"/>
        <d v="1899-12-30T18:10:00"/>
        <d v="1899-12-30T18:40:00"/>
        <d v="1899-12-30T19:10:00"/>
        <d v="1899-12-30T19:42:00"/>
        <d v="1899-12-30T20:14:00"/>
        <d v="1899-12-30T15:10:00"/>
        <d v="1899-12-30T15:40:00"/>
        <d v="1899-12-30T16:10:00"/>
        <d v="1899-12-30T16:42:00"/>
        <d v="1899-12-30T17:12:00"/>
        <d v="1899-12-30T17:37:00"/>
        <d v="1899-12-30T18:07:00"/>
        <d v="1899-12-30T18:37:00"/>
        <d v="1899-12-30T22:30:00"/>
        <d v="1899-12-30T23:00:00"/>
        <d v="1899-12-30T23:30:00"/>
        <d v="1899-12-31T00:02:00"/>
        <d v="1899-12-30T16:50:00"/>
        <d v="1899-12-30T18:22:00"/>
        <d v="1899-12-30T19:20:00"/>
        <d v="1899-12-30T19:50:00"/>
        <d v="1899-12-30T20:20:00"/>
        <d v="1899-12-30T23:40:00"/>
        <d v="1899-12-31T00:10:00"/>
        <d v="1899-12-30T15:30:00"/>
        <d v="1899-12-30T16:02:00"/>
        <d v="1899-12-30T17:30:00"/>
        <d v="1899-12-30T19:59:00"/>
        <d v="1899-12-30T21:05:00"/>
        <d v="1899-12-30T21:30:00"/>
        <d v="1899-12-30T22:00:00"/>
        <d v="1899-12-30T23:02:00"/>
        <d v="1899-12-30T23:31:00"/>
        <d v="1899-12-30T00:55:00"/>
        <d v="1899-12-30T01:25:00"/>
        <d v="1899-12-30T01:57:00"/>
        <d v="1899-12-30T02:51:00"/>
        <d v="1899-12-30T20:05:00"/>
        <d v="1899-12-30T20:35:00"/>
        <d v="1899-12-30T21:37:00"/>
        <d v="1899-12-30T21:52:00"/>
        <d v="1899-12-30T22:17:00"/>
        <d v="1899-12-30T22:47:00"/>
        <d v="1899-12-30T23:17:00"/>
        <d v="1899-12-30T21:26:00"/>
        <d v="1899-12-30T21:53:00"/>
        <d v="1899-12-30T19:30:00"/>
        <d v="1899-12-30T20:34:00"/>
        <d v="1899-12-30T19:22:00"/>
        <d v="1899-12-30T21:39:00"/>
        <d v="1899-12-30T23:54:00"/>
        <d v="1899-12-30T18:19:00"/>
        <d v="1899-12-30T18:57:00"/>
        <d v="1899-12-30T21:43:00"/>
        <d v="1899-12-30T16:13:00"/>
        <d v="1899-12-30T22:31:00"/>
        <d v="1899-12-30T19:03:00"/>
        <d v="1899-12-30T20:10:00"/>
        <d v="1899-12-30T21:18:00"/>
        <d v="1899-12-30T22:43:00"/>
        <d v="1899-12-31T00:01:00"/>
        <d v="1899-12-30T21:47:00"/>
        <d v="1899-12-30T22:27:00"/>
        <d v="1899-12-30T23:06:00"/>
        <d v="1899-12-31T00:08:00"/>
        <d v="1899-12-30T01:05:00"/>
        <d v="1899-12-30T18:35:00"/>
        <d v="1899-12-30T19:33:00"/>
        <d v="1899-12-30T10:26:00"/>
        <d v="1899-12-30T11:31:00"/>
        <d v="1899-12-30T20:18:00"/>
        <d v="1899-12-30T20:57:00"/>
        <d v="1899-12-30T21:40:00"/>
        <d v="1899-12-30T21:23:00"/>
        <d v="1899-12-30T22:42:00"/>
        <d v="1899-12-30T15:13:00"/>
        <d v="1899-12-30T16:18:00"/>
        <d v="1899-12-30T16:53:00"/>
        <d v="1899-12-30T18:32:00"/>
        <d v="1899-12-30T19:41:00"/>
        <d v="1899-12-30T20:16:00"/>
        <d v="1899-12-30T20:42:00"/>
        <d v="1899-12-30T23:25:00"/>
        <d v="1899-12-30T13:25:00"/>
        <d v="1899-12-30T19:24:00"/>
        <d v="1899-12-30T20:37:00"/>
        <d v="1899-12-30T03:25:00"/>
        <d v="1899-12-30T21:10:00"/>
        <d v="1899-12-30T20:39:00"/>
        <d v="1899-12-30T17:54:00"/>
        <d v="1899-12-30T18:52:00"/>
        <d v="1899-12-30T20:06:00"/>
        <d v="1899-12-30T20:40:00"/>
        <d v="1899-12-30T16:55:00"/>
        <d v="1899-12-30T17:25:00"/>
        <d v="1899-12-30T20:29:00"/>
        <d v="1899-12-30T21:20:00"/>
        <d v="1899-12-30T21:45:00"/>
        <d v="1899-12-30T22:15:00"/>
        <d v="1899-12-30T20:33:00"/>
        <d v="1899-12-30T23:50:00"/>
        <d v="1899-12-30T22:09:00"/>
        <d v="1899-12-30T19:45:00"/>
        <d v="1899-12-30T22:20:00"/>
        <d v="1899-12-31T00:18:00"/>
        <d v="1899-12-30T01:03:00"/>
        <d v="1899-12-30T23:44:00"/>
        <d v="1899-12-30T21:49:00"/>
        <d v="1899-12-30T23:12:00"/>
        <d v="1899-12-30T22:18:00"/>
        <d v="1899-12-30T23:20:00"/>
        <d v="1899-12-30T21:56:00"/>
        <d v="1899-12-30T14:23:00"/>
        <d v="1899-12-30T17:16:00"/>
        <d v="1899-12-30T22:22:00"/>
        <d v="1899-12-30T21:29:00"/>
        <d v="1899-12-30T21:17:00"/>
        <d v="1899-12-30T23:11:00"/>
        <d v="1899-12-30T16:17:00"/>
        <d v="1899-12-30T17:47:00"/>
        <d v="1899-12-30T16:20:00"/>
        <d v="1899-12-30T22:50:00"/>
        <d v="1899-12-31T00:22:00"/>
        <d v="1899-12-30T00:40:00"/>
        <d v="1899-12-30T01:35:00"/>
        <d v="1899-12-30T02:05:00"/>
        <d v="1899-12-30T02:37:00"/>
        <d v="1899-12-30T04:10:00"/>
        <d v="1899-12-30T17:17:00"/>
        <d v="1899-12-30T17:49:00"/>
        <d v="1899-12-30T19:15:00"/>
        <d v="1899-12-30T20:17:00"/>
        <d v="1899-12-30T20:49:00"/>
        <d v="1899-12-30T22:05:00"/>
        <d v="1899-12-30T22:35:00"/>
        <d v="1899-12-30T23:37:00"/>
        <d v="1899-12-30T18:17:00"/>
        <d v="1899-12-30T18:50:00"/>
        <d v="1899-12-30T20:15:00"/>
        <d v="1899-12-30T20:47:00"/>
        <d v="1899-12-30T21:19:00"/>
        <d v="1899-12-30T22:45:00"/>
        <d v="1899-12-30T23:15:00"/>
        <d v="1899-12-31T00:17:00"/>
        <d v="1899-12-30T19:40:00"/>
        <d v="1899-12-30T20:12:00"/>
        <d v="1899-12-30T21:15:00"/>
        <d v="1899-12-30T22:10:00"/>
        <d v="1899-12-30T22:40:00"/>
        <d v="1899-12-30T19:05:00"/>
        <d v="1899-12-30T19:35:00"/>
        <d v="1899-12-30T20:07:00"/>
        <d v="1899-12-30T22:06:00"/>
        <d v="1899-12-30T23:04:00"/>
        <d v="1899-12-30T19:32:00"/>
        <d v="1899-12-30T12:20:00"/>
        <d v="1899-12-30T00:00:00"/>
        <d v="1899-12-30T00:30:00"/>
        <d v="1899-12-30T01:00:00"/>
        <d v="1899-12-30T01:32:00"/>
        <d v="1899-12-30T14:25:00"/>
        <d v="1899-12-30T12:44:00"/>
        <d v="1899-12-30T16:48:00"/>
        <d v="1899-12-30T19:06:00"/>
        <d v="1899-12-30T20:11:00"/>
        <d v="1899-12-30T19:07:00"/>
        <d v="1899-12-30T20:23:00"/>
        <d v="1899-12-30T18:09:00"/>
        <d v="1899-12-30T19:09:00"/>
        <d v="1899-12-30T20:27:00"/>
        <d v="1899-12-30T16:30:00"/>
        <d v="1899-12-30T17:00:00"/>
        <d v="1899-12-30T17:32:00"/>
        <d v="1899-12-30T18:05:00"/>
        <d v="1899-12-30T18:30:00"/>
        <d v="1899-12-30T19:00:00"/>
        <d v="1899-12-30T12:15:00"/>
        <d v="1899-12-30T12:45:00"/>
        <d v="1899-12-30T13:15:00"/>
        <d v="1899-12-30T13:47:00"/>
        <d v="1899-12-30T14:19:00"/>
        <d v="1899-12-30T14:51:00"/>
        <d v="1899-12-30T17:35:00"/>
        <d v="1899-12-30T23:47:00"/>
        <d v="1899-12-30T11:46:00"/>
        <d v="1899-12-30T13:16:00"/>
        <d v="1899-12-30T14:22:00"/>
        <d v="1899-12-30T17:01:00"/>
        <d v="1899-12-30T18:06:00"/>
        <d v="1899-12-30T19:11:00"/>
        <d v="1899-12-30T20:02:00"/>
        <d v="1899-12-30T20:45:00"/>
        <d v="1899-12-30T14:52:00"/>
        <d v="1899-12-30T17:06:00"/>
        <d v="1899-12-30T19:02:00"/>
        <d v="1899-12-30T17:38:00"/>
        <d v="1899-12-30T17:11:00"/>
        <d v="1899-12-30T17:58:00"/>
        <d v="1899-12-30T19:26:00"/>
        <d v="1899-12-30T15:09:00"/>
        <d v="1899-12-30T16:34:00"/>
        <d v="1899-12-30T17:02:00"/>
        <d v="1899-12-30T17:29:00"/>
        <d v="1899-12-30T19:48:00"/>
        <d v="1899-12-30T21:13:00"/>
        <d v="1899-12-30T17:27:00"/>
        <d v="1899-12-30T18:51:00"/>
        <d v="1899-12-30T16:52:00"/>
        <d v="1899-12-30T15:56:00"/>
        <d v="1899-12-30T22:19:00"/>
        <d v="1899-12-30T17:44:00"/>
        <d v="1899-12-30T14:49:00"/>
        <d v="1899-12-30T15:38:00"/>
        <d v="1899-12-30T16:59:00"/>
        <d v="1899-12-30T13:55:00"/>
        <d v="1899-12-30T15:04:00"/>
        <d v="1899-12-30T14:55:00"/>
        <d v="1899-12-30T15:57:00"/>
        <d v="1899-12-30T15:03:00"/>
        <d v="1899-12-30T16:36:00"/>
        <d v="1899-12-30T18:23:00"/>
        <d v="1899-12-30T18:49:00"/>
        <d v="1899-12-30T16:35:00"/>
        <d v="1899-12-30T16:40:00"/>
        <d v="1899-12-30T17:10:00"/>
        <d v="1899-12-30T17:42:00"/>
        <d v="1899-12-30T20:00:00"/>
        <d v="1899-12-30T20:30:00"/>
        <d v="1899-12-30T17:07:00"/>
        <d v="1899-12-30T17:23:00"/>
        <d v="1899-12-30T15:07:00"/>
        <d v="1899-12-30T17:03:00"/>
        <d v="1899-12-30T17:52:00"/>
        <d v="1899-12-30T19:39:00"/>
        <d v="1899-12-30T20:04:00"/>
        <d v="1899-12-30T21:04:00"/>
        <d v="1899-12-30T18:12:00"/>
        <d v="1899-12-30T20:24:00"/>
        <d v="1899-12-30T20:54:00"/>
        <d v="1899-12-30T21:24:00"/>
        <d v="1899-12-30T23:10:00"/>
        <d v="1899-12-30T01:13:00"/>
        <d v="1899-12-30T02:34:00"/>
        <d v="1899-12-30T16:12:00"/>
        <d v="1899-12-30T18:24:00"/>
        <d v="1899-12-30T19:19:00"/>
        <d v="1899-12-30T19:04:00"/>
        <d v="1899-12-30T19:29:00"/>
        <d v="1899-12-30T21:01:00"/>
        <d v="1899-12-30T22:25:00"/>
        <d v="1899-12-30T22:57:00"/>
        <d v="1899-12-31T00:07:00"/>
        <d v="1899-12-30T23:55:00"/>
        <d v="1899-12-31T00:25:00"/>
        <d v="1899-12-30T15:58:00"/>
        <d v="1899-12-30T14:05:00"/>
        <d v="1899-12-30T14:33:00"/>
        <d v="1899-12-30T15:33:00"/>
        <d v="1899-12-30T21:42:00"/>
        <d v="1899-12-30T23:13:00"/>
        <d v="1899-12-30T23:43:00"/>
        <d v="1899-12-31T00:13:00"/>
        <d v="1899-12-31T00:45:00"/>
        <d v="1899-12-30T14:32:00"/>
        <d v="1899-12-30T15:02:00"/>
        <d v="1899-12-30T21:35:00"/>
        <d v="1899-12-30T19:37:00"/>
        <d v="1899-12-30T19:52:00"/>
        <d v="1899-12-30T13:30:00"/>
        <d v="1899-12-30T12:32:00"/>
        <d v="1899-12-30T12:47:00"/>
        <d v="1899-12-30T13:12:00"/>
        <d v="1899-12-30T13:42:00"/>
        <d v="1899-12-30T18:47:00"/>
        <d v="1899-12-30T14:29:00"/>
        <d v="1899-12-30T10:45:00"/>
        <d v="1899-12-30T11:45:00"/>
        <d v="1899-12-30T12:17:00"/>
        <d v="1899-12-30T13:27:00"/>
        <d v="1899-12-30T13:57:00"/>
        <d v="1899-12-30T11:40:00"/>
        <d v="1899-12-30T12:10:00"/>
        <d v="1899-12-30T12:40:00"/>
        <d v="1899-12-30T16:27:00"/>
        <d v="1899-12-30T18:04:00"/>
        <d v="1899-12-30T13:22:00"/>
        <d v="1899-12-30T14:17:00"/>
        <d v="1899-12-30T14:47:00"/>
        <d v="1899-12-30T15:12:00"/>
        <d v="1899-12-30T15:42:00"/>
        <d v="1899-12-30T16:44:00"/>
        <d v="1899-12-30T17:24:00"/>
        <d v="1899-12-30T17:46:00"/>
        <d v="1899-12-30T18:28:00"/>
        <d v="1899-12-30T18:58:00"/>
        <d v="1899-12-30T19:28:00"/>
        <d v="1899-12-30T21:28:00"/>
        <d v="1899-12-30T21:58:00"/>
        <d v="1899-12-30T22:28:00"/>
        <d v="1899-12-30T21:07:00"/>
        <d v="1899-12-30T17:57:00"/>
        <d v="1899-12-30T17:05:00"/>
        <d v="1899-12-30T18:11:00"/>
        <d v="1899-12-30T13:05:00"/>
        <d v="1899-12-30T13:33:00"/>
        <d v="1899-12-30T14:03:00"/>
        <d v="1899-12-30T18:38:00"/>
        <d v="1899-12-31T00:00:00"/>
        <d v="1899-12-30T13:35:00"/>
        <d v="1899-12-30T17:59:00"/>
        <d v="1899-12-30T18:14:00"/>
        <d v="1899-12-30T18:39:00"/>
        <d v="1899-12-30T14:35:00"/>
        <d v="1899-12-30T15:22:00"/>
        <d v="1899-12-30T16:47:00"/>
        <d v="1899-12-30T17:19:00"/>
        <d v="1899-12-30T21:12:00"/>
        <d v="1899-12-30T22:07:00"/>
        <d v="1899-12-30T09:36:00"/>
        <d v="1899-12-30T12:02:00"/>
        <d v="1899-12-30T12:37:00"/>
        <d v="1899-12-30T12:55:00"/>
        <d v="1899-12-30T16:23:00"/>
        <d v="1899-12-30T14:02:00"/>
        <d v="1899-12-30T14:42:00"/>
        <d v="1899-12-30T16:14:00"/>
        <d v="1899-12-30T22:32:00"/>
        <d v="1899-12-30T16:07:00"/>
        <d v="1899-12-30T15:53:00"/>
        <d v="1899-12-30T18:54:00"/>
        <d v="1899-12-30T17:34:00"/>
        <d v="1899-12-30T19:58:00"/>
        <d v="1899-12-30T22:52:00"/>
        <d v="1899-12-30T21:06:00"/>
        <d v="1899-12-30T16:32:00"/>
        <d v="1899-12-31T00:43:00"/>
        <d v="1899-12-31T01:13:00"/>
        <d v="1899-12-30T20:58:00"/>
        <d v="1899-12-30T21:21:00"/>
        <d v="1899-12-30T22:23:00"/>
        <d v="1899-12-30T22:53:00"/>
        <d v="1899-12-30T03:00:00"/>
        <d v="1899-12-30T14:53:00"/>
        <d v="1899-12-30T00:28:00"/>
        <d v="1899-12-30T00:58:00"/>
        <d v="1899-12-30T01:28:00"/>
        <d v="1899-12-30T15:18:00"/>
        <d v="1899-12-30T15:48:00"/>
        <d v="1899-12-30T19:54:00"/>
        <d v="1899-12-30T18:33:00"/>
        <d v="1899-12-30T18:53:00"/>
        <d v="1899-12-30T23:56:00"/>
        <d v="1899-12-30T12:41:00"/>
        <d v="1899-12-30T18:16:00"/>
        <d v="1899-12-30T18:21:00"/>
        <d v="1899-12-31T00:29:00"/>
        <d v="1899-12-30T21:11:00"/>
        <d v="1899-12-30T23:09:00"/>
        <d v="1899-12-30T04:39:00"/>
        <d v="1899-12-30T17:40:00"/>
        <d v="1899-12-30T23:07:00"/>
        <d v="1899-12-31T00:20:00"/>
        <d v="1899-12-30T23:01:00"/>
        <d v="1899-12-30T23:29:00"/>
        <d v="1899-12-30T23:59:00"/>
        <d v="1899-12-31T01:01:00"/>
        <d v="1899-12-30T15:51:00"/>
        <d v="1899-12-30T17:22:00"/>
        <d v="1899-12-30T19:21:00"/>
        <d v="1899-12-30T11:52:00"/>
        <d v="1899-12-30T12:33:00"/>
        <d v="1899-12-30T13:23:00"/>
        <d v="1899-12-30T13:53:00"/>
        <d v="1899-12-30T16:58:00"/>
        <d v="1899-12-30T23:27:00"/>
        <d v="1899-12-30T23:57:00"/>
        <d v="1899-12-31T00:27:00"/>
        <d v="1899-12-31T00:59:00"/>
        <d v="1899-12-30T01:50:00"/>
        <d v="1899-12-30T02:20:00"/>
        <d v="1899-12-30T02:50:00"/>
        <d v="1899-12-30T03:22:00"/>
        <d v="1899-12-30T03:54:00"/>
        <d v="1899-12-30T04:50:00"/>
        <d v="1899-12-30T14:38:00"/>
        <d v="1899-12-30T16:51:00"/>
        <d v="1899-12-30T01:30:00"/>
        <d v="1899-12-30T14:56:00"/>
        <d v="1899-12-30T16:19:00"/>
        <d v="1899-12-30T16:54:00"/>
        <d v="1899-12-30T15:49:00"/>
        <d v="1899-12-30T14:57:00"/>
        <d v="1899-12-30T18:56:00"/>
        <d v="1899-12-31T00:04:00"/>
        <d v="1899-12-30T01:09:00"/>
        <d v="1899-12-30T01:27:00"/>
        <d v="1899-12-30T15:54:00"/>
        <d v="1899-12-30T15:23:00"/>
        <d v="1899-12-30T11:29:00"/>
        <d v="1899-12-30T16:08:00"/>
        <d v="1899-12-30T18:34:00"/>
        <d v="1899-12-30T21:50:00"/>
        <d v="1899-12-30T22:55:00"/>
        <d v="1899-12-30T12:18:00"/>
        <d v="1899-12-30T15:28:00"/>
        <d v="1899-12-30T13:26:00"/>
        <d v="1899-12-30T12:19:00"/>
        <d v="1899-12-30T13:58:00"/>
        <d v="1899-12-30T15:11:00"/>
        <d v="1899-12-30T16:21:00"/>
        <d v="1899-12-31T00:37:00"/>
        <d v="1899-12-30T12:23:00"/>
        <d v="1899-12-30T14:12:00"/>
        <d v="1899-12-31T00:33:00"/>
        <d v="1899-12-30T11:54:00"/>
        <d v="1899-12-30T16:49:00"/>
        <d v="1899-12-30T18:29:00"/>
        <d v="1899-12-30T09:50:00"/>
        <d v="1899-12-30T10:20:00"/>
        <d v="1899-12-30T11:22:00"/>
        <d v="1899-12-30T11:37:00"/>
        <d v="1899-12-30T13:02:00"/>
        <d v="1899-12-30T13:34:00"/>
        <d v="1899-12-30T03:45:00"/>
        <d v="1899-12-30T13:17:00"/>
        <d v="1899-12-30T15:14:00"/>
        <d v="1899-12-30T17:39:00"/>
        <d v="1899-12-30T18:01:00"/>
        <d v="1899-12-30T18:27:00"/>
        <d v="1899-12-30T20:13:00"/>
        <d v="1899-12-30T03:30:00"/>
        <d v="1899-12-30T23:23:00"/>
        <d v="1899-12-30T13:52:00"/>
        <d v="1899-12-30T14:07:00"/>
        <d v="1899-12-30T16:04:00"/>
        <d v="1899-12-30T12:07:00"/>
        <d v="1899-12-30T12:43:00"/>
        <d v="1899-12-30T15:08:00"/>
        <d v="1899-12-30T22:37:00"/>
        <d v="1899-12-31T00:30:00"/>
        <d v="1899-12-30T18:43:00"/>
        <d v="1899-12-30T04:18:00"/>
        <d v="1899-12-30T13:44:00"/>
        <d v="1899-12-31T00:50:00"/>
        <d v="1899-12-30T23:34:00"/>
        <d v="1899-12-30T23:49:00"/>
        <d v="1899-12-30T01:41:00"/>
        <d v="1899-12-30T03:50:00"/>
        <d v="1899-12-30T02:15:00"/>
        <d v="1899-12-30T23:48:00"/>
        <d v="1899-12-31T00:48:00"/>
        <d v="1899-12-30T01:58:00"/>
        <d v="1899-12-30T23:35:00"/>
        <d v="1899-12-31T00:05:00"/>
        <d v="1899-12-31T00:35:00"/>
        <d v="1899-12-31T01:07:00"/>
        <d v="1899-12-31T01:22:00"/>
        <d v="1899-12-31T01:47:00"/>
        <d v="1899-12-30T20:22:00"/>
        <d v="1899-12-30T14:48:00"/>
        <d v="1899-12-30T01:21:00"/>
        <d v="1899-12-30T01:51:00"/>
        <d v="1899-12-30T02:32:00"/>
        <d v="1899-12-30T18:31:00"/>
        <d v="1899-12-30T23:38:00"/>
        <d v="1899-12-31T00:38:00"/>
        <d v="1899-12-31T01:10:00"/>
        <d v="1899-12-31T01:25:00"/>
        <d v="1899-12-31T01:50:00"/>
        <d v="1899-12-31T02:20:00"/>
        <d v="1899-12-30T20:09:00"/>
        <d v="1899-12-30T22:21:00"/>
        <d v="1899-12-30T02:10:00"/>
        <d v="1899-12-30T23:32:00"/>
        <d v="1899-12-31T00:32:00"/>
        <d v="1899-12-30T03:12:00"/>
        <d v="1899-12-30T17:43:00"/>
        <d v="1899-12-30T00:37:00"/>
        <d v="1899-12-30T19:13:00"/>
        <d v="1899-12-30T01:07:00"/>
        <d v="1899-12-30T18:59:00"/>
        <d v="1899-12-30T19:14:00"/>
        <d v="1899-12-30T14:28:00"/>
        <d v="1899-12-30T14:58:00"/>
        <d v="1899-12-30T22:04:00"/>
        <d v="1899-12-30T18:41:00"/>
        <d v="1899-12-30T18:02:00"/>
        <d v="1899-12-30T23:22:00"/>
        <d v="1899-12-30T16:22:00"/>
        <d v="1899-12-30T03:40:00"/>
        <d v="1899-12-30T17:04:00"/>
        <d v="1899-12-30T03:18:00"/>
        <d v="1899-12-30T19:43:00"/>
        <d v="1899-12-30T00:53:00"/>
        <d v="1899-12-30T01:52:00"/>
        <d v="1899-12-30T15:41:00"/>
        <d v="1899-12-30T01:12:00"/>
        <d v="1899-12-30T02:09:00"/>
        <d v="1899-12-30T15:17:00"/>
        <d v="1899-12-30T15:27:00"/>
        <d v="1899-12-30T15:37:00"/>
        <d v="1899-12-30T16:09:00"/>
        <d v="1899-12-30T13:04:00"/>
        <d v="1899-12-30T14:27:00"/>
        <d v="1899-12-30T15:19:00"/>
        <d v="1899-12-30T13:37:00"/>
        <d v="1899-12-30T16:39:00"/>
        <d v="1899-12-30T19:08:00"/>
        <d v="1899-12-30T23:21:00"/>
        <d v="1899-12-30T14:36:00"/>
        <d v="1899-12-30T15:31:00"/>
        <d v="1899-12-30T16:01:00"/>
        <d v="1899-12-30T16:31:00"/>
        <d v="1899-12-30T19:51:00"/>
        <d v="1899-12-30T20:31:00"/>
        <d v="1899-12-31T00:40:00"/>
      </sharedItems>
      <fieldGroup par="11"/>
    </cacheField>
    <cacheField name="DURATION" numFmtId="20">
      <sharedItems containsSemiMixedTypes="0" containsNonDate="0" containsDate="1" containsString="0" minDate="1899-12-30T00:06:00" maxDate="1899-12-30T03:45:00" count="123">
        <d v="1899-12-30T02:00:00"/>
        <d v="1899-12-30T00:50:00"/>
        <d v="1899-12-30T00:25:00"/>
        <d v="1899-12-30T00:29:00"/>
        <d v="1899-12-30T00:39:00"/>
        <d v="1899-12-30T01:22:00"/>
        <d v="1899-12-30T00:26:00"/>
        <d v="1899-12-30T00:28:00"/>
        <d v="1899-12-30T00:27:00"/>
        <d v="1899-12-30T01:40:00"/>
        <d v="1899-12-30T00:20:00"/>
        <d v="1899-12-30T00:36:00"/>
        <d v="1899-12-30T00:24:00"/>
        <d v="1899-12-30T00:34:00"/>
        <d v="1899-12-30T00:37:00"/>
        <d v="1899-12-30T00:52:00"/>
        <d v="1899-12-30T00:40:00"/>
        <d v="1899-12-30T01:43:00"/>
        <d v="1899-12-30T00:45:00"/>
        <d v="1899-12-30T00:31:00"/>
        <d v="1899-12-30T00:22:00"/>
        <d v="1899-12-30T00:35:00"/>
        <d v="1899-12-30T01:07:00"/>
        <d v="1899-12-30T00:47:00"/>
        <d v="1899-12-30T01:05:00"/>
        <d v="1899-12-30T01:45:00"/>
        <d v="1899-12-30T00:58:00"/>
        <d v="1899-12-30T00:33:00"/>
        <d v="1899-12-30T00:32:00"/>
        <d v="1899-12-30T00:42:00"/>
        <d v="1899-12-30T00:57:00"/>
        <d v="1899-12-30T00:43:00"/>
        <d v="1899-12-30T01:00:00"/>
        <d v="1899-12-30T02:20:00"/>
        <d v="1899-12-30T01:30:00"/>
        <d v="1899-12-30T01:27:00"/>
        <d v="1899-12-30T00:49:00"/>
        <d v="1899-12-30T00:17:00"/>
        <d v="1899-12-30T01:11:00"/>
        <d v="1899-12-30T00:30:00"/>
        <d v="1899-12-30T00:14:00"/>
        <d v="1899-12-30T00:56:00"/>
        <d v="1899-12-30T00:19:00"/>
        <d v="1899-12-30T01:08:00"/>
        <d v="1899-12-30T01:01:00"/>
        <d v="1899-12-30T01:13:00"/>
        <d v="1899-12-30T00:18:00"/>
        <d v="1899-12-30T00:23:00"/>
        <d v="1899-12-30T00:44:00"/>
        <d v="1899-12-30T00:15:00"/>
        <d v="1899-12-30T00:51:00"/>
        <d v="1899-12-30T01:36:00"/>
        <d v="1899-12-30T01:15:00"/>
        <d v="1899-12-30T01:06:00"/>
        <d v="1899-12-30T01:09:00"/>
        <d v="1899-12-30T01:34:00"/>
        <d v="1899-12-30T02:23:00"/>
        <d v="1899-12-30T00:21:00"/>
        <d v="1899-12-30T00:08:00"/>
        <d v="1899-12-30T01:25:00"/>
        <d v="1899-12-30T00:59:00"/>
        <d v="1899-12-30T01:35:00"/>
        <d v="1899-12-30T01:16:00"/>
        <d v="1899-12-30T01:37:00"/>
        <d v="1899-12-30T00:46:00"/>
        <d v="1899-12-30T00:53:00"/>
        <d v="1899-12-30T01:04:00"/>
        <d v="1899-12-30T00:16:00"/>
        <d v="1899-12-30T01:10:00"/>
        <d v="1899-12-30T00:55:00"/>
        <d v="1899-12-30T01:19:00"/>
        <d v="1899-12-30T01:02:00"/>
        <d v="1899-12-30T00:13:00"/>
        <d v="1899-12-30T00:48:00"/>
        <d v="1899-12-30T02:25:00"/>
        <d v="1899-12-30T01:26:00"/>
        <d v="1899-12-30T00:41:00"/>
        <d v="1899-12-30T03:00:00"/>
        <d v="1899-12-30T02:03:00"/>
        <d v="1899-12-30T01:20:00"/>
        <d v="1899-12-30T01:51:00"/>
        <d v="1899-12-30T02:34:00"/>
        <d v="1899-12-30T01:33:00"/>
        <d v="1899-12-30T00:38:00"/>
        <d v="1899-12-30T01:03:00"/>
        <d v="1899-12-30T01:57:00"/>
        <d v="1899-12-30T00:54:00"/>
        <d v="1899-12-30T01:28:00"/>
        <d v="1899-12-30T00:10:00"/>
        <d v="1899-12-30T02:50:00"/>
        <d v="1899-12-30T01:38:00"/>
        <d v="1899-12-30T01:12:00"/>
        <d v="1899-12-30T01:56:00"/>
        <d v="1899-12-30T00:07:00"/>
        <d v="1899-12-30T01:18:00"/>
        <d v="1899-12-30T00:09:00"/>
        <d v="1899-12-30T00:12:00"/>
        <d v="1899-12-30T01:48:00"/>
        <d v="1899-12-30T01:41:00"/>
        <d v="1899-12-30T01:55:00"/>
        <d v="1899-12-30T01:24:00"/>
        <d v="1899-12-30T01:17:00"/>
        <d v="1899-12-30T02:44:00"/>
        <d v="1899-12-30T01:23:00"/>
        <d v="1899-12-30T01:50:00"/>
        <d v="1899-12-30T00:06:00"/>
        <d v="1899-12-30T02:10:00"/>
        <d v="1899-12-30T02:56:00"/>
        <d v="1899-12-30T02:35:00"/>
        <d v="1899-12-30T02:26:00"/>
        <d v="1899-12-30T02:37:00"/>
        <d v="1899-12-30T00:11:00"/>
        <d v="1899-12-30T01:47:00"/>
        <d v="1899-12-30T01:49:00"/>
        <d v="1899-12-30T02:30:00"/>
        <d v="1899-12-30T03:45:00"/>
        <d v="1899-12-30T02:01:00"/>
        <d v="1899-12-30T03:16:00"/>
        <d v="1899-12-30T02:49:00"/>
        <d v="1899-12-30T02:17:00"/>
        <d v="1899-12-30T01:54:00"/>
        <d v="1899-12-30T01:52:00"/>
        <d v="1899-12-30T01:14:00"/>
      </sharedItems>
    </cacheField>
    <cacheField name="COURSE" numFmtId="0">
      <sharedItems count="8">
        <s v="DATA SCIENCE"/>
        <s v="MACHINE LEARNING"/>
        <s v="READING"/>
        <s v="OTHER"/>
        <s v="BREAK"/>
        <s v="ECONOMY"/>
        <s v="CS50"/>
        <s v="STATISTICS"/>
      </sharedItems>
    </cacheField>
    <cacheField name="RESULT" numFmtId="0">
      <sharedItems count="2">
        <s v="+"/>
        <s v="-"/>
      </sharedItems>
    </cacheField>
    <cacheField name="Minutes (STARTING TIME)" numFmtId="0" databaseField="0">
      <fieldGroup base="3">
        <rangePr groupBy="minutes" startDate="1899-12-30T00:00:00" endDate="1900-01-01T00:00:00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2/1900"/>
        </groupItems>
      </fieldGroup>
    </cacheField>
    <cacheField name="Hours (STARTING TIME)" numFmtId="0" databaseField="0">
      <fieldGroup base="3">
        <rangePr groupBy="hours" startDate="1899-12-30T00:00:00" endDate="1900-01-01T00:00:00"/>
        <groupItems count="26">
          <s v="&lt;1/0/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2/1900"/>
        </groupItems>
      </fieldGroup>
    </cacheField>
    <cacheField name="Minutes (ENDING TIME)" numFmtId="0" databaseField="0">
      <fieldGroup base="4">
        <rangePr groupBy="minutes" startDate="1899-12-30T00:00:00" endDate="1899-12-31T02:20:00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1/1900"/>
        </groupItems>
      </fieldGroup>
    </cacheField>
    <cacheField name="Hours (ENDING TIME)" numFmtId="0" databaseField="0">
      <fieldGroup base="4">
        <rangePr groupBy="hours" startDate="1899-12-30T00:00:00" endDate="1899-12-31T02:20:00"/>
        <groupItems count="26">
          <s v="&lt;1/0/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/1900"/>
        </groupItems>
      </fieldGroup>
    </cacheField>
    <cacheField name="Months (DATE)" numFmtId="0" databaseField="0">
      <fieldGroup base="0">
        <rangePr groupBy="months" startDate="2021-09-29T00:00:00" endDate="2023-05-23T00:00:00"/>
        <groupItems count="14">
          <s v="&lt;9/29/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3/2023"/>
        </groupItems>
      </fieldGroup>
    </cacheField>
    <cacheField name="Years (DATE)" numFmtId="0" databaseField="0">
      <fieldGroup base="0">
        <rangePr groupBy="years" startDate="2021-09-29T00:00:00" endDate="2023-05-23T00:00:00"/>
        <groupItems count="5">
          <s v="&lt;9/29/2021"/>
          <s v="2021"/>
          <s v="2022"/>
          <s v="2023"/>
          <s v="&gt;5/23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61">
  <r>
    <x v="0"/>
    <x v="0"/>
    <x v="0"/>
    <x v="0"/>
    <x v="0"/>
    <d v="1899-12-30T02:00:00"/>
    <x v="0"/>
    <x v="0"/>
  </r>
  <r>
    <x v="0"/>
    <x v="0"/>
    <x v="0"/>
    <x v="1"/>
    <x v="1"/>
    <d v="1899-12-30T00:50:00"/>
    <x v="1"/>
    <x v="0"/>
  </r>
  <r>
    <x v="0"/>
    <x v="0"/>
    <x v="0"/>
    <x v="2"/>
    <x v="2"/>
    <d v="1899-12-30T00:25:00"/>
    <x v="1"/>
    <x v="0"/>
  </r>
  <r>
    <x v="0"/>
    <x v="0"/>
    <x v="0"/>
    <x v="3"/>
    <x v="3"/>
    <d v="1899-12-30T00:25:00"/>
    <x v="1"/>
    <x v="0"/>
  </r>
  <r>
    <x v="0"/>
    <x v="0"/>
    <x v="0"/>
    <x v="4"/>
    <x v="4"/>
    <d v="1899-12-30T00:25:00"/>
    <x v="1"/>
    <x v="0"/>
  </r>
  <r>
    <x v="0"/>
    <x v="0"/>
    <x v="0"/>
    <x v="5"/>
    <x v="5"/>
    <d v="1899-12-30T00:29:00"/>
    <x v="2"/>
    <x v="0"/>
  </r>
  <r>
    <x v="0"/>
    <x v="0"/>
    <x v="0"/>
    <x v="6"/>
    <x v="6"/>
    <d v="1899-12-30T00:39:00"/>
    <x v="2"/>
    <x v="0"/>
  </r>
  <r>
    <x v="1"/>
    <x v="0"/>
    <x v="0"/>
    <x v="7"/>
    <x v="7"/>
    <d v="1899-12-30T00:25:00"/>
    <x v="3"/>
    <x v="0"/>
  </r>
  <r>
    <x v="1"/>
    <x v="0"/>
    <x v="0"/>
    <x v="8"/>
    <x v="8"/>
    <d v="1899-12-30T00:25:00"/>
    <x v="3"/>
    <x v="0"/>
  </r>
  <r>
    <x v="1"/>
    <x v="0"/>
    <x v="0"/>
    <x v="9"/>
    <x v="9"/>
    <d v="1899-12-30T00:25:00"/>
    <x v="2"/>
    <x v="0"/>
  </r>
  <r>
    <x v="1"/>
    <x v="0"/>
    <x v="0"/>
    <x v="10"/>
    <x v="10"/>
    <d v="1899-12-30T00:29:00"/>
    <x v="2"/>
    <x v="0"/>
  </r>
  <r>
    <x v="1"/>
    <x v="0"/>
    <x v="0"/>
    <x v="11"/>
    <x v="11"/>
    <d v="1899-12-30T00:25:00"/>
    <x v="2"/>
    <x v="0"/>
  </r>
  <r>
    <x v="1"/>
    <x v="0"/>
    <x v="0"/>
    <x v="12"/>
    <x v="12"/>
    <d v="1899-12-30T01:22:00"/>
    <x v="4"/>
    <x v="0"/>
  </r>
  <r>
    <x v="1"/>
    <x v="0"/>
    <x v="0"/>
    <x v="13"/>
    <x v="13"/>
    <d v="1899-12-30T00:25:00"/>
    <x v="0"/>
    <x v="0"/>
  </r>
  <r>
    <x v="1"/>
    <x v="0"/>
    <x v="0"/>
    <x v="14"/>
    <x v="14"/>
    <d v="1899-12-30T00:25:00"/>
    <x v="0"/>
    <x v="0"/>
  </r>
  <r>
    <x v="1"/>
    <x v="0"/>
    <x v="0"/>
    <x v="15"/>
    <x v="15"/>
    <d v="1899-12-30T00:26:00"/>
    <x v="0"/>
    <x v="0"/>
  </r>
  <r>
    <x v="1"/>
    <x v="0"/>
    <x v="0"/>
    <x v="16"/>
    <x v="16"/>
    <d v="1899-12-30T00:25:00"/>
    <x v="1"/>
    <x v="0"/>
  </r>
  <r>
    <x v="1"/>
    <x v="0"/>
    <x v="0"/>
    <x v="17"/>
    <x v="17"/>
    <d v="1899-12-30T00:28:00"/>
    <x v="1"/>
    <x v="0"/>
  </r>
  <r>
    <x v="2"/>
    <x v="1"/>
    <x v="0"/>
    <x v="18"/>
    <x v="18"/>
    <d v="1899-12-30T00:25:00"/>
    <x v="0"/>
    <x v="0"/>
  </r>
  <r>
    <x v="2"/>
    <x v="1"/>
    <x v="0"/>
    <x v="19"/>
    <x v="19"/>
    <d v="1899-12-30T00:25:00"/>
    <x v="0"/>
    <x v="0"/>
  </r>
  <r>
    <x v="2"/>
    <x v="1"/>
    <x v="0"/>
    <x v="20"/>
    <x v="20"/>
    <d v="1899-12-30T00:29:00"/>
    <x v="0"/>
    <x v="0"/>
  </r>
  <r>
    <x v="2"/>
    <x v="1"/>
    <x v="0"/>
    <x v="21"/>
    <x v="21"/>
    <d v="1899-12-30T00:27:00"/>
    <x v="0"/>
    <x v="0"/>
  </r>
  <r>
    <x v="2"/>
    <x v="1"/>
    <x v="0"/>
    <x v="22"/>
    <x v="22"/>
    <d v="1899-12-30T00:25:00"/>
    <x v="2"/>
    <x v="1"/>
  </r>
  <r>
    <x v="2"/>
    <x v="1"/>
    <x v="0"/>
    <x v="23"/>
    <x v="23"/>
    <d v="1899-12-30T01:40:00"/>
    <x v="4"/>
    <x v="0"/>
  </r>
  <r>
    <x v="2"/>
    <x v="1"/>
    <x v="0"/>
    <x v="24"/>
    <x v="24"/>
    <d v="1899-12-30T00:27:00"/>
    <x v="5"/>
    <x v="0"/>
  </r>
  <r>
    <x v="3"/>
    <x v="1"/>
    <x v="0"/>
    <x v="25"/>
    <x v="25"/>
    <d v="1899-12-30T00:20:00"/>
    <x v="1"/>
    <x v="0"/>
  </r>
  <r>
    <x v="3"/>
    <x v="1"/>
    <x v="0"/>
    <x v="26"/>
    <x v="26"/>
    <d v="1899-12-30T00:25:00"/>
    <x v="1"/>
    <x v="1"/>
  </r>
  <r>
    <x v="3"/>
    <x v="1"/>
    <x v="0"/>
    <x v="27"/>
    <x v="27"/>
    <d v="1899-12-30T00:25:00"/>
    <x v="1"/>
    <x v="1"/>
  </r>
  <r>
    <x v="3"/>
    <x v="1"/>
    <x v="0"/>
    <x v="28"/>
    <x v="28"/>
    <d v="1899-12-30T00:25:00"/>
    <x v="1"/>
    <x v="1"/>
  </r>
  <r>
    <x v="3"/>
    <x v="1"/>
    <x v="0"/>
    <x v="0"/>
    <x v="29"/>
    <d v="1899-12-30T00:36:00"/>
    <x v="2"/>
    <x v="0"/>
  </r>
  <r>
    <x v="4"/>
    <x v="1"/>
    <x v="0"/>
    <x v="29"/>
    <x v="30"/>
    <d v="1899-12-30T00:25:00"/>
    <x v="1"/>
    <x v="0"/>
  </r>
  <r>
    <x v="4"/>
    <x v="1"/>
    <x v="0"/>
    <x v="30"/>
    <x v="31"/>
    <d v="1899-12-30T00:25:00"/>
    <x v="1"/>
    <x v="0"/>
  </r>
  <r>
    <x v="5"/>
    <x v="1"/>
    <x v="0"/>
    <x v="31"/>
    <x v="32"/>
    <d v="1899-12-30T00:25:00"/>
    <x v="1"/>
    <x v="0"/>
  </r>
  <r>
    <x v="5"/>
    <x v="1"/>
    <x v="0"/>
    <x v="32"/>
    <x v="33"/>
    <d v="1899-12-30T00:24:00"/>
    <x v="2"/>
    <x v="0"/>
  </r>
  <r>
    <x v="6"/>
    <x v="1"/>
    <x v="0"/>
    <x v="33"/>
    <x v="34"/>
    <d v="1899-12-30T00:25:00"/>
    <x v="1"/>
    <x v="0"/>
  </r>
  <r>
    <x v="6"/>
    <x v="1"/>
    <x v="0"/>
    <x v="34"/>
    <x v="35"/>
    <d v="1899-12-30T00:25:00"/>
    <x v="1"/>
    <x v="0"/>
  </r>
  <r>
    <x v="6"/>
    <x v="1"/>
    <x v="0"/>
    <x v="35"/>
    <x v="36"/>
    <d v="1899-12-30T00:25:00"/>
    <x v="1"/>
    <x v="0"/>
  </r>
  <r>
    <x v="6"/>
    <x v="1"/>
    <x v="0"/>
    <x v="36"/>
    <x v="37"/>
    <d v="1899-12-30T00:25:00"/>
    <x v="1"/>
    <x v="0"/>
  </r>
  <r>
    <x v="6"/>
    <x v="1"/>
    <x v="0"/>
    <x v="37"/>
    <x v="38"/>
    <d v="1899-12-30T00:34:00"/>
    <x v="2"/>
    <x v="0"/>
  </r>
  <r>
    <x v="7"/>
    <x v="1"/>
    <x v="0"/>
    <x v="38"/>
    <x v="39"/>
    <d v="1899-12-30T00:25:00"/>
    <x v="1"/>
    <x v="0"/>
  </r>
  <r>
    <x v="7"/>
    <x v="1"/>
    <x v="0"/>
    <x v="39"/>
    <x v="40"/>
    <d v="1899-12-30T00:25:00"/>
    <x v="1"/>
    <x v="0"/>
  </r>
  <r>
    <x v="7"/>
    <x v="1"/>
    <x v="0"/>
    <x v="40"/>
    <x v="41"/>
    <d v="1899-12-30T00:37:00"/>
    <x v="1"/>
    <x v="0"/>
  </r>
  <r>
    <x v="7"/>
    <x v="1"/>
    <x v="0"/>
    <x v="0"/>
    <x v="42"/>
    <d v="1899-12-30T00:52:00"/>
    <x v="2"/>
    <x v="0"/>
  </r>
  <r>
    <x v="8"/>
    <x v="1"/>
    <x v="0"/>
    <x v="41"/>
    <x v="43"/>
    <d v="1899-12-30T00:25:00"/>
    <x v="1"/>
    <x v="0"/>
  </r>
  <r>
    <x v="8"/>
    <x v="1"/>
    <x v="0"/>
    <x v="42"/>
    <x v="44"/>
    <d v="1899-12-30T00:25:00"/>
    <x v="1"/>
    <x v="0"/>
  </r>
  <r>
    <x v="8"/>
    <x v="1"/>
    <x v="0"/>
    <x v="43"/>
    <x v="45"/>
    <d v="1899-12-30T00:25:00"/>
    <x v="1"/>
    <x v="0"/>
  </r>
  <r>
    <x v="8"/>
    <x v="1"/>
    <x v="0"/>
    <x v="44"/>
    <x v="46"/>
    <d v="1899-12-30T00:40:00"/>
    <x v="1"/>
    <x v="0"/>
  </r>
  <r>
    <x v="8"/>
    <x v="1"/>
    <x v="0"/>
    <x v="45"/>
    <x v="12"/>
    <d v="1899-12-30T01:43:00"/>
    <x v="4"/>
    <x v="0"/>
  </r>
  <r>
    <x v="8"/>
    <x v="1"/>
    <x v="0"/>
    <x v="13"/>
    <x v="13"/>
    <d v="1899-12-30T00:20:00"/>
    <x v="3"/>
    <x v="0"/>
  </r>
  <r>
    <x v="8"/>
    <x v="1"/>
    <x v="0"/>
    <x v="14"/>
    <x v="14"/>
    <d v="1899-12-30T00:25:00"/>
    <x v="3"/>
    <x v="0"/>
  </r>
  <r>
    <x v="8"/>
    <x v="1"/>
    <x v="0"/>
    <x v="15"/>
    <x v="15"/>
    <d v="1899-12-30T00:25:00"/>
    <x v="1"/>
    <x v="0"/>
  </r>
  <r>
    <x v="8"/>
    <x v="1"/>
    <x v="0"/>
    <x v="16"/>
    <x v="16"/>
    <d v="1899-12-30T00:25:00"/>
    <x v="1"/>
    <x v="0"/>
  </r>
  <r>
    <x v="8"/>
    <x v="1"/>
    <x v="0"/>
    <x v="46"/>
    <x v="47"/>
    <d v="1899-12-30T00:25:00"/>
    <x v="1"/>
    <x v="0"/>
  </r>
  <r>
    <x v="8"/>
    <x v="1"/>
    <x v="0"/>
    <x v="47"/>
    <x v="48"/>
    <d v="1899-12-30T00:26:00"/>
    <x v="1"/>
    <x v="0"/>
  </r>
  <r>
    <x v="8"/>
    <x v="1"/>
    <x v="0"/>
    <x v="48"/>
    <x v="49"/>
    <d v="1899-12-30T00:25:00"/>
    <x v="2"/>
    <x v="0"/>
  </r>
  <r>
    <x v="8"/>
    <x v="1"/>
    <x v="0"/>
    <x v="49"/>
    <x v="50"/>
    <d v="1899-12-30T00:28:00"/>
    <x v="2"/>
    <x v="0"/>
  </r>
  <r>
    <x v="9"/>
    <x v="1"/>
    <x v="0"/>
    <x v="48"/>
    <x v="49"/>
    <d v="1899-12-30T00:45:00"/>
    <x v="1"/>
    <x v="0"/>
  </r>
  <r>
    <x v="9"/>
    <x v="1"/>
    <x v="0"/>
    <x v="50"/>
    <x v="51"/>
    <d v="1899-12-30T00:31:00"/>
    <x v="1"/>
    <x v="0"/>
  </r>
  <r>
    <x v="9"/>
    <x v="1"/>
    <x v="0"/>
    <x v="51"/>
    <x v="52"/>
    <d v="1899-12-30T00:25:00"/>
    <x v="2"/>
    <x v="0"/>
  </r>
  <r>
    <x v="10"/>
    <x v="1"/>
    <x v="0"/>
    <x v="52"/>
    <x v="23"/>
    <d v="1899-12-30T00:22:00"/>
    <x v="2"/>
    <x v="0"/>
  </r>
  <r>
    <x v="10"/>
    <x v="1"/>
    <x v="0"/>
    <x v="53"/>
    <x v="53"/>
    <d v="1899-12-30T00:35:00"/>
    <x v="2"/>
    <x v="0"/>
  </r>
  <r>
    <x v="11"/>
    <x v="1"/>
    <x v="0"/>
    <x v="54"/>
    <x v="54"/>
    <d v="1899-12-30T00:25:00"/>
    <x v="1"/>
    <x v="0"/>
  </r>
  <r>
    <x v="11"/>
    <x v="1"/>
    <x v="0"/>
    <x v="55"/>
    <x v="55"/>
    <d v="1899-12-30T00:29:00"/>
    <x v="1"/>
    <x v="0"/>
  </r>
  <r>
    <x v="11"/>
    <x v="1"/>
    <x v="0"/>
    <x v="56"/>
    <x v="56"/>
    <d v="1899-12-30T00:25:00"/>
    <x v="1"/>
    <x v="0"/>
  </r>
  <r>
    <x v="11"/>
    <x v="1"/>
    <x v="0"/>
    <x v="57"/>
    <x v="57"/>
    <d v="1899-12-30T00:35:00"/>
    <x v="1"/>
    <x v="0"/>
  </r>
  <r>
    <x v="11"/>
    <x v="1"/>
    <x v="0"/>
    <x v="58"/>
    <x v="58"/>
    <d v="1899-12-30T00:25:00"/>
    <x v="2"/>
    <x v="0"/>
  </r>
  <r>
    <x v="11"/>
    <x v="1"/>
    <x v="0"/>
    <x v="59"/>
    <x v="59"/>
    <d v="1899-12-30T00:25:00"/>
    <x v="2"/>
    <x v="0"/>
  </r>
  <r>
    <x v="11"/>
    <x v="1"/>
    <x v="0"/>
    <x v="60"/>
    <x v="60"/>
    <d v="1899-12-30T00:26:00"/>
    <x v="2"/>
    <x v="0"/>
  </r>
  <r>
    <x v="12"/>
    <x v="1"/>
    <x v="0"/>
    <x v="1"/>
    <x v="61"/>
    <d v="1899-12-30T01:07:00"/>
    <x v="2"/>
    <x v="0"/>
  </r>
  <r>
    <x v="13"/>
    <x v="1"/>
    <x v="0"/>
    <x v="61"/>
    <x v="62"/>
    <d v="1899-12-30T00:25:00"/>
    <x v="2"/>
    <x v="0"/>
  </r>
  <r>
    <x v="13"/>
    <x v="1"/>
    <x v="0"/>
    <x v="62"/>
    <x v="63"/>
    <d v="1899-12-30T00:37:00"/>
    <x v="2"/>
    <x v="0"/>
  </r>
  <r>
    <x v="13"/>
    <x v="1"/>
    <x v="0"/>
    <x v="63"/>
    <x v="64"/>
    <d v="1899-12-30T00:27:00"/>
    <x v="1"/>
    <x v="0"/>
  </r>
  <r>
    <x v="13"/>
    <x v="1"/>
    <x v="0"/>
    <x v="38"/>
    <x v="39"/>
    <d v="1899-12-30T00:47:00"/>
    <x v="1"/>
    <x v="0"/>
  </r>
  <r>
    <x v="14"/>
    <x v="1"/>
    <x v="0"/>
    <x v="64"/>
    <x v="65"/>
    <d v="1899-12-30T01:05:00"/>
    <x v="3"/>
    <x v="0"/>
  </r>
  <r>
    <x v="14"/>
    <x v="1"/>
    <x v="0"/>
    <x v="1"/>
    <x v="61"/>
    <d v="1899-12-30T01:45:00"/>
    <x v="3"/>
    <x v="0"/>
  </r>
  <r>
    <x v="14"/>
    <x v="1"/>
    <x v="0"/>
    <x v="1"/>
    <x v="61"/>
    <d v="1899-12-30T00:58:00"/>
    <x v="2"/>
    <x v="0"/>
  </r>
  <r>
    <x v="15"/>
    <x v="1"/>
    <x v="0"/>
    <x v="65"/>
    <x v="66"/>
    <d v="1899-12-30T00:33:00"/>
    <x v="1"/>
    <x v="0"/>
  </r>
  <r>
    <x v="15"/>
    <x v="1"/>
    <x v="0"/>
    <x v="66"/>
    <x v="67"/>
    <d v="1899-12-30T00:25:00"/>
    <x v="1"/>
    <x v="0"/>
  </r>
  <r>
    <x v="15"/>
    <x v="1"/>
    <x v="0"/>
    <x v="67"/>
    <x v="68"/>
    <d v="1899-12-30T00:26:00"/>
    <x v="1"/>
    <x v="0"/>
  </r>
  <r>
    <x v="15"/>
    <x v="1"/>
    <x v="0"/>
    <x v="68"/>
    <x v="69"/>
    <d v="1899-12-30T00:33:00"/>
    <x v="1"/>
    <x v="0"/>
  </r>
  <r>
    <x v="15"/>
    <x v="1"/>
    <x v="0"/>
    <x v="69"/>
    <x v="70"/>
    <d v="1899-12-30T00:32:00"/>
    <x v="1"/>
    <x v="0"/>
  </r>
  <r>
    <x v="16"/>
    <x v="1"/>
    <x v="0"/>
    <x v="70"/>
    <x v="71"/>
    <d v="1899-12-30T00:24:00"/>
    <x v="1"/>
    <x v="0"/>
  </r>
  <r>
    <x v="16"/>
    <x v="1"/>
    <x v="0"/>
    <x v="40"/>
    <x v="41"/>
    <d v="1899-12-30T00:27:00"/>
    <x v="1"/>
    <x v="0"/>
  </r>
  <r>
    <x v="16"/>
    <x v="1"/>
    <x v="0"/>
    <x v="71"/>
    <x v="23"/>
    <d v="1899-12-30T00:31:00"/>
    <x v="1"/>
    <x v="0"/>
  </r>
  <r>
    <x v="16"/>
    <x v="1"/>
    <x v="0"/>
    <x v="72"/>
    <x v="72"/>
    <d v="1899-12-30T00:25:00"/>
    <x v="1"/>
    <x v="0"/>
  </r>
  <r>
    <x v="16"/>
    <x v="1"/>
    <x v="0"/>
    <x v="73"/>
    <x v="73"/>
    <d v="1899-12-30T00:25:00"/>
    <x v="1"/>
    <x v="0"/>
  </r>
  <r>
    <x v="16"/>
    <x v="1"/>
    <x v="0"/>
    <x v="74"/>
    <x v="74"/>
    <d v="1899-12-30T00:42:00"/>
    <x v="1"/>
    <x v="0"/>
  </r>
  <r>
    <x v="17"/>
    <x v="1"/>
    <x v="0"/>
    <x v="75"/>
    <x v="75"/>
    <d v="1899-12-30T00:36:00"/>
    <x v="3"/>
    <x v="0"/>
  </r>
  <r>
    <x v="18"/>
    <x v="1"/>
    <x v="0"/>
    <x v="76"/>
    <x v="76"/>
    <d v="1899-12-30T00:29:00"/>
    <x v="1"/>
    <x v="0"/>
  </r>
  <r>
    <x v="18"/>
    <x v="1"/>
    <x v="0"/>
    <x v="77"/>
    <x v="77"/>
    <d v="1899-12-30T00:25:00"/>
    <x v="1"/>
    <x v="0"/>
  </r>
  <r>
    <x v="18"/>
    <x v="1"/>
    <x v="0"/>
    <x v="78"/>
    <x v="78"/>
    <d v="1899-12-30T00:25:00"/>
    <x v="3"/>
    <x v="0"/>
  </r>
  <r>
    <x v="18"/>
    <x v="1"/>
    <x v="0"/>
    <x v="79"/>
    <x v="79"/>
    <d v="1899-12-30T00:57:00"/>
    <x v="3"/>
    <x v="0"/>
  </r>
  <r>
    <x v="19"/>
    <x v="1"/>
    <x v="0"/>
    <x v="80"/>
    <x v="80"/>
    <d v="1899-12-30T00:25:00"/>
    <x v="1"/>
    <x v="0"/>
  </r>
  <r>
    <x v="19"/>
    <x v="1"/>
    <x v="0"/>
    <x v="81"/>
    <x v="81"/>
    <d v="1899-12-30T00:25:00"/>
    <x v="1"/>
    <x v="0"/>
  </r>
  <r>
    <x v="19"/>
    <x v="1"/>
    <x v="0"/>
    <x v="82"/>
    <x v="12"/>
    <d v="1899-12-30T00:25:00"/>
    <x v="1"/>
    <x v="0"/>
  </r>
  <r>
    <x v="19"/>
    <x v="1"/>
    <x v="0"/>
    <x v="83"/>
    <x v="82"/>
    <d v="1899-12-30T00:25:00"/>
    <x v="3"/>
    <x v="0"/>
  </r>
  <r>
    <x v="19"/>
    <x v="1"/>
    <x v="0"/>
    <x v="84"/>
    <x v="83"/>
    <d v="1899-12-30T00:50:00"/>
    <x v="3"/>
    <x v="0"/>
  </r>
  <r>
    <x v="19"/>
    <x v="1"/>
    <x v="0"/>
    <x v="85"/>
    <x v="84"/>
    <d v="1899-12-30T00:31:00"/>
    <x v="3"/>
    <x v="0"/>
  </r>
  <r>
    <x v="19"/>
    <x v="1"/>
    <x v="0"/>
    <x v="86"/>
    <x v="85"/>
    <d v="1899-12-30T00:29:00"/>
    <x v="3"/>
    <x v="0"/>
  </r>
  <r>
    <x v="20"/>
    <x v="1"/>
    <x v="0"/>
    <x v="87"/>
    <x v="86"/>
    <d v="1899-12-30T00:25:00"/>
    <x v="1"/>
    <x v="0"/>
  </r>
  <r>
    <x v="20"/>
    <x v="1"/>
    <x v="0"/>
    <x v="88"/>
    <x v="87"/>
    <d v="1899-12-30T00:25:00"/>
    <x v="1"/>
    <x v="0"/>
  </r>
  <r>
    <x v="20"/>
    <x v="1"/>
    <x v="0"/>
    <x v="0"/>
    <x v="61"/>
    <d v="1899-12-30T00:43:00"/>
    <x v="1"/>
    <x v="0"/>
  </r>
  <r>
    <x v="20"/>
    <x v="1"/>
    <x v="0"/>
    <x v="89"/>
    <x v="88"/>
    <d v="1899-12-30T00:25:00"/>
    <x v="1"/>
    <x v="0"/>
  </r>
  <r>
    <x v="20"/>
    <x v="1"/>
    <x v="0"/>
    <x v="90"/>
    <x v="89"/>
    <d v="1899-12-30T00:25:00"/>
    <x v="1"/>
    <x v="0"/>
  </r>
  <r>
    <x v="20"/>
    <x v="1"/>
    <x v="0"/>
    <x v="91"/>
    <x v="90"/>
    <d v="1899-12-30T00:25:00"/>
    <x v="1"/>
    <x v="0"/>
  </r>
  <r>
    <x v="20"/>
    <x v="1"/>
    <x v="0"/>
    <x v="92"/>
    <x v="91"/>
    <d v="1899-12-30T00:58:00"/>
    <x v="1"/>
    <x v="0"/>
  </r>
  <r>
    <x v="20"/>
    <x v="1"/>
    <x v="0"/>
    <x v="1"/>
    <x v="61"/>
    <d v="1899-12-30T02:00:00"/>
    <x v="3"/>
    <x v="0"/>
  </r>
  <r>
    <x v="20"/>
    <x v="1"/>
    <x v="0"/>
    <x v="1"/>
    <x v="61"/>
    <d v="1899-12-30T01:00:00"/>
    <x v="2"/>
    <x v="0"/>
  </r>
  <r>
    <x v="21"/>
    <x v="1"/>
    <x v="0"/>
    <x v="1"/>
    <x v="61"/>
    <d v="1899-12-30T02:20:00"/>
    <x v="1"/>
    <x v="0"/>
  </r>
  <r>
    <x v="22"/>
    <x v="1"/>
    <x v="0"/>
    <x v="1"/>
    <x v="61"/>
    <d v="1899-12-30T01:30:00"/>
    <x v="2"/>
    <x v="0"/>
  </r>
  <r>
    <x v="23"/>
    <x v="1"/>
    <x v="0"/>
    <x v="13"/>
    <x v="13"/>
    <d v="1899-12-30T00:25:00"/>
    <x v="1"/>
    <x v="0"/>
  </r>
  <r>
    <x v="23"/>
    <x v="1"/>
    <x v="0"/>
    <x v="14"/>
    <x v="14"/>
    <d v="1899-12-30T00:25:00"/>
    <x v="1"/>
    <x v="0"/>
  </r>
  <r>
    <x v="23"/>
    <x v="1"/>
    <x v="0"/>
    <x v="15"/>
    <x v="15"/>
    <d v="1899-12-30T00:25:00"/>
    <x v="1"/>
    <x v="0"/>
  </r>
  <r>
    <x v="23"/>
    <x v="1"/>
    <x v="0"/>
    <x v="16"/>
    <x v="16"/>
    <d v="1899-12-30T00:32:00"/>
    <x v="1"/>
    <x v="0"/>
  </r>
  <r>
    <x v="23"/>
    <x v="1"/>
    <x v="0"/>
    <x v="17"/>
    <x v="92"/>
    <d v="1899-12-30T00:25:00"/>
    <x v="1"/>
    <x v="0"/>
  </r>
  <r>
    <x v="23"/>
    <x v="1"/>
    <x v="0"/>
    <x v="93"/>
    <x v="93"/>
    <d v="1899-12-30T00:27:00"/>
    <x v="4"/>
    <x v="0"/>
  </r>
  <r>
    <x v="23"/>
    <x v="1"/>
    <x v="0"/>
    <x v="47"/>
    <x v="48"/>
    <d v="1899-12-30T00:25:00"/>
    <x v="1"/>
    <x v="0"/>
  </r>
  <r>
    <x v="23"/>
    <x v="1"/>
    <x v="0"/>
    <x v="48"/>
    <x v="49"/>
    <d v="1899-12-30T00:25:00"/>
    <x v="1"/>
    <x v="0"/>
  </r>
  <r>
    <x v="23"/>
    <x v="1"/>
    <x v="0"/>
    <x v="50"/>
    <x v="51"/>
    <d v="1899-12-30T00:25:00"/>
    <x v="1"/>
    <x v="0"/>
  </r>
  <r>
    <x v="23"/>
    <x v="1"/>
    <x v="0"/>
    <x v="94"/>
    <x v="94"/>
    <d v="1899-12-30T01:27:00"/>
    <x v="1"/>
    <x v="0"/>
  </r>
  <r>
    <x v="24"/>
    <x v="2"/>
    <x v="0"/>
    <x v="95"/>
    <x v="95"/>
    <d v="1899-12-30T00:49:00"/>
    <x v="1"/>
    <x v="0"/>
  </r>
  <r>
    <x v="24"/>
    <x v="2"/>
    <x v="0"/>
    <x v="96"/>
    <x v="96"/>
    <d v="1899-12-30T00:45:00"/>
    <x v="1"/>
    <x v="0"/>
  </r>
  <r>
    <x v="24"/>
    <x v="2"/>
    <x v="0"/>
    <x v="97"/>
    <x v="97"/>
    <d v="1899-12-30T00:37:00"/>
    <x v="1"/>
    <x v="0"/>
  </r>
  <r>
    <x v="25"/>
    <x v="2"/>
    <x v="0"/>
    <x v="1"/>
    <x v="61"/>
    <d v="1899-12-30T00:25:00"/>
    <x v="1"/>
    <x v="0"/>
  </r>
  <r>
    <x v="26"/>
    <x v="2"/>
    <x v="0"/>
    <x v="1"/>
    <x v="61"/>
    <d v="1899-12-30T00:17:00"/>
    <x v="2"/>
    <x v="0"/>
  </r>
  <r>
    <x v="27"/>
    <x v="2"/>
    <x v="0"/>
    <x v="98"/>
    <x v="98"/>
    <d v="1899-12-30T00:25:00"/>
    <x v="1"/>
    <x v="0"/>
  </r>
  <r>
    <x v="27"/>
    <x v="2"/>
    <x v="0"/>
    <x v="99"/>
    <x v="99"/>
    <d v="1899-12-30T00:20:00"/>
    <x v="1"/>
    <x v="0"/>
  </r>
  <r>
    <x v="27"/>
    <x v="2"/>
    <x v="0"/>
    <x v="100"/>
    <x v="100"/>
    <d v="1899-12-30T00:25:00"/>
    <x v="3"/>
    <x v="0"/>
  </r>
  <r>
    <x v="27"/>
    <x v="2"/>
    <x v="0"/>
    <x v="101"/>
    <x v="101"/>
    <d v="1899-12-30T00:25:00"/>
    <x v="1"/>
    <x v="0"/>
  </r>
  <r>
    <x v="27"/>
    <x v="2"/>
    <x v="0"/>
    <x v="102"/>
    <x v="102"/>
    <d v="1899-12-30T00:25:00"/>
    <x v="1"/>
    <x v="0"/>
  </r>
  <r>
    <x v="27"/>
    <x v="2"/>
    <x v="0"/>
    <x v="103"/>
    <x v="103"/>
    <d v="1899-12-30T01:11:00"/>
    <x v="4"/>
    <x v="0"/>
  </r>
  <r>
    <x v="27"/>
    <x v="2"/>
    <x v="0"/>
    <x v="104"/>
    <x v="104"/>
    <d v="1899-12-30T00:28:00"/>
    <x v="1"/>
    <x v="0"/>
  </r>
  <r>
    <x v="27"/>
    <x v="2"/>
    <x v="0"/>
    <x v="105"/>
    <x v="105"/>
    <d v="1899-12-30T00:25:00"/>
    <x v="1"/>
    <x v="0"/>
  </r>
  <r>
    <x v="27"/>
    <x v="2"/>
    <x v="0"/>
    <x v="1"/>
    <x v="61"/>
    <d v="1899-12-30T01:00:00"/>
    <x v="1"/>
    <x v="0"/>
  </r>
  <r>
    <x v="27"/>
    <x v="2"/>
    <x v="0"/>
    <x v="1"/>
    <x v="61"/>
    <d v="1899-12-30T00:30:00"/>
    <x v="3"/>
    <x v="0"/>
  </r>
  <r>
    <x v="27"/>
    <x v="2"/>
    <x v="0"/>
    <x v="106"/>
    <x v="106"/>
    <d v="1899-12-30T00:14:00"/>
    <x v="3"/>
    <x v="0"/>
  </r>
  <r>
    <x v="27"/>
    <x v="2"/>
    <x v="0"/>
    <x v="1"/>
    <x v="61"/>
    <d v="1899-12-30T00:45:00"/>
    <x v="3"/>
    <x v="0"/>
  </r>
  <r>
    <x v="28"/>
    <x v="2"/>
    <x v="0"/>
    <x v="51"/>
    <x v="52"/>
    <d v="1899-12-30T00:25:00"/>
    <x v="1"/>
    <x v="0"/>
  </r>
  <r>
    <x v="28"/>
    <x v="2"/>
    <x v="0"/>
    <x v="107"/>
    <x v="107"/>
    <d v="1899-12-30T00:25:00"/>
    <x v="1"/>
    <x v="0"/>
  </r>
  <r>
    <x v="28"/>
    <x v="2"/>
    <x v="0"/>
    <x v="108"/>
    <x v="108"/>
    <d v="1899-12-30T00:20:00"/>
    <x v="1"/>
    <x v="0"/>
  </r>
  <r>
    <x v="29"/>
    <x v="2"/>
    <x v="0"/>
    <x v="56"/>
    <x v="56"/>
    <d v="1899-12-30T00:25:00"/>
    <x v="1"/>
    <x v="0"/>
  </r>
  <r>
    <x v="29"/>
    <x v="2"/>
    <x v="0"/>
    <x v="109"/>
    <x v="109"/>
    <d v="1899-12-30T00:25:00"/>
    <x v="1"/>
    <x v="0"/>
  </r>
  <r>
    <x v="29"/>
    <x v="2"/>
    <x v="0"/>
    <x v="2"/>
    <x v="2"/>
    <d v="1899-12-30T00:25:00"/>
    <x v="3"/>
    <x v="0"/>
  </r>
  <r>
    <x v="30"/>
    <x v="2"/>
    <x v="0"/>
    <x v="110"/>
    <x v="110"/>
    <d v="1899-12-30T00:22:00"/>
    <x v="1"/>
    <x v="0"/>
  </r>
  <r>
    <x v="30"/>
    <x v="2"/>
    <x v="0"/>
    <x v="111"/>
    <x v="111"/>
    <d v="1899-12-30T00:52:00"/>
    <x v="1"/>
    <x v="0"/>
  </r>
  <r>
    <x v="30"/>
    <x v="2"/>
    <x v="0"/>
    <x v="107"/>
    <x v="112"/>
    <d v="1899-12-30T00:43:00"/>
    <x v="0"/>
    <x v="0"/>
  </r>
  <r>
    <x v="31"/>
    <x v="2"/>
    <x v="0"/>
    <x v="71"/>
    <x v="23"/>
    <d v="1899-12-30T00:25:00"/>
    <x v="1"/>
    <x v="0"/>
  </r>
  <r>
    <x v="31"/>
    <x v="2"/>
    <x v="0"/>
    <x v="72"/>
    <x v="72"/>
    <d v="1899-12-30T00:30:00"/>
    <x v="1"/>
    <x v="0"/>
  </r>
  <r>
    <x v="31"/>
    <x v="2"/>
    <x v="0"/>
    <x v="112"/>
    <x v="113"/>
    <d v="1899-12-30T00:25:00"/>
    <x v="3"/>
    <x v="0"/>
  </r>
  <r>
    <x v="31"/>
    <x v="2"/>
    <x v="0"/>
    <x v="1"/>
    <x v="61"/>
    <d v="1899-12-30T00:56:00"/>
    <x v="2"/>
    <x v="0"/>
  </r>
  <r>
    <x v="32"/>
    <x v="2"/>
    <x v="0"/>
    <x v="113"/>
    <x v="114"/>
    <d v="1899-12-30T00:25:00"/>
    <x v="1"/>
    <x v="0"/>
  </r>
  <r>
    <x v="32"/>
    <x v="2"/>
    <x v="0"/>
    <x v="114"/>
    <x v="115"/>
    <d v="1899-12-30T00:25:00"/>
    <x v="1"/>
    <x v="0"/>
  </r>
  <r>
    <x v="32"/>
    <x v="2"/>
    <x v="0"/>
    <x v="115"/>
    <x v="116"/>
    <d v="1899-12-30T00:25:00"/>
    <x v="1"/>
    <x v="0"/>
  </r>
  <r>
    <x v="32"/>
    <x v="2"/>
    <x v="0"/>
    <x v="116"/>
    <x v="117"/>
    <d v="1899-12-30T00:30:00"/>
    <x v="4"/>
    <x v="0"/>
  </r>
  <r>
    <x v="32"/>
    <x v="2"/>
    <x v="0"/>
    <x v="117"/>
    <x v="118"/>
    <d v="1899-12-30T00:25:00"/>
    <x v="1"/>
    <x v="0"/>
  </r>
  <r>
    <x v="32"/>
    <x v="2"/>
    <x v="0"/>
    <x v="118"/>
    <x v="119"/>
    <d v="1899-12-30T00:25:00"/>
    <x v="1"/>
    <x v="0"/>
  </r>
  <r>
    <x v="32"/>
    <x v="2"/>
    <x v="0"/>
    <x v="119"/>
    <x v="120"/>
    <d v="1899-12-30T00:25:00"/>
    <x v="3"/>
    <x v="0"/>
  </r>
  <r>
    <x v="32"/>
    <x v="2"/>
    <x v="0"/>
    <x v="120"/>
    <x v="121"/>
    <d v="1899-12-30T00:19:00"/>
    <x v="3"/>
    <x v="0"/>
  </r>
  <r>
    <x v="32"/>
    <x v="2"/>
    <x v="0"/>
    <x v="121"/>
    <x v="98"/>
    <d v="1899-12-30T01:08:00"/>
    <x v="4"/>
    <x v="0"/>
  </r>
  <r>
    <x v="32"/>
    <x v="2"/>
    <x v="0"/>
    <x v="122"/>
    <x v="122"/>
    <d v="1899-12-30T00:25:00"/>
    <x v="3"/>
    <x v="0"/>
  </r>
  <r>
    <x v="32"/>
    <x v="2"/>
    <x v="0"/>
    <x v="123"/>
    <x v="123"/>
    <d v="1899-12-30T00:25:00"/>
    <x v="1"/>
    <x v="0"/>
  </r>
  <r>
    <x v="32"/>
    <x v="2"/>
    <x v="0"/>
    <x v="124"/>
    <x v="124"/>
    <d v="1899-12-30T00:25:00"/>
    <x v="1"/>
    <x v="0"/>
  </r>
  <r>
    <x v="32"/>
    <x v="2"/>
    <x v="0"/>
    <x v="125"/>
    <x v="125"/>
    <d v="1899-12-30T00:25:00"/>
    <x v="1"/>
    <x v="0"/>
  </r>
  <r>
    <x v="32"/>
    <x v="2"/>
    <x v="0"/>
    <x v="103"/>
    <x v="126"/>
    <d v="1899-12-30T00:30:00"/>
    <x v="1"/>
    <x v="0"/>
  </r>
  <r>
    <x v="33"/>
    <x v="2"/>
    <x v="0"/>
    <x v="1"/>
    <x v="1"/>
    <d v="1899-12-30T01:30:00"/>
    <x v="1"/>
    <x v="0"/>
  </r>
  <r>
    <x v="34"/>
    <x v="2"/>
    <x v="0"/>
    <x v="126"/>
    <x v="127"/>
    <d v="1899-12-30T00:25:00"/>
    <x v="1"/>
    <x v="0"/>
  </r>
  <r>
    <x v="34"/>
    <x v="2"/>
    <x v="0"/>
    <x v="127"/>
    <x v="128"/>
    <d v="1899-12-30T00:25:00"/>
    <x v="1"/>
    <x v="0"/>
  </r>
  <r>
    <x v="34"/>
    <x v="2"/>
    <x v="0"/>
    <x v="128"/>
    <x v="129"/>
    <d v="1899-12-30T00:25:00"/>
    <x v="1"/>
    <x v="0"/>
  </r>
  <r>
    <x v="34"/>
    <x v="2"/>
    <x v="0"/>
    <x v="129"/>
    <x v="130"/>
    <d v="1899-12-30T00:33:00"/>
    <x v="1"/>
    <x v="0"/>
  </r>
  <r>
    <x v="34"/>
    <x v="2"/>
    <x v="0"/>
    <x v="130"/>
    <x v="131"/>
    <d v="1899-12-30T00:22:00"/>
    <x v="4"/>
    <x v="0"/>
  </r>
  <r>
    <x v="34"/>
    <x v="2"/>
    <x v="0"/>
    <x v="131"/>
    <x v="132"/>
    <d v="1899-12-30T00:25:00"/>
    <x v="1"/>
    <x v="0"/>
  </r>
  <r>
    <x v="34"/>
    <x v="2"/>
    <x v="0"/>
    <x v="132"/>
    <x v="133"/>
    <d v="1899-12-30T00:25:00"/>
    <x v="1"/>
    <x v="0"/>
  </r>
  <r>
    <x v="34"/>
    <x v="2"/>
    <x v="0"/>
    <x v="133"/>
    <x v="134"/>
    <d v="1899-12-30T00:25:00"/>
    <x v="1"/>
    <x v="0"/>
  </r>
  <r>
    <x v="35"/>
    <x v="2"/>
    <x v="0"/>
    <x v="134"/>
    <x v="135"/>
    <d v="1899-12-30T00:25:00"/>
    <x v="1"/>
    <x v="0"/>
  </r>
  <r>
    <x v="35"/>
    <x v="2"/>
    <x v="0"/>
    <x v="135"/>
    <x v="136"/>
    <d v="1899-12-30T00:25:00"/>
    <x v="1"/>
    <x v="0"/>
  </r>
  <r>
    <x v="35"/>
    <x v="2"/>
    <x v="0"/>
    <x v="136"/>
    <x v="137"/>
    <d v="1899-12-30T00:25:00"/>
    <x v="1"/>
    <x v="0"/>
  </r>
  <r>
    <x v="35"/>
    <x v="2"/>
    <x v="0"/>
    <x v="137"/>
    <x v="138"/>
    <d v="1899-12-30T01:01:00"/>
    <x v="1"/>
    <x v="0"/>
  </r>
  <r>
    <x v="36"/>
    <x v="2"/>
    <x v="0"/>
    <x v="138"/>
    <x v="139"/>
    <d v="1899-12-30T00:25:00"/>
    <x v="1"/>
    <x v="0"/>
  </r>
  <r>
    <x v="36"/>
    <x v="2"/>
    <x v="0"/>
    <x v="58"/>
    <x v="58"/>
    <d v="1899-12-30T00:25:00"/>
    <x v="1"/>
    <x v="0"/>
  </r>
  <r>
    <x v="36"/>
    <x v="2"/>
    <x v="0"/>
    <x v="59"/>
    <x v="59"/>
    <d v="1899-12-30T00:25:00"/>
    <x v="1"/>
    <x v="0"/>
  </r>
  <r>
    <x v="36"/>
    <x v="2"/>
    <x v="0"/>
    <x v="139"/>
    <x v="140"/>
    <d v="1899-12-30T00:25:00"/>
    <x v="1"/>
    <x v="0"/>
  </r>
  <r>
    <x v="36"/>
    <x v="2"/>
    <x v="0"/>
    <x v="140"/>
    <x v="49"/>
    <d v="1899-12-30T00:33:00"/>
    <x v="4"/>
    <x v="0"/>
  </r>
  <r>
    <x v="36"/>
    <x v="2"/>
    <x v="0"/>
    <x v="111"/>
    <x v="141"/>
    <d v="1899-12-30T00:25:00"/>
    <x v="1"/>
    <x v="0"/>
  </r>
  <r>
    <x v="36"/>
    <x v="2"/>
    <x v="0"/>
    <x v="141"/>
    <x v="142"/>
    <d v="1899-12-30T00:25:00"/>
    <x v="1"/>
    <x v="0"/>
  </r>
  <r>
    <x v="36"/>
    <x v="2"/>
    <x v="0"/>
    <x v="142"/>
    <x v="143"/>
    <d v="1899-12-30T00:30:00"/>
    <x v="1"/>
    <x v="0"/>
  </r>
  <r>
    <x v="36"/>
    <x v="2"/>
    <x v="0"/>
    <x v="143"/>
    <x v="144"/>
    <d v="1899-12-30T00:25:00"/>
    <x v="1"/>
    <x v="0"/>
  </r>
  <r>
    <x v="36"/>
    <x v="2"/>
    <x v="0"/>
    <x v="144"/>
    <x v="145"/>
    <d v="1899-12-30T00:25:00"/>
    <x v="1"/>
    <x v="0"/>
  </r>
  <r>
    <x v="37"/>
    <x v="2"/>
    <x v="0"/>
    <x v="81"/>
    <x v="81"/>
    <d v="1899-12-30T00:25:00"/>
    <x v="1"/>
    <x v="0"/>
  </r>
  <r>
    <x v="37"/>
    <x v="2"/>
    <x v="0"/>
    <x v="82"/>
    <x v="12"/>
    <d v="1899-12-30T00:25:00"/>
    <x v="1"/>
    <x v="0"/>
  </r>
  <r>
    <x v="37"/>
    <x v="2"/>
    <x v="0"/>
    <x v="145"/>
    <x v="146"/>
    <d v="1899-12-30T00:25:00"/>
    <x v="1"/>
    <x v="0"/>
  </r>
  <r>
    <x v="37"/>
    <x v="2"/>
    <x v="0"/>
    <x v="146"/>
    <x v="147"/>
    <d v="1899-12-30T00:25:00"/>
    <x v="1"/>
    <x v="0"/>
  </r>
  <r>
    <x v="37"/>
    <x v="2"/>
    <x v="0"/>
    <x v="147"/>
    <x v="3"/>
    <d v="1899-12-30T00:36:00"/>
    <x v="1"/>
    <x v="0"/>
  </r>
  <r>
    <x v="37"/>
    <x v="2"/>
    <x v="0"/>
    <x v="148"/>
    <x v="148"/>
    <d v="1899-12-30T00:45:00"/>
    <x v="4"/>
    <x v="0"/>
  </r>
  <r>
    <x v="37"/>
    <x v="2"/>
    <x v="0"/>
    <x v="46"/>
    <x v="47"/>
    <d v="1899-12-30T00:25:00"/>
    <x v="1"/>
    <x v="0"/>
  </r>
  <r>
    <x v="37"/>
    <x v="2"/>
    <x v="0"/>
    <x v="47"/>
    <x v="48"/>
    <d v="1899-12-30T00:25:00"/>
    <x v="1"/>
    <x v="0"/>
  </r>
  <r>
    <x v="37"/>
    <x v="2"/>
    <x v="0"/>
    <x v="48"/>
    <x v="49"/>
    <d v="1899-12-30T00:26:00"/>
    <x v="1"/>
    <x v="0"/>
  </r>
  <r>
    <x v="37"/>
    <x v="2"/>
    <x v="0"/>
    <x v="49"/>
    <x v="50"/>
    <d v="1899-12-30T00:25:00"/>
    <x v="1"/>
    <x v="0"/>
  </r>
  <r>
    <x v="37"/>
    <x v="2"/>
    <x v="0"/>
    <x v="149"/>
    <x v="149"/>
    <d v="1899-12-30T00:25:00"/>
    <x v="1"/>
    <x v="0"/>
  </r>
  <r>
    <x v="37"/>
    <x v="2"/>
    <x v="0"/>
    <x v="150"/>
    <x v="150"/>
    <d v="1899-12-30T01:13:00"/>
    <x v="4"/>
    <x v="0"/>
  </r>
  <r>
    <x v="37"/>
    <x v="2"/>
    <x v="0"/>
    <x v="151"/>
    <x v="151"/>
    <d v="1899-12-30T00:18:00"/>
    <x v="1"/>
    <x v="0"/>
  </r>
  <r>
    <x v="37"/>
    <x v="2"/>
    <x v="0"/>
    <x v="152"/>
    <x v="152"/>
    <d v="1899-12-30T00:25:00"/>
    <x v="1"/>
    <x v="0"/>
  </r>
  <r>
    <x v="37"/>
    <x v="2"/>
    <x v="0"/>
    <x v="134"/>
    <x v="135"/>
    <d v="1899-12-30T00:20:00"/>
    <x v="1"/>
    <x v="0"/>
  </r>
  <r>
    <x v="37"/>
    <x v="2"/>
    <x v="0"/>
    <x v="153"/>
    <x v="153"/>
    <d v="1899-12-30T00:23:00"/>
    <x v="1"/>
    <x v="0"/>
  </r>
  <r>
    <x v="37"/>
    <x v="2"/>
    <x v="0"/>
    <x v="154"/>
    <x v="154"/>
    <d v="1899-12-30T00:23:00"/>
    <x v="1"/>
    <x v="0"/>
  </r>
  <r>
    <x v="37"/>
    <x v="2"/>
    <x v="0"/>
    <x v="0"/>
    <x v="61"/>
    <d v="1899-12-30T00:25:00"/>
    <x v="1"/>
    <x v="0"/>
  </r>
  <r>
    <x v="37"/>
    <x v="2"/>
    <x v="0"/>
    <x v="155"/>
    <x v="155"/>
    <d v="1899-12-30T00:25:00"/>
    <x v="1"/>
    <x v="0"/>
  </r>
  <r>
    <x v="37"/>
    <x v="2"/>
    <x v="0"/>
    <x v="156"/>
    <x v="156"/>
    <d v="1899-12-30T00:25:00"/>
    <x v="1"/>
    <x v="0"/>
  </r>
  <r>
    <x v="37"/>
    <x v="2"/>
    <x v="0"/>
    <x v="157"/>
    <x v="157"/>
    <d v="1899-12-30T00:44:00"/>
    <x v="1"/>
    <x v="0"/>
  </r>
  <r>
    <x v="37"/>
    <x v="2"/>
    <x v="0"/>
    <x v="158"/>
    <x v="158"/>
    <d v="1899-12-30T00:31:00"/>
    <x v="1"/>
    <x v="0"/>
  </r>
  <r>
    <x v="38"/>
    <x v="2"/>
    <x v="0"/>
    <x v="159"/>
    <x v="159"/>
    <d v="1899-12-30T00:25:00"/>
    <x v="1"/>
    <x v="0"/>
  </r>
  <r>
    <x v="38"/>
    <x v="2"/>
    <x v="0"/>
    <x v="160"/>
    <x v="160"/>
    <d v="1899-12-30T00:25:00"/>
    <x v="1"/>
    <x v="0"/>
  </r>
  <r>
    <x v="38"/>
    <x v="2"/>
    <x v="0"/>
    <x v="161"/>
    <x v="150"/>
    <d v="1899-12-30T00:25:00"/>
    <x v="1"/>
    <x v="0"/>
  </r>
  <r>
    <x v="38"/>
    <x v="2"/>
    <x v="0"/>
    <x v="162"/>
    <x v="161"/>
    <d v="1899-12-30T00:25:00"/>
    <x v="1"/>
    <x v="0"/>
  </r>
  <r>
    <x v="38"/>
    <x v="2"/>
    <x v="0"/>
    <x v="163"/>
    <x v="162"/>
    <d v="1899-12-30T00:15:00"/>
    <x v="4"/>
    <x v="0"/>
  </r>
  <r>
    <x v="38"/>
    <x v="2"/>
    <x v="0"/>
    <x v="164"/>
    <x v="163"/>
    <d v="1899-12-30T00:25:00"/>
    <x v="1"/>
    <x v="0"/>
  </r>
  <r>
    <x v="38"/>
    <x v="2"/>
    <x v="0"/>
    <x v="165"/>
    <x v="164"/>
    <d v="1899-12-30T00:25:00"/>
    <x v="1"/>
    <x v="0"/>
  </r>
  <r>
    <x v="38"/>
    <x v="2"/>
    <x v="0"/>
    <x v="166"/>
    <x v="165"/>
    <d v="1899-12-30T00:25:00"/>
    <x v="1"/>
    <x v="1"/>
  </r>
  <r>
    <x v="39"/>
    <x v="2"/>
    <x v="0"/>
    <x v="167"/>
    <x v="90"/>
    <d v="1899-12-30T00:51:00"/>
    <x v="1"/>
    <x v="0"/>
  </r>
  <r>
    <x v="39"/>
    <x v="2"/>
    <x v="0"/>
    <x v="168"/>
    <x v="166"/>
    <d v="1899-12-30T01:36:00"/>
    <x v="1"/>
    <x v="0"/>
  </r>
  <r>
    <x v="39"/>
    <x v="2"/>
    <x v="0"/>
    <x v="152"/>
    <x v="167"/>
    <d v="1899-12-30T00:18:00"/>
    <x v="1"/>
    <x v="0"/>
  </r>
  <r>
    <x v="40"/>
    <x v="2"/>
    <x v="0"/>
    <x v="123"/>
    <x v="168"/>
    <d v="1899-12-30T01:15:00"/>
    <x v="1"/>
    <x v="0"/>
  </r>
  <r>
    <x v="40"/>
    <x v="2"/>
    <x v="0"/>
    <x v="169"/>
    <x v="169"/>
    <d v="1899-12-30T00:57:00"/>
    <x v="1"/>
    <x v="0"/>
  </r>
  <r>
    <x v="40"/>
    <x v="2"/>
    <x v="0"/>
    <x v="170"/>
    <x v="162"/>
    <d v="1899-12-30T01:06:00"/>
    <x v="1"/>
    <x v="0"/>
  </r>
  <r>
    <x v="40"/>
    <x v="2"/>
    <x v="0"/>
    <x v="171"/>
    <x v="79"/>
    <d v="1899-12-30T00:36:00"/>
    <x v="1"/>
    <x v="0"/>
  </r>
  <r>
    <x v="41"/>
    <x v="2"/>
    <x v="0"/>
    <x v="123"/>
    <x v="170"/>
    <d v="1899-12-30T01:07:00"/>
    <x v="1"/>
    <x v="0"/>
  </r>
  <r>
    <x v="41"/>
    <x v="2"/>
    <x v="0"/>
    <x v="169"/>
    <x v="84"/>
    <d v="1899-12-30T01:09:00"/>
    <x v="1"/>
    <x v="0"/>
  </r>
  <r>
    <x v="41"/>
    <x v="2"/>
    <x v="0"/>
    <x v="172"/>
    <x v="171"/>
    <d v="1899-12-30T00:36:00"/>
    <x v="1"/>
    <x v="0"/>
  </r>
  <r>
    <x v="41"/>
    <x v="2"/>
    <x v="0"/>
    <x v="173"/>
    <x v="172"/>
    <d v="1899-12-30T00:22:00"/>
    <x v="1"/>
    <x v="0"/>
  </r>
  <r>
    <x v="42"/>
    <x v="2"/>
    <x v="0"/>
    <x v="148"/>
    <x v="173"/>
    <d v="1899-12-30T01:34:00"/>
    <x v="1"/>
    <x v="0"/>
  </r>
  <r>
    <x v="42"/>
    <x v="2"/>
    <x v="0"/>
    <x v="48"/>
    <x v="174"/>
    <d v="1899-12-30T00:27:00"/>
    <x v="1"/>
    <x v="0"/>
  </r>
  <r>
    <x v="42"/>
    <x v="2"/>
    <x v="0"/>
    <x v="174"/>
    <x v="175"/>
    <d v="1899-12-30T02:23:00"/>
    <x v="1"/>
    <x v="0"/>
  </r>
  <r>
    <x v="43"/>
    <x v="3"/>
    <x v="0"/>
    <x v="175"/>
    <x v="72"/>
    <d v="1899-12-30T00:28:00"/>
    <x v="1"/>
    <x v="0"/>
  </r>
  <r>
    <x v="43"/>
    <x v="3"/>
    <x v="0"/>
    <x v="176"/>
    <x v="176"/>
    <d v="1899-12-30T00:34:00"/>
    <x v="1"/>
    <x v="0"/>
  </r>
  <r>
    <x v="43"/>
    <x v="3"/>
    <x v="0"/>
    <x v="177"/>
    <x v="85"/>
    <d v="1899-12-30T01:45:00"/>
    <x v="1"/>
    <x v="0"/>
  </r>
  <r>
    <x v="43"/>
    <x v="3"/>
    <x v="0"/>
    <x v="178"/>
    <x v="177"/>
    <d v="1899-12-30T01:08:00"/>
    <x v="1"/>
    <x v="0"/>
  </r>
  <r>
    <x v="44"/>
    <x v="3"/>
    <x v="0"/>
    <x v="133"/>
    <x v="178"/>
    <d v="1899-12-30T00:51:00"/>
    <x v="1"/>
    <x v="0"/>
  </r>
  <r>
    <x v="44"/>
    <x v="3"/>
    <x v="0"/>
    <x v="179"/>
    <x v="125"/>
    <d v="1899-12-30T00:31:00"/>
    <x v="1"/>
    <x v="0"/>
  </r>
  <r>
    <x v="44"/>
    <x v="3"/>
    <x v="0"/>
    <x v="103"/>
    <x v="179"/>
    <d v="1899-12-30T00:21:00"/>
    <x v="1"/>
    <x v="0"/>
  </r>
  <r>
    <x v="44"/>
    <x v="3"/>
    <x v="0"/>
    <x v="180"/>
    <x v="180"/>
    <d v="1899-12-30T00:08:00"/>
    <x v="1"/>
    <x v="0"/>
  </r>
  <r>
    <x v="44"/>
    <x v="3"/>
    <x v="0"/>
    <x v="181"/>
    <x v="181"/>
    <d v="1899-12-30T00:43:00"/>
    <x v="1"/>
    <x v="0"/>
  </r>
  <r>
    <x v="44"/>
    <x v="3"/>
    <x v="0"/>
    <x v="182"/>
    <x v="182"/>
    <d v="1899-12-30T01:05:00"/>
    <x v="1"/>
    <x v="0"/>
  </r>
  <r>
    <x v="45"/>
    <x v="3"/>
    <x v="0"/>
    <x v="183"/>
    <x v="183"/>
    <d v="1899-12-30T01:25:00"/>
    <x v="1"/>
    <x v="0"/>
  </r>
  <r>
    <x v="45"/>
    <x v="3"/>
    <x v="0"/>
    <x v="184"/>
    <x v="184"/>
    <d v="1899-12-30T00:31:00"/>
    <x v="1"/>
    <x v="0"/>
  </r>
  <r>
    <x v="45"/>
    <x v="3"/>
    <x v="0"/>
    <x v="185"/>
    <x v="185"/>
    <d v="1899-12-30T00:27:00"/>
    <x v="1"/>
    <x v="0"/>
  </r>
  <r>
    <x v="45"/>
    <x v="3"/>
    <x v="0"/>
    <x v="186"/>
    <x v="186"/>
    <d v="1899-12-30T00:59:00"/>
    <x v="1"/>
    <x v="0"/>
  </r>
  <r>
    <x v="45"/>
    <x v="3"/>
    <x v="0"/>
    <x v="187"/>
    <x v="187"/>
    <d v="1899-12-30T00:44:00"/>
    <x v="1"/>
    <x v="0"/>
  </r>
  <r>
    <x v="46"/>
    <x v="3"/>
    <x v="0"/>
    <x v="188"/>
    <x v="188"/>
    <d v="1899-12-30T01:35:00"/>
    <x v="1"/>
    <x v="0"/>
  </r>
  <r>
    <x v="46"/>
    <x v="3"/>
    <x v="0"/>
    <x v="189"/>
    <x v="189"/>
    <d v="1899-12-30T00:45:00"/>
    <x v="1"/>
    <x v="0"/>
  </r>
  <r>
    <x v="47"/>
    <x v="3"/>
    <x v="0"/>
    <x v="190"/>
    <x v="190"/>
    <d v="1899-12-30T01:16:00"/>
    <x v="1"/>
    <x v="0"/>
  </r>
  <r>
    <x v="47"/>
    <x v="3"/>
    <x v="0"/>
    <x v="191"/>
    <x v="191"/>
    <d v="1899-12-30T01:00:00"/>
    <x v="1"/>
    <x v="0"/>
  </r>
  <r>
    <x v="48"/>
    <x v="3"/>
    <x v="0"/>
    <x v="192"/>
    <x v="192"/>
    <d v="1899-12-30T01:37:00"/>
    <x v="1"/>
    <x v="0"/>
  </r>
  <r>
    <x v="48"/>
    <x v="3"/>
    <x v="0"/>
    <x v="193"/>
    <x v="193"/>
    <d v="1899-12-30T00:32:00"/>
    <x v="1"/>
    <x v="0"/>
  </r>
  <r>
    <x v="48"/>
    <x v="3"/>
    <x v="0"/>
    <x v="162"/>
    <x v="194"/>
    <d v="1899-12-30T00:28:00"/>
    <x v="1"/>
    <x v="0"/>
  </r>
  <r>
    <x v="49"/>
    <x v="3"/>
    <x v="0"/>
    <x v="194"/>
    <x v="65"/>
    <d v="1899-12-30T00:25:00"/>
    <x v="1"/>
    <x v="0"/>
  </r>
  <r>
    <x v="49"/>
    <x v="3"/>
    <x v="0"/>
    <x v="195"/>
    <x v="195"/>
    <d v="1899-12-30T00:46:00"/>
    <x v="1"/>
    <x v="0"/>
  </r>
  <r>
    <x v="49"/>
    <x v="3"/>
    <x v="0"/>
    <x v="196"/>
    <x v="196"/>
    <d v="1899-12-30T01:08:00"/>
    <x v="1"/>
    <x v="0"/>
  </r>
  <r>
    <x v="49"/>
    <x v="3"/>
    <x v="0"/>
    <x v="0"/>
    <x v="0"/>
    <d v="1899-12-30T02:00:00"/>
    <x v="1"/>
    <x v="0"/>
  </r>
  <r>
    <x v="50"/>
    <x v="3"/>
    <x v="0"/>
    <x v="197"/>
    <x v="197"/>
    <d v="1899-12-30T00:42:00"/>
    <x v="1"/>
    <x v="0"/>
  </r>
  <r>
    <x v="50"/>
    <x v="3"/>
    <x v="0"/>
    <x v="112"/>
    <x v="198"/>
    <d v="1899-12-30T00:53:00"/>
    <x v="1"/>
    <x v="0"/>
  </r>
  <r>
    <x v="50"/>
    <x v="3"/>
    <x v="0"/>
    <x v="198"/>
    <x v="199"/>
    <d v="1899-12-30T00:30:00"/>
    <x v="1"/>
    <x v="0"/>
  </r>
  <r>
    <x v="50"/>
    <x v="3"/>
    <x v="0"/>
    <x v="199"/>
    <x v="200"/>
    <d v="1899-12-30T01:08:00"/>
    <x v="1"/>
    <x v="0"/>
  </r>
  <r>
    <x v="50"/>
    <x v="3"/>
    <x v="0"/>
    <x v="200"/>
    <x v="201"/>
    <d v="1899-12-30T01:04:00"/>
    <x v="1"/>
    <x v="0"/>
  </r>
  <r>
    <x v="50"/>
    <x v="3"/>
    <x v="0"/>
    <x v="168"/>
    <x v="202"/>
    <d v="1899-12-30T00:26:00"/>
    <x v="1"/>
    <x v="0"/>
  </r>
  <r>
    <x v="50"/>
    <x v="3"/>
    <x v="0"/>
    <x v="201"/>
    <x v="203"/>
    <d v="1899-12-30T00:16:00"/>
    <x v="1"/>
    <x v="0"/>
  </r>
  <r>
    <x v="50"/>
    <x v="3"/>
    <x v="0"/>
    <x v="202"/>
    <x v="204"/>
    <d v="1899-12-30T01:10:00"/>
    <x v="1"/>
    <x v="0"/>
  </r>
  <r>
    <x v="50"/>
    <x v="3"/>
    <x v="0"/>
    <x v="203"/>
    <x v="205"/>
    <d v="1899-12-30T00:55:00"/>
    <x v="1"/>
    <x v="0"/>
  </r>
  <r>
    <x v="51"/>
    <x v="3"/>
    <x v="0"/>
    <x v="1"/>
    <x v="61"/>
    <d v="1899-12-30T00:21:00"/>
    <x v="2"/>
    <x v="0"/>
  </r>
  <r>
    <x v="52"/>
    <x v="3"/>
    <x v="0"/>
    <x v="204"/>
    <x v="206"/>
    <d v="1899-12-30T01:19:00"/>
    <x v="1"/>
    <x v="0"/>
  </r>
  <r>
    <x v="52"/>
    <x v="3"/>
    <x v="0"/>
    <x v="205"/>
    <x v="207"/>
    <d v="1899-12-30T01:02:00"/>
    <x v="1"/>
    <x v="0"/>
  </r>
  <r>
    <x v="53"/>
    <x v="3"/>
    <x v="0"/>
    <x v="206"/>
    <x v="208"/>
    <d v="1899-12-30T00:58:00"/>
    <x v="2"/>
    <x v="0"/>
  </r>
  <r>
    <x v="53"/>
    <x v="3"/>
    <x v="0"/>
    <x v="142"/>
    <x v="209"/>
    <d v="1899-12-30T01:15:00"/>
    <x v="1"/>
    <x v="0"/>
  </r>
  <r>
    <x v="53"/>
    <x v="3"/>
    <x v="0"/>
    <x v="207"/>
    <x v="79"/>
    <d v="1899-12-30T01:19:00"/>
    <x v="1"/>
    <x v="0"/>
  </r>
  <r>
    <x v="54"/>
    <x v="3"/>
    <x v="0"/>
    <x v="1"/>
    <x v="61"/>
    <d v="1899-12-30T00:21:00"/>
    <x v="2"/>
    <x v="0"/>
  </r>
  <r>
    <x v="55"/>
    <x v="3"/>
    <x v="0"/>
    <x v="51"/>
    <x v="210"/>
    <d v="1899-12-30T01:09:00"/>
    <x v="1"/>
    <x v="0"/>
  </r>
  <r>
    <x v="56"/>
    <x v="3"/>
    <x v="0"/>
    <x v="148"/>
    <x v="211"/>
    <d v="1899-12-30T01:09:00"/>
    <x v="1"/>
    <x v="0"/>
  </r>
  <r>
    <x v="56"/>
    <x v="3"/>
    <x v="0"/>
    <x v="89"/>
    <x v="212"/>
    <d v="1899-12-30T00:35:00"/>
    <x v="3"/>
    <x v="0"/>
  </r>
  <r>
    <x v="56"/>
    <x v="3"/>
    <x v="0"/>
    <x v="208"/>
    <x v="213"/>
    <d v="1899-12-30T00:57:00"/>
    <x v="1"/>
    <x v="0"/>
  </r>
  <r>
    <x v="56"/>
    <x v="3"/>
    <x v="0"/>
    <x v="209"/>
    <x v="214"/>
    <d v="1899-12-30T00:24:00"/>
    <x v="1"/>
    <x v="0"/>
  </r>
  <r>
    <x v="57"/>
    <x v="3"/>
    <x v="0"/>
    <x v="1"/>
    <x v="61"/>
    <d v="1899-12-30T00:30:00"/>
    <x v="2"/>
    <x v="0"/>
  </r>
  <r>
    <x v="57"/>
    <x v="3"/>
    <x v="0"/>
    <x v="15"/>
    <x v="15"/>
    <d v="1899-12-30T00:25:00"/>
    <x v="2"/>
    <x v="0"/>
  </r>
  <r>
    <x v="57"/>
    <x v="3"/>
    <x v="0"/>
    <x v="210"/>
    <x v="215"/>
    <d v="1899-12-30T00:25:00"/>
    <x v="3"/>
    <x v="0"/>
  </r>
  <r>
    <x v="57"/>
    <x v="3"/>
    <x v="0"/>
    <x v="188"/>
    <x v="216"/>
    <d v="1899-12-30T00:25:00"/>
    <x v="3"/>
    <x v="0"/>
  </r>
  <r>
    <x v="57"/>
    <x v="3"/>
    <x v="0"/>
    <x v="59"/>
    <x v="93"/>
    <d v="1899-12-30T00:35:00"/>
    <x v="4"/>
    <x v="0"/>
  </r>
  <r>
    <x v="57"/>
    <x v="3"/>
    <x v="0"/>
    <x v="47"/>
    <x v="48"/>
    <d v="1899-12-30T00:25:00"/>
    <x v="3"/>
    <x v="0"/>
  </r>
  <r>
    <x v="57"/>
    <x v="3"/>
    <x v="0"/>
    <x v="48"/>
    <x v="49"/>
    <d v="1899-12-30T00:25:00"/>
    <x v="3"/>
    <x v="0"/>
  </r>
  <r>
    <x v="57"/>
    <x v="3"/>
    <x v="0"/>
    <x v="50"/>
    <x v="51"/>
    <d v="1899-12-30T00:25:00"/>
    <x v="3"/>
    <x v="0"/>
  </r>
  <r>
    <x v="57"/>
    <x v="3"/>
    <x v="0"/>
    <x v="94"/>
    <x v="94"/>
    <d v="1899-12-30T00:13:00"/>
    <x v="3"/>
    <x v="0"/>
  </r>
  <r>
    <x v="57"/>
    <x v="3"/>
    <x v="0"/>
    <x v="211"/>
    <x v="217"/>
    <d v="1899-12-30T00:25:00"/>
    <x v="1"/>
    <x v="1"/>
  </r>
  <r>
    <x v="57"/>
    <x v="3"/>
    <x v="0"/>
    <x v="212"/>
    <x v="218"/>
    <d v="1899-12-30T00:51:00"/>
    <x v="4"/>
    <x v="1"/>
  </r>
  <r>
    <x v="57"/>
    <x v="3"/>
    <x v="0"/>
    <x v="213"/>
    <x v="219"/>
    <d v="1899-12-30T00:25:00"/>
    <x v="1"/>
    <x v="1"/>
  </r>
  <r>
    <x v="57"/>
    <x v="3"/>
    <x v="0"/>
    <x v="214"/>
    <x v="220"/>
    <d v="1899-12-30T00:25:00"/>
    <x v="1"/>
    <x v="1"/>
  </r>
  <r>
    <x v="57"/>
    <x v="3"/>
    <x v="0"/>
    <x v="215"/>
    <x v="154"/>
    <d v="1899-12-30T01:19:00"/>
    <x v="1"/>
    <x v="0"/>
  </r>
  <r>
    <x v="58"/>
    <x v="3"/>
    <x v="0"/>
    <x v="216"/>
    <x v="221"/>
    <d v="1899-12-30T00:48:00"/>
    <x v="1"/>
    <x v="0"/>
  </r>
  <r>
    <x v="58"/>
    <x v="3"/>
    <x v="0"/>
    <x v="207"/>
    <x v="222"/>
    <d v="1899-12-30T02:25:00"/>
    <x v="1"/>
    <x v="0"/>
  </r>
  <r>
    <x v="59"/>
    <x v="3"/>
    <x v="0"/>
    <x v="217"/>
    <x v="223"/>
    <d v="1899-12-30T01:25:00"/>
    <x v="1"/>
    <x v="0"/>
  </r>
  <r>
    <x v="60"/>
    <x v="3"/>
    <x v="0"/>
    <x v="218"/>
    <x v="17"/>
    <d v="1899-12-30T01:26:00"/>
    <x v="1"/>
    <x v="0"/>
  </r>
  <r>
    <x v="61"/>
    <x v="4"/>
    <x v="1"/>
    <x v="219"/>
    <x v="178"/>
    <d v="1899-12-30T00:29:00"/>
    <x v="1"/>
    <x v="0"/>
  </r>
  <r>
    <x v="61"/>
    <x v="4"/>
    <x v="1"/>
    <x v="208"/>
    <x v="224"/>
    <d v="1899-12-30T00:36:00"/>
    <x v="1"/>
    <x v="0"/>
  </r>
  <r>
    <x v="61"/>
    <x v="4"/>
    <x v="1"/>
    <x v="178"/>
    <x v="225"/>
    <d v="1899-12-30T00:57:00"/>
    <x v="1"/>
    <x v="0"/>
  </r>
  <r>
    <x v="61"/>
    <x v="4"/>
    <x v="1"/>
    <x v="30"/>
    <x v="226"/>
    <d v="1899-12-30T00:58:00"/>
    <x v="1"/>
    <x v="0"/>
  </r>
  <r>
    <x v="61"/>
    <x v="4"/>
    <x v="1"/>
    <x v="220"/>
    <x v="227"/>
    <d v="1899-12-30T00:41:00"/>
    <x v="1"/>
    <x v="0"/>
  </r>
  <r>
    <x v="62"/>
    <x v="4"/>
    <x v="1"/>
    <x v="180"/>
    <x v="228"/>
    <d v="1899-12-30T03:00:00"/>
    <x v="1"/>
    <x v="0"/>
  </r>
  <r>
    <x v="63"/>
    <x v="4"/>
    <x v="1"/>
    <x v="221"/>
    <x v="229"/>
    <d v="1899-12-30T02:03:00"/>
    <x v="1"/>
    <x v="0"/>
  </r>
  <r>
    <x v="63"/>
    <x v="4"/>
    <x v="1"/>
    <x v="215"/>
    <x v="230"/>
    <d v="1899-12-30T01:00:00"/>
    <x v="1"/>
    <x v="0"/>
  </r>
  <r>
    <x v="64"/>
    <x v="4"/>
    <x v="1"/>
    <x v="222"/>
    <x v="103"/>
    <d v="1899-12-30T01:13:00"/>
    <x v="1"/>
    <x v="0"/>
  </r>
  <r>
    <x v="64"/>
    <x v="4"/>
    <x v="1"/>
    <x v="223"/>
    <x v="231"/>
    <d v="1899-12-30T01:20:00"/>
    <x v="1"/>
    <x v="0"/>
  </r>
  <r>
    <x v="65"/>
    <x v="4"/>
    <x v="1"/>
    <x v="224"/>
    <x v="232"/>
    <d v="1899-12-30T01:13:00"/>
    <x v="1"/>
    <x v="0"/>
  </r>
  <r>
    <x v="66"/>
    <x v="4"/>
    <x v="1"/>
    <x v="225"/>
    <x v="233"/>
    <d v="1899-12-30T01:51:00"/>
    <x v="1"/>
    <x v="0"/>
  </r>
  <r>
    <x v="66"/>
    <x v="4"/>
    <x v="1"/>
    <x v="134"/>
    <x v="196"/>
    <d v="1899-12-30T00:37:00"/>
    <x v="1"/>
    <x v="0"/>
  </r>
  <r>
    <x v="67"/>
    <x v="4"/>
    <x v="1"/>
    <x v="226"/>
    <x v="234"/>
    <d v="1899-12-30T00:37:00"/>
    <x v="1"/>
    <x v="0"/>
  </r>
  <r>
    <x v="67"/>
    <x v="4"/>
    <x v="1"/>
    <x v="227"/>
    <x v="235"/>
    <d v="1899-12-30T02:34:00"/>
    <x v="1"/>
    <x v="0"/>
  </r>
  <r>
    <x v="67"/>
    <x v="4"/>
    <x v="1"/>
    <x v="161"/>
    <x v="151"/>
    <d v="1899-12-30T00:50:00"/>
    <x v="1"/>
    <x v="0"/>
  </r>
  <r>
    <x v="67"/>
    <x v="4"/>
    <x v="1"/>
    <x v="228"/>
    <x v="236"/>
    <d v="1899-12-30T00:43:00"/>
    <x v="1"/>
    <x v="0"/>
  </r>
  <r>
    <x v="67"/>
    <x v="4"/>
    <x v="1"/>
    <x v="229"/>
    <x v="230"/>
    <d v="1899-12-30T00:40:00"/>
    <x v="1"/>
    <x v="0"/>
  </r>
  <r>
    <x v="68"/>
    <x v="4"/>
    <x v="1"/>
    <x v="50"/>
    <x v="51"/>
    <d v="1899-12-30T00:25:00"/>
    <x v="1"/>
    <x v="0"/>
  </r>
  <r>
    <x v="68"/>
    <x v="4"/>
    <x v="1"/>
    <x v="51"/>
    <x v="52"/>
    <d v="1899-12-30T00:25:00"/>
    <x v="1"/>
    <x v="0"/>
  </r>
  <r>
    <x v="68"/>
    <x v="4"/>
    <x v="1"/>
    <x v="107"/>
    <x v="107"/>
    <d v="1899-12-30T00:25:00"/>
    <x v="1"/>
    <x v="0"/>
  </r>
  <r>
    <x v="68"/>
    <x v="4"/>
    <x v="1"/>
    <x v="230"/>
    <x v="193"/>
    <d v="1899-12-30T00:25:00"/>
    <x v="1"/>
    <x v="0"/>
  </r>
  <r>
    <x v="68"/>
    <x v="4"/>
    <x v="1"/>
    <x v="231"/>
    <x v="237"/>
    <d v="1899-12-30T00:25:00"/>
    <x v="1"/>
    <x v="0"/>
  </r>
  <r>
    <x v="69"/>
    <x v="4"/>
    <x v="1"/>
    <x v="142"/>
    <x v="238"/>
    <d v="1899-12-30T01:22:00"/>
    <x v="1"/>
    <x v="0"/>
  </r>
  <r>
    <x v="69"/>
    <x v="4"/>
    <x v="1"/>
    <x v="163"/>
    <x v="152"/>
    <d v="1899-12-30T00:23:00"/>
    <x v="1"/>
    <x v="0"/>
  </r>
  <r>
    <x v="69"/>
    <x v="4"/>
    <x v="1"/>
    <x v="232"/>
    <x v="239"/>
    <d v="1899-12-30T00:46:00"/>
    <x v="1"/>
    <x v="0"/>
  </r>
  <r>
    <x v="70"/>
    <x v="4"/>
    <x v="1"/>
    <x v="227"/>
    <x v="240"/>
    <d v="1899-12-30T01:35:00"/>
    <x v="1"/>
    <x v="0"/>
  </r>
  <r>
    <x v="70"/>
    <x v="4"/>
    <x v="1"/>
    <x v="233"/>
    <x v="241"/>
    <d v="1899-12-30T00:59:00"/>
    <x v="1"/>
    <x v="0"/>
  </r>
  <r>
    <x v="70"/>
    <x v="4"/>
    <x v="1"/>
    <x v="222"/>
    <x v="218"/>
    <d v="1899-12-30T01:33:00"/>
    <x v="1"/>
    <x v="0"/>
  </r>
  <r>
    <x v="71"/>
    <x v="4"/>
    <x v="1"/>
    <x v="72"/>
    <x v="72"/>
    <d v="1899-12-30T00:25:00"/>
    <x v="3"/>
    <x v="0"/>
  </r>
  <r>
    <x v="71"/>
    <x v="4"/>
    <x v="1"/>
    <x v="112"/>
    <x v="113"/>
    <d v="1899-12-30T00:25:00"/>
    <x v="3"/>
    <x v="0"/>
  </r>
  <r>
    <x v="71"/>
    <x v="4"/>
    <x v="1"/>
    <x v="234"/>
    <x v="242"/>
    <d v="1899-12-30T00:25:00"/>
    <x v="3"/>
    <x v="0"/>
  </r>
  <r>
    <x v="71"/>
    <x v="4"/>
    <x v="1"/>
    <x v="232"/>
    <x v="243"/>
    <d v="1899-12-30T00:25:00"/>
    <x v="1"/>
    <x v="0"/>
  </r>
  <r>
    <x v="71"/>
    <x v="4"/>
    <x v="1"/>
    <x v="235"/>
    <x v="232"/>
    <d v="1899-12-30T00:25:00"/>
    <x v="1"/>
    <x v="0"/>
  </r>
  <r>
    <x v="71"/>
    <x v="4"/>
    <x v="1"/>
    <x v="236"/>
    <x v="222"/>
    <d v="1899-12-30T00:25:00"/>
    <x v="1"/>
    <x v="0"/>
  </r>
  <r>
    <x v="71"/>
    <x v="4"/>
    <x v="1"/>
    <x v="237"/>
    <x v="244"/>
    <d v="1899-12-30T00:25:00"/>
    <x v="1"/>
    <x v="0"/>
  </r>
  <r>
    <x v="71"/>
    <x v="4"/>
    <x v="1"/>
    <x v="220"/>
    <x v="245"/>
    <d v="1899-12-30T00:18:00"/>
    <x v="4"/>
    <x v="0"/>
  </r>
  <r>
    <x v="71"/>
    <x v="4"/>
    <x v="1"/>
    <x v="238"/>
    <x v="187"/>
    <d v="1899-12-30T00:26:00"/>
    <x v="1"/>
    <x v="0"/>
  </r>
  <r>
    <x v="71"/>
    <x v="4"/>
    <x v="1"/>
    <x v="239"/>
    <x v="246"/>
    <d v="1899-12-30T00:25:00"/>
    <x v="1"/>
    <x v="0"/>
  </r>
  <r>
    <x v="71"/>
    <x v="4"/>
    <x v="1"/>
    <x v="240"/>
    <x v="247"/>
    <d v="1899-12-30T00:25:00"/>
    <x v="1"/>
    <x v="0"/>
  </r>
  <r>
    <x v="71"/>
    <x v="4"/>
    <x v="1"/>
    <x v="241"/>
    <x v="248"/>
    <d v="1899-12-30T00:37:00"/>
    <x v="1"/>
    <x v="0"/>
  </r>
  <r>
    <x v="71"/>
    <x v="4"/>
    <x v="1"/>
    <x v="242"/>
    <x v="249"/>
    <d v="1899-12-30T00:46:00"/>
    <x v="1"/>
    <x v="0"/>
  </r>
  <r>
    <x v="72"/>
    <x v="4"/>
    <x v="1"/>
    <x v="109"/>
    <x v="109"/>
    <d v="1899-12-30T00:25:00"/>
    <x v="1"/>
    <x v="0"/>
  </r>
  <r>
    <x v="72"/>
    <x v="4"/>
    <x v="1"/>
    <x v="2"/>
    <x v="2"/>
    <d v="1899-12-30T00:25:00"/>
    <x v="1"/>
    <x v="0"/>
  </r>
  <r>
    <x v="72"/>
    <x v="4"/>
    <x v="1"/>
    <x v="3"/>
    <x v="3"/>
    <d v="1899-12-30T00:25:00"/>
    <x v="1"/>
    <x v="0"/>
  </r>
  <r>
    <x v="72"/>
    <x v="4"/>
    <x v="1"/>
    <x v="243"/>
    <x v="250"/>
    <d v="1899-12-30T00:25:00"/>
    <x v="1"/>
    <x v="0"/>
  </r>
  <r>
    <x v="72"/>
    <x v="4"/>
    <x v="1"/>
    <x v="199"/>
    <x v="251"/>
    <d v="1899-12-30T00:25:00"/>
    <x v="1"/>
    <x v="0"/>
  </r>
  <r>
    <x v="72"/>
    <x v="4"/>
    <x v="1"/>
    <x v="244"/>
    <x v="60"/>
    <d v="1899-12-30T00:31:00"/>
    <x v="4"/>
    <x v="0"/>
  </r>
  <r>
    <x v="72"/>
    <x v="4"/>
    <x v="1"/>
    <x v="100"/>
    <x v="100"/>
    <d v="1899-12-30T00:25:00"/>
    <x v="1"/>
    <x v="1"/>
  </r>
  <r>
    <x v="72"/>
    <x v="4"/>
    <x v="1"/>
    <x v="245"/>
    <x v="252"/>
    <d v="1899-12-30T00:30:00"/>
    <x v="1"/>
    <x v="0"/>
  </r>
  <r>
    <x v="72"/>
    <x v="4"/>
    <x v="1"/>
    <x v="174"/>
    <x v="224"/>
    <d v="1899-12-30T00:25:00"/>
    <x v="1"/>
    <x v="0"/>
  </r>
  <r>
    <x v="72"/>
    <x v="4"/>
    <x v="1"/>
    <x v="92"/>
    <x v="253"/>
    <d v="1899-12-30T00:25:00"/>
    <x v="1"/>
    <x v="0"/>
  </r>
  <r>
    <x v="72"/>
    <x v="4"/>
    <x v="1"/>
    <x v="246"/>
    <x v="254"/>
    <d v="1899-12-30T00:38:00"/>
    <x v="1"/>
    <x v="0"/>
  </r>
  <r>
    <x v="72"/>
    <x v="4"/>
    <x v="1"/>
    <x v="247"/>
    <x v="194"/>
    <d v="1899-12-30T00:51:00"/>
    <x v="4"/>
    <x v="0"/>
  </r>
  <r>
    <x v="72"/>
    <x v="4"/>
    <x v="1"/>
    <x v="248"/>
    <x v="255"/>
    <d v="1899-12-30T00:30:00"/>
    <x v="1"/>
    <x v="0"/>
  </r>
  <r>
    <x v="72"/>
    <x v="4"/>
    <x v="1"/>
    <x v="249"/>
    <x v="256"/>
    <d v="1899-12-30T00:25:00"/>
    <x v="1"/>
    <x v="0"/>
  </r>
  <r>
    <x v="72"/>
    <x v="4"/>
    <x v="1"/>
    <x v="29"/>
    <x v="30"/>
    <d v="1899-12-30T00:40:00"/>
    <x v="1"/>
    <x v="0"/>
  </r>
  <r>
    <x v="72"/>
    <x v="4"/>
    <x v="1"/>
    <x v="250"/>
    <x v="257"/>
    <d v="1899-12-30T00:25:00"/>
    <x v="1"/>
    <x v="1"/>
  </r>
  <r>
    <x v="72"/>
    <x v="4"/>
    <x v="1"/>
    <x v="1"/>
    <x v="61"/>
    <d v="1899-12-30T01:40:00"/>
    <x v="1"/>
    <x v="0"/>
  </r>
  <r>
    <x v="73"/>
    <x v="4"/>
    <x v="1"/>
    <x v="251"/>
    <x v="188"/>
    <d v="1899-12-30T00:25:00"/>
    <x v="2"/>
    <x v="0"/>
  </r>
  <r>
    <x v="74"/>
    <x v="4"/>
    <x v="1"/>
    <x v="3"/>
    <x v="3"/>
    <d v="1899-12-30T00:25:00"/>
    <x v="1"/>
    <x v="0"/>
  </r>
  <r>
    <x v="74"/>
    <x v="4"/>
    <x v="1"/>
    <x v="4"/>
    <x v="4"/>
    <d v="1899-12-30T00:25:00"/>
    <x v="1"/>
    <x v="0"/>
  </r>
  <r>
    <x v="74"/>
    <x v="4"/>
    <x v="1"/>
    <x v="98"/>
    <x v="98"/>
    <d v="1899-12-30T00:23:00"/>
    <x v="1"/>
    <x v="0"/>
  </r>
  <r>
    <x v="74"/>
    <x v="4"/>
    <x v="1"/>
    <x v="252"/>
    <x v="258"/>
    <d v="1899-12-30T00:25:00"/>
    <x v="1"/>
    <x v="0"/>
  </r>
  <r>
    <x v="74"/>
    <x v="4"/>
    <x v="1"/>
    <x v="89"/>
    <x v="259"/>
    <d v="1899-12-30T00:33:00"/>
    <x v="4"/>
    <x v="0"/>
  </r>
  <r>
    <x v="74"/>
    <x v="4"/>
    <x v="1"/>
    <x v="245"/>
    <x v="252"/>
    <d v="1899-12-30T00:25:00"/>
    <x v="1"/>
    <x v="0"/>
  </r>
  <r>
    <x v="74"/>
    <x v="4"/>
    <x v="1"/>
    <x v="174"/>
    <x v="224"/>
    <d v="1899-12-30T00:25:00"/>
    <x v="1"/>
    <x v="0"/>
  </r>
  <r>
    <x v="74"/>
    <x v="4"/>
    <x v="1"/>
    <x v="168"/>
    <x v="260"/>
    <d v="1899-12-30T00:25:00"/>
    <x v="1"/>
    <x v="0"/>
  </r>
  <r>
    <x v="74"/>
    <x v="4"/>
    <x v="1"/>
    <x v="183"/>
    <x v="261"/>
    <d v="1899-12-30T00:25:00"/>
    <x v="1"/>
    <x v="0"/>
  </r>
  <r>
    <x v="74"/>
    <x v="4"/>
    <x v="1"/>
    <x v="253"/>
    <x v="262"/>
    <d v="1899-12-30T00:25:00"/>
    <x v="1"/>
    <x v="0"/>
  </r>
  <r>
    <x v="74"/>
    <x v="4"/>
    <x v="1"/>
    <x v="77"/>
    <x v="225"/>
    <d v="1899-12-30T01:01:00"/>
    <x v="4"/>
    <x v="0"/>
  </r>
  <r>
    <x v="74"/>
    <x v="4"/>
    <x v="1"/>
    <x v="254"/>
    <x v="263"/>
    <d v="1899-12-30T00:25:00"/>
    <x v="1"/>
    <x v="1"/>
  </r>
  <r>
    <x v="74"/>
    <x v="4"/>
    <x v="1"/>
    <x v="255"/>
    <x v="264"/>
    <d v="1899-12-30T00:25:00"/>
    <x v="1"/>
    <x v="0"/>
  </r>
  <r>
    <x v="74"/>
    <x v="4"/>
    <x v="1"/>
    <x v="30"/>
    <x v="31"/>
    <d v="1899-12-30T00:25:00"/>
    <x v="1"/>
    <x v="0"/>
  </r>
  <r>
    <x v="74"/>
    <x v="4"/>
    <x v="1"/>
    <x v="256"/>
    <x v="265"/>
    <d v="1899-12-30T00:25:00"/>
    <x v="1"/>
    <x v="1"/>
  </r>
  <r>
    <x v="75"/>
    <x v="4"/>
    <x v="1"/>
    <x v="15"/>
    <x v="15"/>
    <d v="1899-12-30T00:25:00"/>
    <x v="1"/>
    <x v="0"/>
  </r>
  <r>
    <x v="75"/>
    <x v="4"/>
    <x v="1"/>
    <x v="210"/>
    <x v="215"/>
    <d v="1899-12-30T00:25:00"/>
    <x v="1"/>
    <x v="0"/>
  </r>
  <r>
    <x v="75"/>
    <x v="4"/>
    <x v="1"/>
    <x v="188"/>
    <x v="216"/>
    <d v="1899-12-30T00:25:00"/>
    <x v="1"/>
    <x v="0"/>
  </r>
  <r>
    <x v="75"/>
    <x v="4"/>
    <x v="1"/>
    <x v="257"/>
    <x v="1"/>
    <d v="1899-12-30T00:25:00"/>
    <x v="1"/>
    <x v="0"/>
  </r>
  <r>
    <x v="75"/>
    <x v="4"/>
    <x v="1"/>
    <x v="139"/>
    <x v="99"/>
    <d v="1899-12-30T00:18:00"/>
    <x v="4"/>
    <x v="0"/>
  </r>
  <r>
    <x v="75"/>
    <x v="4"/>
    <x v="1"/>
    <x v="123"/>
    <x v="123"/>
    <d v="1899-12-30T00:25:00"/>
    <x v="1"/>
    <x v="0"/>
  </r>
  <r>
    <x v="75"/>
    <x v="4"/>
    <x v="1"/>
    <x v="124"/>
    <x v="124"/>
    <d v="1899-12-30T00:25:00"/>
    <x v="1"/>
    <x v="0"/>
  </r>
  <r>
    <x v="75"/>
    <x v="4"/>
    <x v="1"/>
    <x v="258"/>
    <x v="266"/>
    <d v="1899-12-30T00:34:00"/>
    <x v="1"/>
    <x v="0"/>
  </r>
  <r>
    <x v="75"/>
    <x v="4"/>
    <x v="1"/>
    <x v="222"/>
    <x v="267"/>
    <d v="1899-12-30T00:25:00"/>
    <x v="1"/>
    <x v="1"/>
  </r>
  <r>
    <x v="75"/>
    <x v="4"/>
    <x v="1"/>
    <x v="259"/>
    <x v="268"/>
    <d v="1899-12-30T01:03:00"/>
    <x v="4"/>
    <x v="0"/>
  </r>
  <r>
    <x v="75"/>
    <x v="4"/>
    <x v="1"/>
    <x v="260"/>
    <x v="194"/>
    <d v="1899-12-30T01:20:00"/>
    <x v="1"/>
    <x v="0"/>
  </r>
  <r>
    <x v="75"/>
    <x v="4"/>
    <x v="1"/>
    <x v="261"/>
    <x v="269"/>
    <d v="1899-12-30T00:25:00"/>
    <x v="1"/>
    <x v="1"/>
  </r>
  <r>
    <x v="75"/>
    <x v="4"/>
    <x v="1"/>
    <x v="202"/>
    <x v="270"/>
    <d v="1899-12-30T00:25:00"/>
    <x v="1"/>
    <x v="1"/>
  </r>
  <r>
    <x v="75"/>
    <x v="4"/>
    <x v="1"/>
    <x v="262"/>
    <x v="230"/>
    <d v="1899-12-30T00:25:00"/>
    <x v="1"/>
    <x v="1"/>
  </r>
  <r>
    <x v="76"/>
    <x v="4"/>
    <x v="1"/>
    <x v="263"/>
    <x v="129"/>
    <d v="1899-12-30T00:35:00"/>
    <x v="5"/>
    <x v="0"/>
  </r>
  <r>
    <x v="77"/>
    <x v="4"/>
    <x v="1"/>
    <x v="138"/>
    <x v="98"/>
    <d v="1899-12-30T01:20:00"/>
    <x v="1"/>
    <x v="0"/>
  </r>
  <r>
    <x v="77"/>
    <x v="4"/>
    <x v="1"/>
    <x v="251"/>
    <x v="188"/>
    <d v="1899-12-30T00:25:00"/>
    <x v="1"/>
    <x v="0"/>
  </r>
  <r>
    <x v="77"/>
    <x v="4"/>
    <x v="1"/>
    <x v="264"/>
    <x v="271"/>
    <d v="1899-12-30T00:25:00"/>
    <x v="1"/>
    <x v="0"/>
  </r>
  <r>
    <x v="77"/>
    <x v="4"/>
    <x v="1"/>
    <x v="265"/>
    <x v="272"/>
    <d v="1899-12-30T00:25:00"/>
    <x v="1"/>
    <x v="0"/>
  </r>
  <r>
    <x v="77"/>
    <x v="4"/>
    <x v="1"/>
    <x v="266"/>
    <x v="273"/>
    <d v="1899-12-30T00:28:00"/>
    <x v="2"/>
    <x v="0"/>
  </r>
  <r>
    <x v="77"/>
    <x v="4"/>
    <x v="1"/>
    <x v="267"/>
    <x v="274"/>
    <d v="1899-12-30T00:49:00"/>
    <x v="1"/>
    <x v="0"/>
  </r>
  <r>
    <x v="78"/>
    <x v="5"/>
    <x v="1"/>
    <x v="268"/>
    <x v="101"/>
    <d v="1899-12-30T00:34:00"/>
    <x v="1"/>
    <x v="0"/>
  </r>
  <r>
    <x v="79"/>
    <x v="5"/>
    <x v="1"/>
    <x v="1"/>
    <x v="61"/>
    <d v="1899-12-30T00:45:00"/>
    <x v="1"/>
    <x v="0"/>
  </r>
  <r>
    <x v="80"/>
    <x v="5"/>
    <x v="1"/>
    <x v="269"/>
    <x v="15"/>
    <d v="1899-12-30T00:47:00"/>
    <x v="1"/>
    <x v="0"/>
  </r>
  <r>
    <x v="80"/>
    <x v="5"/>
    <x v="1"/>
    <x v="270"/>
    <x v="275"/>
    <d v="1899-12-30T01:09:00"/>
    <x v="1"/>
    <x v="0"/>
  </r>
  <r>
    <x v="81"/>
    <x v="5"/>
    <x v="1"/>
    <x v="271"/>
    <x v="276"/>
    <d v="1899-12-30T01:35:00"/>
    <x v="1"/>
    <x v="0"/>
  </r>
  <r>
    <x v="81"/>
    <x v="5"/>
    <x v="1"/>
    <x v="272"/>
    <x v="193"/>
    <d v="1899-12-30T01:01:00"/>
    <x v="1"/>
    <x v="0"/>
  </r>
  <r>
    <x v="81"/>
    <x v="5"/>
    <x v="1"/>
    <x v="1"/>
    <x v="61"/>
    <d v="1899-12-30T01:00:00"/>
    <x v="1"/>
    <x v="0"/>
  </r>
  <r>
    <x v="82"/>
    <x v="5"/>
    <x v="1"/>
    <x v="1"/>
    <x v="61"/>
    <d v="1899-12-30T01:20:00"/>
    <x v="1"/>
    <x v="0"/>
  </r>
  <r>
    <x v="82"/>
    <x v="5"/>
    <x v="1"/>
    <x v="1"/>
    <x v="61"/>
    <d v="1899-12-30T01:15:00"/>
    <x v="1"/>
    <x v="0"/>
  </r>
  <r>
    <x v="83"/>
    <x v="5"/>
    <x v="1"/>
    <x v="273"/>
    <x v="277"/>
    <d v="1899-12-30T00:28:00"/>
    <x v="1"/>
    <x v="0"/>
  </r>
  <r>
    <x v="83"/>
    <x v="5"/>
    <x v="1"/>
    <x v="116"/>
    <x v="1"/>
    <d v="1899-12-30T00:30:00"/>
    <x v="1"/>
    <x v="0"/>
  </r>
  <r>
    <x v="83"/>
    <x v="5"/>
    <x v="1"/>
    <x v="274"/>
    <x v="81"/>
    <d v="1899-12-30T01:00:00"/>
    <x v="0"/>
    <x v="0"/>
  </r>
  <r>
    <x v="84"/>
    <x v="5"/>
    <x v="1"/>
    <x v="264"/>
    <x v="278"/>
    <d v="1899-12-30T00:25:00"/>
    <x v="1"/>
    <x v="0"/>
  </r>
  <r>
    <x v="84"/>
    <x v="5"/>
    <x v="1"/>
    <x v="275"/>
    <x v="279"/>
    <d v="1899-12-30T00:55:00"/>
    <x v="1"/>
    <x v="0"/>
  </r>
  <r>
    <x v="85"/>
    <x v="5"/>
    <x v="1"/>
    <x v="148"/>
    <x v="280"/>
    <d v="1899-12-30T01:25:00"/>
    <x v="1"/>
    <x v="0"/>
  </r>
  <r>
    <x v="86"/>
    <x v="5"/>
    <x v="1"/>
    <x v="276"/>
    <x v="281"/>
    <d v="1899-12-30T01:57:00"/>
    <x v="1"/>
    <x v="0"/>
  </r>
  <r>
    <x v="87"/>
    <x v="5"/>
    <x v="1"/>
    <x v="245"/>
    <x v="252"/>
    <d v="1899-12-30T00:25:00"/>
    <x v="0"/>
    <x v="0"/>
  </r>
  <r>
    <x v="87"/>
    <x v="5"/>
    <x v="1"/>
    <x v="245"/>
    <x v="252"/>
    <d v="1899-12-30T00:25:00"/>
    <x v="0"/>
    <x v="0"/>
  </r>
  <r>
    <x v="87"/>
    <x v="5"/>
    <x v="1"/>
    <x v="174"/>
    <x v="224"/>
    <d v="1899-12-30T00:25:00"/>
    <x v="0"/>
    <x v="0"/>
  </r>
  <r>
    <x v="88"/>
    <x v="5"/>
    <x v="1"/>
    <x v="277"/>
    <x v="282"/>
    <d v="1899-12-30T00:17:00"/>
    <x v="0"/>
    <x v="0"/>
  </r>
  <r>
    <x v="88"/>
    <x v="5"/>
    <x v="1"/>
    <x v="278"/>
    <x v="119"/>
    <d v="1899-12-30T00:38:00"/>
    <x v="0"/>
    <x v="0"/>
  </r>
  <r>
    <x v="89"/>
    <x v="5"/>
    <x v="1"/>
    <x v="279"/>
    <x v="283"/>
    <d v="1899-12-30T00:54:00"/>
    <x v="0"/>
    <x v="0"/>
  </r>
  <r>
    <x v="89"/>
    <x v="5"/>
    <x v="1"/>
    <x v="218"/>
    <x v="284"/>
    <d v="1899-12-30T01:00:00"/>
    <x v="1"/>
    <x v="0"/>
  </r>
  <r>
    <x v="90"/>
    <x v="5"/>
    <x v="1"/>
    <x v="123"/>
    <x v="285"/>
    <d v="1899-12-30T00:51:00"/>
    <x v="1"/>
    <x v="0"/>
  </r>
  <r>
    <x v="90"/>
    <x v="5"/>
    <x v="1"/>
    <x v="280"/>
    <x v="286"/>
    <d v="1899-12-30T00:33:00"/>
    <x v="0"/>
    <x v="0"/>
  </r>
  <r>
    <x v="90"/>
    <x v="5"/>
    <x v="1"/>
    <x v="246"/>
    <x v="162"/>
    <d v="1899-12-30T01:28:00"/>
    <x v="1"/>
    <x v="0"/>
  </r>
  <r>
    <x v="91"/>
    <x v="6"/>
    <x v="1"/>
    <x v="281"/>
    <x v="287"/>
    <d v="1899-12-30T00:28:00"/>
    <x v="0"/>
    <x v="0"/>
  </r>
  <r>
    <x v="92"/>
    <x v="6"/>
    <x v="1"/>
    <x v="159"/>
    <x v="288"/>
    <d v="1899-12-30T00:43:00"/>
    <x v="1"/>
    <x v="0"/>
  </r>
  <r>
    <x v="93"/>
    <x v="6"/>
    <x v="1"/>
    <x v="282"/>
    <x v="200"/>
    <d v="1899-12-30T00:31:00"/>
    <x v="0"/>
    <x v="0"/>
  </r>
  <r>
    <x v="94"/>
    <x v="6"/>
    <x v="1"/>
    <x v="98"/>
    <x v="289"/>
    <d v="1899-12-30T00:49:00"/>
    <x v="0"/>
    <x v="0"/>
  </r>
  <r>
    <x v="94"/>
    <x v="6"/>
    <x v="1"/>
    <x v="283"/>
    <x v="290"/>
    <d v="1899-12-30T00:48:00"/>
    <x v="1"/>
    <x v="0"/>
  </r>
  <r>
    <x v="94"/>
    <x v="6"/>
    <x v="1"/>
    <x v="51"/>
    <x v="291"/>
    <d v="1899-12-30T00:57:00"/>
    <x v="1"/>
    <x v="0"/>
  </r>
  <r>
    <x v="95"/>
    <x v="6"/>
    <x v="1"/>
    <x v="284"/>
    <x v="63"/>
    <d v="1899-12-30T00:37:00"/>
    <x v="0"/>
    <x v="0"/>
  </r>
  <r>
    <x v="95"/>
    <x v="6"/>
    <x v="1"/>
    <x v="285"/>
    <x v="21"/>
    <d v="1899-12-30T00:29:00"/>
    <x v="0"/>
    <x v="0"/>
  </r>
  <r>
    <x v="96"/>
    <x v="6"/>
    <x v="1"/>
    <x v="263"/>
    <x v="24"/>
    <d v="1899-12-30T00:25:00"/>
    <x v="0"/>
    <x v="0"/>
  </r>
  <r>
    <x v="96"/>
    <x v="6"/>
    <x v="1"/>
    <x v="286"/>
    <x v="292"/>
    <d v="1899-12-30T00:25:00"/>
    <x v="0"/>
    <x v="0"/>
  </r>
  <r>
    <x v="96"/>
    <x v="6"/>
    <x v="1"/>
    <x v="287"/>
    <x v="293"/>
    <d v="1899-12-30T00:25:00"/>
    <x v="0"/>
    <x v="0"/>
  </r>
  <r>
    <x v="96"/>
    <x v="6"/>
    <x v="1"/>
    <x v="288"/>
    <x v="294"/>
    <d v="1899-12-30T00:28:00"/>
    <x v="0"/>
    <x v="0"/>
  </r>
  <r>
    <x v="96"/>
    <x v="6"/>
    <x v="1"/>
    <x v="257"/>
    <x v="295"/>
    <d v="1899-12-30T00:33:00"/>
    <x v="4"/>
    <x v="0"/>
  </r>
  <r>
    <x v="96"/>
    <x v="6"/>
    <x v="1"/>
    <x v="204"/>
    <x v="296"/>
    <d v="1899-12-30T00:25:00"/>
    <x v="0"/>
    <x v="0"/>
  </r>
  <r>
    <x v="96"/>
    <x v="6"/>
    <x v="1"/>
    <x v="289"/>
    <x v="297"/>
    <d v="1899-12-30T00:25:00"/>
    <x v="0"/>
    <x v="0"/>
  </r>
  <r>
    <x v="96"/>
    <x v="6"/>
    <x v="1"/>
    <x v="290"/>
    <x v="168"/>
    <d v="1899-12-30T00:25:00"/>
    <x v="0"/>
    <x v="0"/>
  </r>
  <r>
    <x v="96"/>
    <x v="6"/>
    <x v="1"/>
    <x v="169"/>
    <x v="111"/>
    <d v="1899-12-30T00:10:00"/>
    <x v="0"/>
    <x v="0"/>
  </r>
  <r>
    <x v="96"/>
    <x v="6"/>
    <x v="1"/>
    <x v="291"/>
    <x v="126"/>
    <d v="1899-12-30T00:17:00"/>
    <x v="0"/>
    <x v="0"/>
  </r>
  <r>
    <x v="97"/>
    <x v="6"/>
    <x v="1"/>
    <x v="279"/>
    <x v="298"/>
    <d v="1899-12-30T00:35:00"/>
    <x v="0"/>
    <x v="0"/>
  </r>
  <r>
    <x v="97"/>
    <x v="6"/>
    <x v="1"/>
    <x v="292"/>
    <x v="299"/>
    <d v="1899-12-30T00:25:00"/>
    <x v="0"/>
    <x v="0"/>
  </r>
  <r>
    <x v="97"/>
    <x v="6"/>
    <x v="1"/>
    <x v="293"/>
    <x v="300"/>
    <d v="1899-12-30T00:25:00"/>
    <x v="0"/>
    <x v="0"/>
  </r>
  <r>
    <x v="97"/>
    <x v="6"/>
    <x v="1"/>
    <x v="294"/>
    <x v="301"/>
    <d v="1899-12-30T00:25:00"/>
    <x v="0"/>
    <x v="0"/>
  </r>
  <r>
    <x v="97"/>
    <x v="6"/>
    <x v="1"/>
    <x v="295"/>
    <x v="302"/>
    <d v="1899-12-30T00:25:00"/>
    <x v="0"/>
    <x v="0"/>
  </r>
  <r>
    <x v="97"/>
    <x v="6"/>
    <x v="1"/>
    <x v="296"/>
    <x v="303"/>
    <d v="1899-12-30T00:26:00"/>
    <x v="0"/>
    <x v="0"/>
  </r>
  <r>
    <x v="97"/>
    <x v="6"/>
    <x v="1"/>
    <x v="297"/>
    <x v="13"/>
    <d v="1899-12-30T00:34:00"/>
    <x v="4"/>
    <x v="0"/>
  </r>
  <r>
    <x v="97"/>
    <x v="6"/>
    <x v="1"/>
    <x v="112"/>
    <x v="113"/>
    <d v="1899-12-30T00:25:00"/>
    <x v="0"/>
    <x v="0"/>
  </r>
  <r>
    <x v="97"/>
    <x v="6"/>
    <x v="1"/>
    <x v="234"/>
    <x v="242"/>
    <d v="1899-12-30T00:25:00"/>
    <x v="0"/>
    <x v="0"/>
  </r>
  <r>
    <x v="97"/>
    <x v="6"/>
    <x v="1"/>
    <x v="138"/>
    <x v="215"/>
    <d v="1899-12-30T00:38:00"/>
    <x v="0"/>
    <x v="0"/>
  </r>
  <r>
    <x v="98"/>
    <x v="6"/>
    <x v="1"/>
    <x v="130"/>
    <x v="304"/>
    <d v="1899-12-30T00:53:00"/>
    <x v="0"/>
    <x v="0"/>
  </r>
  <r>
    <x v="99"/>
    <x v="6"/>
    <x v="1"/>
    <x v="1"/>
    <x v="61"/>
    <d v="1899-12-30T02:50:00"/>
    <x v="0"/>
    <x v="0"/>
  </r>
  <r>
    <x v="99"/>
    <x v="6"/>
    <x v="1"/>
    <x v="255"/>
    <x v="305"/>
    <d v="1899-12-30T00:57:00"/>
    <x v="0"/>
    <x v="0"/>
  </r>
  <r>
    <x v="100"/>
    <x v="6"/>
    <x v="1"/>
    <x v="18"/>
    <x v="306"/>
    <d v="1899-12-30T00:36:00"/>
    <x v="0"/>
    <x v="0"/>
  </r>
  <r>
    <x v="100"/>
    <x v="6"/>
    <x v="1"/>
    <x v="298"/>
    <x v="307"/>
    <d v="1899-12-30T01:25:00"/>
    <x v="0"/>
    <x v="0"/>
  </r>
  <r>
    <x v="100"/>
    <x v="6"/>
    <x v="1"/>
    <x v="54"/>
    <x v="308"/>
    <d v="1899-12-30T00:32:00"/>
    <x v="0"/>
    <x v="0"/>
  </r>
  <r>
    <x v="101"/>
    <x v="6"/>
    <x v="1"/>
    <x v="299"/>
    <x v="115"/>
    <d v="1899-12-30T00:59:00"/>
    <x v="0"/>
    <x v="0"/>
  </r>
  <r>
    <x v="101"/>
    <x v="6"/>
    <x v="1"/>
    <x v="300"/>
    <x v="23"/>
    <d v="1899-12-30T00:58:00"/>
    <x v="0"/>
    <x v="0"/>
  </r>
  <r>
    <x v="101"/>
    <x v="6"/>
    <x v="1"/>
    <x v="278"/>
    <x v="240"/>
    <d v="1899-12-30T01:20:00"/>
    <x v="0"/>
    <x v="0"/>
  </r>
  <r>
    <x v="101"/>
    <x v="6"/>
    <x v="1"/>
    <x v="4"/>
    <x v="132"/>
    <d v="1899-12-30T00:47:00"/>
    <x v="0"/>
    <x v="0"/>
  </r>
  <r>
    <x v="102"/>
    <x v="6"/>
    <x v="1"/>
    <x v="301"/>
    <x v="73"/>
    <d v="1899-12-30T01:11:00"/>
    <x v="0"/>
    <x v="0"/>
  </r>
  <r>
    <x v="102"/>
    <x v="6"/>
    <x v="1"/>
    <x v="302"/>
    <x v="309"/>
    <d v="1899-12-30T00:54:00"/>
    <x v="0"/>
    <x v="0"/>
  </r>
  <r>
    <x v="102"/>
    <x v="6"/>
    <x v="1"/>
    <x v="132"/>
    <x v="310"/>
    <d v="1899-12-30T00:24:00"/>
    <x v="0"/>
    <x v="0"/>
  </r>
  <r>
    <x v="102"/>
    <x v="6"/>
    <x v="1"/>
    <x v="133"/>
    <x v="311"/>
    <d v="1899-12-30T00:59:00"/>
    <x v="0"/>
    <x v="0"/>
  </r>
  <r>
    <x v="102"/>
    <x v="6"/>
    <x v="1"/>
    <x v="205"/>
    <x v="312"/>
    <d v="1899-12-30T00:27:00"/>
    <x v="0"/>
    <x v="0"/>
  </r>
  <r>
    <x v="102"/>
    <x v="6"/>
    <x v="1"/>
    <x v="303"/>
    <x v="313"/>
    <d v="1899-12-30T00:37:00"/>
    <x v="0"/>
    <x v="0"/>
  </r>
  <r>
    <x v="103"/>
    <x v="6"/>
    <x v="1"/>
    <x v="304"/>
    <x v="314"/>
    <d v="1899-12-30T01:13:00"/>
    <x v="0"/>
    <x v="0"/>
  </r>
  <r>
    <x v="103"/>
    <x v="6"/>
    <x v="1"/>
    <x v="234"/>
    <x v="315"/>
    <d v="1899-12-30T01:11:00"/>
    <x v="0"/>
    <x v="0"/>
  </r>
  <r>
    <x v="103"/>
    <x v="6"/>
    <x v="1"/>
    <x v="199"/>
    <x v="316"/>
    <d v="1899-12-30T01:38:00"/>
    <x v="0"/>
    <x v="0"/>
  </r>
  <r>
    <x v="104"/>
    <x v="6"/>
    <x v="1"/>
    <x v="305"/>
    <x v="317"/>
    <d v="1899-12-30T00:58:00"/>
    <x v="0"/>
    <x v="0"/>
  </r>
  <r>
    <x v="105"/>
    <x v="6"/>
    <x v="1"/>
    <x v="306"/>
    <x v="318"/>
    <d v="1899-12-30T00:50:00"/>
    <x v="0"/>
    <x v="0"/>
  </r>
  <r>
    <x v="105"/>
    <x v="6"/>
    <x v="1"/>
    <x v="307"/>
    <x v="319"/>
    <d v="1899-12-30T00:37:00"/>
    <x v="0"/>
    <x v="0"/>
  </r>
  <r>
    <x v="105"/>
    <x v="6"/>
    <x v="1"/>
    <x v="308"/>
    <x v="200"/>
    <d v="1899-12-30T00:19:00"/>
    <x v="0"/>
    <x v="0"/>
  </r>
  <r>
    <x v="105"/>
    <x v="6"/>
    <x v="1"/>
    <x v="309"/>
    <x v="174"/>
    <d v="1899-12-30T00:15:00"/>
    <x v="0"/>
    <x v="0"/>
  </r>
  <r>
    <x v="106"/>
    <x v="6"/>
    <x v="1"/>
    <x v="310"/>
    <x v="13"/>
    <d v="1899-12-30T00:48:00"/>
    <x v="5"/>
    <x v="0"/>
  </r>
  <r>
    <x v="107"/>
    <x v="6"/>
    <x v="1"/>
    <x v="304"/>
    <x v="308"/>
    <d v="1899-12-30T00:43:00"/>
    <x v="0"/>
    <x v="0"/>
  </r>
  <r>
    <x v="107"/>
    <x v="6"/>
    <x v="1"/>
    <x v="297"/>
    <x v="147"/>
    <d v="1899-12-30T01:11:00"/>
    <x v="0"/>
    <x v="0"/>
  </r>
  <r>
    <x v="107"/>
    <x v="6"/>
    <x v="1"/>
    <x v="287"/>
    <x v="241"/>
    <d v="1899-12-30T01:12:00"/>
    <x v="0"/>
    <x v="0"/>
  </r>
  <r>
    <x v="107"/>
    <x v="6"/>
    <x v="1"/>
    <x v="311"/>
    <x v="320"/>
    <d v="1899-12-30T01:10:00"/>
    <x v="0"/>
    <x v="0"/>
  </r>
  <r>
    <x v="108"/>
    <x v="6"/>
    <x v="1"/>
    <x v="312"/>
    <x v="321"/>
    <d v="1899-12-30T00:57:00"/>
    <x v="0"/>
    <x v="0"/>
  </r>
  <r>
    <x v="108"/>
    <x v="6"/>
    <x v="1"/>
    <x v="313"/>
    <x v="322"/>
    <d v="1899-12-30T01:16:00"/>
    <x v="0"/>
    <x v="0"/>
  </r>
  <r>
    <x v="108"/>
    <x v="6"/>
    <x v="1"/>
    <x v="233"/>
    <x v="323"/>
    <d v="1899-12-30T00:14:00"/>
    <x v="0"/>
    <x v="0"/>
  </r>
  <r>
    <x v="109"/>
    <x v="6"/>
    <x v="1"/>
    <x v="1"/>
    <x v="61"/>
    <d v="1899-12-30T02:00:00"/>
    <x v="0"/>
    <x v="0"/>
  </r>
  <r>
    <x v="109"/>
    <x v="6"/>
    <x v="1"/>
    <x v="314"/>
    <x v="324"/>
    <d v="1899-12-30T00:32:00"/>
    <x v="0"/>
    <x v="0"/>
  </r>
  <r>
    <x v="110"/>
    <x v="6"/>
    <x v="1"/>
    <x v="252"/>
    <x v="325"/>
    <d v="1899-12-30T01:56:00"/>
    <x v="0"/>
    <x v="0"/>
  </r>
  <r>
    <x v="110"/>
    <x v="6"/>
    <x v="1"/>
    <x v="275"/>
    <x v="326"/>
    <d v="1899-12-30T00:54:00"/>
    <x v="0"/>
    <x v="0"/>
  </r>
  <r>
    <x v="111"/>
    <x v="6"/>
    <x v="1"/>
    <x v="315"/>
    <x v="327"/>
    <d v="1899-12-30T00:33:00"/>
    <x v="0"/>
    <x v="0"/>
  </r>
  <r>
    <x v="111"/>
    <x v="6"/>
    <x v="1"/>
    <x v="316"/>
    <x v="328"/>
    <d v="1899-12-30T00:43:00"/>
    <x v="0"/>
    <x v="0"/>
  </r>
  <r>
    <x v="112"/>
    <x v="6"/>
    <x v="1"/>
    <x v="317"/>
    <x v="329"/>
    <d v="1899-12-30T01:15:00"/>
    <x v="0"/>
    <x v="0"/>
  </r>
  <r>
    <x v="113"/>
    <x v="6"/>
    <x v="1"/>
    <x v="318"/>
    <x v="330"/>
    <d v="1899-12-30T01:07:00"/>
    <x v="0"/>
    <x v="0"/>
  </r>
  <r>
    <x v="113"/>
    <x v="6"/>
    <x v="1"/>
    <x v="218"/>
    <x v="250"/>
    <d v="1899-12-30T01:07:00"/>
    <x v="0"/>
    <x v="0"/>
  </r>
  <r>
    <x v="113"/>
    <x v="6"/>
    <x v="1"/>
    <x v="319"/>
    <x v="241"/>
    <d v="1899-12-30T00:16:00"/>
    <x v="0"/>
    <x v="0"/>
  </r>
  <r>
    <x v="113"/>
    <x v="6"/>
    <x v="1"/>
    <x v="100"/>
    <x v="316"/>
    <d v="1899-12-30T00:42:00"/>
    <x v="0"/>
    <x v="0"/>
  </r>
  <r>
    <x v="113"/>
    <x v="6"/>
    <x v="1"/>
    <x v="320"/>
    <x v="331"/>
    <d v="1899-12-30T00:36:00"/>
    <x v="0"/>
    <x v="0"/>
  </r>
  <r>
    <x v="113"/>
    <x v="6"/>
    <x v="1"/>
    <x v="232"/>
    <x v="270"/>
    <d v="1899-12-30T00:15:00"/>
    <x v="0"/>
    <x v="0"/>
  </r>
  <r>
    <x v="114"/>
    <x v="7"/>
    <x v="1"/>
    <x v="214"/>
    <x v="220"/>
    <d v="1899-12-30T00:25:00"/>
    <x v="3"/>
    <x v="0"/>
  </r>
  <r>
    <x v="114"/>
    <x v="7"/>
    <x v="1"/>
    <x v="254"/>
    <x v="263"/>
    <d v="1899-12-30T00:25:00"/>
    <x v="0"/>
    <x v="0"/>
  </r>
  <r>
    <x v="114"/>
    <x v="7"/>
    <x v="1"/>
    <x v="255"/>
    <x v="264"/>
    <d v="1899-12-30T00:33:00"/>
    <x v="0"/>
    <x v="0"/>
  </r>
  <r>
    <x v="115"/>
    <x v="7"/>
    <x v="1"/>
    <x v="13"/>
    <x v="13"/>
    <d v="1899-12-30T00:25:00"/>
    <x v="0"/>
    <x v="0"/>
  </r>
  <r>
    <x v="115"/>
    <x v="7"/>
    <x v="1"/>
    <x v="14"/>
    <x v="14"/>
    <d v="1899-12-30T00:25:00"/>
    <x v="0"/>
    <x v="0"/>
  </r>
  <r>
    <x v="115"/>
    <x v="7"/>
    <x v="1"/>
    <x v="15"/>
    <x v="15"/>
    <d v="1899-12-30T00:25:00"/>
    <x v="0"/>
    <x v="0"/>
  </r>
  <r>
    <x v="115"/>
    <x v="7"/>
    <x v="1"/>
    <x v="16"/>
    <x v="16"/>
    <d v="1899-12-30T00:25:00"/>
    <x v="0"/>
    <x v="0"/>
  </r>
  <r>
    <x v="115"/>
    <x v="7"/>
    <x v="1"/>
    <x v="321"/>
    <x v="324"/>
    <d v="1899-12-30T00:33:00"/>
    <x v="0"/>
    <x v="0"/>
  </r>
  <r>
    <x v="116"/>
    <x v="7"/>
    <x v="1"/>
    <x v="322"/>
    <x v="2"/>
    <d v="1899-12-30T01:11:00"/>
    <x v="0"/>
    <x v="0"/>
  </r>
  <r>
    <x v="116"/>
    <x v="7"/>
    <x v="1"/>
    <x v="323"/>
    <x v="332"/>
    <d v="1899-12-30T01:22:00"/>
    <x v="0"/>
    <x v="0"/>
  </r>
  <r>
    <x v="117"/>
    <x v="7"/>
    <x v="1"/>
    <x v="52"/>
    <x v="333"/>
    <d v="1899-12-30T00:21:00"/>
    <x v="0"/>
    <x v="0"/>
  </r>
  <r>
    <x v="117"/>
    <x v="7"/>
    <x v="1"/>
    <x v="13"/>
    <x v="334"/>
    <d v="1899-12-30T00:38:00"/>
    <x v="0"/>
    <x v="0"/>
  </r>
  <r>
    <x v="117"/>
    <x v="7"/>
    <x v="1"/>
    <x v="317"/>
    <x v="86"/>
    <d v="1899-12-30T00:55:00"/>
    <x v="0"/>
    <x v="0"/>
  </r>
  <r>
    <x v="117"/>
    <x v="7"/>
    <x v="1"/>
    <x v="243"/>
    <x v="335"/>
    <d v="1899-12-30T00:07:00"/>
    <x v="0"/>
    <x v="0"/>
  </r>
  <r>
    <x v="117"/>
    <x v="7"/>
    <x v="1"/>
    <x v="31"/>
    <x v="32"/>
    <d v="1899-12-30T00:25:00"/>
    <x v="0"/>
    <x v="0"/>
  </r>
  <r>
    <x v="117"/>
    <x v="7"/>
    <x v="1"/>
    <x v="25"/>
    <x v="25"/>
    <d v="1899-12-30T00:25:00"/>
    <x v="0"/>
    <x v="0"/>
  </r>
  <r>
    <x v="118"/>
    <x v="7"/>
    <x v="1"/>
    <x v="324"/>
    <x v="336"/>
    <d v="1899-12-30T00:27:00"/>
    <x v="0"/>
    <x v="0"/>
  </r>
  <r>
    <x v="118"/>
    <x v="7"/>
    <x v="1"/>
    <x v="116"/>
    <x v="337"/>
    <d v="1899-12-30T00:54:00"/>
    <x v="0"/>
    <x v="0"/>
  </r>
  <r>
    <x v="118"/>
    <x v="7"/>
    <x v="1"/>
    <x v="325"/>
    <x v="113"/>
    <d v="1899-12-30T00:27:00"/>
    <x v="0"/>
    <x v="0"/>
  </r>
  <r>
    <x v="118"/>
    <x v="7"/>
    <x v="1"/>
    <x v="326"/>
    <x v="329"/>
    <d v="1899-12-30T00:51:00"/>
    <x v="0"/>
    <x v="0"/>
  </r>
  <r>
    <x v="119"/>
    <x v="7"/>
    <x v="1"/>
    <x v="327"/>
    <x v="48"/>
    <d v="1899-12-30T00:45:00"/>
    <x v="3"/>
    <x v="0"/>
  </r>
  <r>
    <x v="120"/>
    <x v="7"/>
    <x v="1"/>
    <x v="328"/>
    <x v="338"/>
    <d v="1899-12-30T00:37:00"/>
    <x v="0"/>
    <x v="0"/>
  </r>
  <r>
    <x v="120"/>
    <x v="7"/>
    <x v="1"/>
    <x v="329"/>
    <x v="339"/>
    <d v="1899-12-30T00:23:00"/>
    <x v="0"/>
    <x v="0"/>
  </r>
  <r>
    <x v="120"/>
    <x v="7"/>
    <x v="1"/>
    <x v="147"/>
    <x v="329"/>
    <d v="1899-12-30T00:43:00"/>
    <x v="0"/>
    <x v="0"/>
  </r>
  <r>
    <x v="120"/>
    <x v="7"/>
    <x v="1"/>
    <x v="330"/>
    <x v="251"/>
    <d v="1899-12-30T00:13:00"/>
    <x v="0"/>
    <x v="0"/>
  </r>
  <r>
    <x v="121"/>
    <x v="7"/>
    <x v="1"/>
    <x v="13"/>
    <x v="13"/>
    <d v="1899-12-30T00:25:00"/>
    <x v="3"/>
    <x v="0"/>
  </r>
  <r>
    <x v="121"/>
    <x v="7"/>
    <x v="1"/>
    <x v="14"/>
    <x v="120"/>
    <d v="1899-12-30T00:35:00"/>
    <x v="0"/>
    <x v="0"/>
  </r>
  <r>
    <x v="122"/>
    <x v="7"/>
    <x v="1"/>
    <x v="14"/>
    <x v="14"/>
    <d v="1899-12-30T00:25:00"/>
    <x v="0"/>
    <x v="0"/>
  </r>
  <r>
    <x v="122"/>
    <x v="7"/>
    <x v="1"/>
    <x v="15"/>
    <x v="15"/>
    <d v="1899-12-30T00:25:00"/>
    <x v="0"/>
    <x v="0"/>
  </r>
  <r>
    <x v="122"/>
    <x v="7"/>
    <x v="1"/>
    <x v="210"/>
    <x v="215"/>
    <d v="1899-12-30T00:25:00"/>
    <x v="0"/>
    <x v="0"/>
  </r>
  <r>
    <x v="122"/>
    <x v="7"/>
    <x v="1"/>
    <x v="331"/>
    <x v="327"/>
    <d v="1899-12-30T00:26:00"/>
    <x v="0"/>
    <x v="0"/>
  </r>
  <r>
    <x v="122"/>
    <x v="7"/>
    <x v="1"/>
    <x v="332"/>
    <x v="93"/>
    <d v="1899-12-30T00:33:00"/>
    <x v="4"/>
    <x v="0"/>
  </r>
  <r>
    <x v="122"/>
    <x v="7"/>
    <x v="1"/>
    <x v="47"/>
    <x v="48"/>
    <d v="1899-12-30T00:25:00"/>
    <x v="0"/>
    <x v="0"/>
  </r>
  <r>
    <x v="122"/>
    <x v="7"/>
    <x v="1"/>
    <x v="48"/>
    <x v="49"/>
    <d v="1899-12-30T00:25:00"/>
    <x v="0"/>
    <x v="0"/>
  </r>
  <r>
    <x v="122"/>
    <x v="7"/>
    <x v="1"/>
    <x v="50"/>
    <x v="51"/>
    <d v="1899-12-30T00:25:00"/>
    <x v="0"/>
    <x v="0"/>
  </r>
  <r>
    <x v="122"/>
    <x v="7"/>
    <x v="1"/>
    <x v="94"/>
    <x v="94"/>
    <d v="1899-12-30T00:25:00"/>
    <x v="0"/>
    <x v="0"/>
  </r>
  <r>
    <x v="122"/>
    <x v="7"/>
    <x v="1"/>
    <x v="291"/>
    <x v="103"/>
    <d v="1899-12-30T01:18:00"/>
    <x v="4"/>
    <x v="0"/>
  </r>
  <r>
    <x v="122"/>
    <x v="7"/>
    <x v="1"/>
    <x v="333"/>
    <x v="183"/>
    <d v="1899-12-30T00:25:00"/>
    <x v="0"/>
    <x v="0"/>
  </r>
  <r>
    <x v="122"/>
    <x v="7"/>
    <x v="1"/>
    <x v="164"/>
    <x v="163"/>
    <d v="1899-12-30T00:25:00"/>
    <x v="0"/>
    <x v="0"/>
  </r>
  <r>
    <x v="122"/>
    <x v="7"/>
    <x v="1"/>
    <x v="165"/>
    <x v="164"/>
    <d v="1899-12-30T00:28:00"/>
    <x v="0"/>
    <x v="0"/>
  </r>
  <r>
    <x v="123"/>
    <x v="7"/>
    <x v="1"/>
    <x v="334"/>
    <x v="340"/>
    <d v="1899-12-30T00:52:00"/>
    <x v="0"/>
    <x v="0"/>
  </r>
  <r>
    <x v="123"/>
    <x v="7"/>
    <x v="1"/>
    <x v="335"/>
    <x v="341"/>
    <d v="1899-12-30T01:20:00"/>
    <x v="0"/>
    <x v="0"/>
  </r>
  <r>
    <x v="123"/>
    <x v="7"/>
    <x v="1"/>
    <x v="336"/>
    <x v="92"/>
    <d v="1899-12-30T00:37:00"/>
    <x v="0"/>
    <x v="0"/>
  </r>
  <r>
    <x v="123"/>
    <x v="7"/>
    <x v="1"/>
    <x v="252"/>
    <x v="342"/>
    <d v="1899-12-30T00:31:00"/>
    <x v="0"/>
    <x v="0"/>
  </r>
  <r>
    <x v="123"/>
    <x v="7"/>
    <x v="1"/>
    <x v="337"/>
    <x v="343"/>
    <d v="1899-12-30T00:25:00"/>
    <x v="3"/>
    <x v="0"/>
  </r>
  <r>
    <x v="124"/>
    <x v="7"/>
    <x v="1"/>
    <x v="218"/>
    <x v="344"/>
    <d v="1899-12-30T00:25:00"/>
    <x v="0"/>
    <x v="0"/>
  </r>
  <r>
    <x v="124"/>
    <x v="7"/>
    <x v="1"/>
    <x v="305"/>
    <x v="4"/>
    <d v="1899-12-30T00:44:00"/>
    <x v="0"/>
    <x v="0"/>
  </r>
  <r>
    <x v="124"/>
    <x v="7"/>
    <x v="1"/>
    <x v="338"/>
    <x v="295"/>
    <d v="1899-12-30T00:41:00"/>
    <x v="4"/>
    <x v="0"/>
  </r>
  <r>
    <x v="124"/>
    <x v="7"/>
    <x v="1"/>
    <x v="204"/>
    <x v="296"/>
    <d v="1899-12-30T00:25:00"/>
    <x v="0"/>
    <x v="0"/>
  </r>
  <r>
    <x v="124"/>
    <x v="7"/>
    <x v="1"/>
    <x v="289"/>
    <x v="297"/>
    <d v="1899-12-30T00:29:00"/>
    <x v="0"/>
    <x v="0"/>
  </r>
  <r>
    <x v="125"/>
    <x v="7"/>
    <x v="1"/>
    <x v="128"/>
    <x v="129"/>
    <d v="1899-12-30T00:25:00"/>
    <x v="0"/>
    <x v="0"/>
  </r>
  <r>
    <x v="125"/>
    <x v="7"/>
    <x v="1"/>
    <x v="339"/>
    <x v="345"/>
    <d v="1899-12-30T00:25:00"/>
    <x v="0"/>
    <x v="0"/>
  </r>
  <r>
    <x v="125"/>
    <x v="7"/>
    <x v="1"/>
    <x v="148"/>
    <x v="346"/>
    <d v="1899-12-30T00:25:00"/>
    <x v="0"/>
    <x v="0"/>
  </r>
  <r>
    <x v="125"/>
    <x v="7"/>
    <x v="1"/>
    <x v="340"/>
    <x v="347"/>
    <d v="1899-12-30T00:53:00"/>
    <x v="0"/>
    <x v="0"/>
  </r>
  <r>
    <x v="126"/>
    <x v="7"/>
    <x v="1"/>
    <x v="205"/>
    <x v="348"/>
    <d v="1899-12-30T00:39:00"/>
    <x v="0"/>
    <x v="0"/>
  </r>
  <r>
    <x v="126"/>
    <x v="7"/>
    <x v="1"/>
    <x v="225"/>
    <x v="349"/>
    <d v="1899-12-30T00:25:00"/>
    <x v="0"/>
    <x v="0"/>
  </r>
  <r>
    <x v="126"/>
    <x v="7"/>
    <x v="1"/>
    <x v="341"/>
    <x v="103"/>
    <d v="1899-12-30T00:17:00"/>
    <x v="0"/>
    <x v="0"/>
  </r>
  <r>
    <x v="127"/>
    <x v="7"/>
    <x v="1"/>
    <x v="15"/>
    <x v="15"/>
    <d v="1899-12-30T00:25:00"/>
    <x v="0"/>
    <x v="0"/>
  </r>
  <r>
    <x v="127"/>
    <x v="7"/>
    <x v="1"/>
    <x v="210"/>
    <x v="350"/>
    <d v="1899-12-30T00:37:00"/>
    <x v="0"/>
    <x v="0"/>
  </r>
  <r>
    <x v="127"/>
    <x v="7"/>
    <x v="1"/>
    <x v="342"/>
    <x v="351"/>
    <d v="1899-12-30T00:09:00"/>
    <x v="3"/>
    <x v="0"/>
  </r>
  <r>
    <x v="128"/>
    <x v="7"/>
    <x v="1"/>
    <x v="343"/>
    <x v="2"/>
    <d v="1899-12-30T00:26:00"/>
    <x v="2"/>
    <x v="0"/>
  </r>
  <r>
    <x v="129"/>
    <x v="7"/>
    <x v="1"/>
    <x v="334"/>
    <x v="352"/>
    <d v="1899-12-30T00:56:00"/>
    <x v="3"/>
    <x v="0"/>
  </r>
  <r>
    <x v="129"/>
    <x v="7"/>
    <x v="1"/>
    <x v="15"/>
    <x v="353"/>
    <d v="1899-12-30T01:03:00"/>
    <x v="3"/>
    <x v="0"/>
  </r>
  <r>
    <x v="129"/>
    <x v="7"/>
    <x v="1"/>
    <x v="344"/>
    <x v="290"/>
    <d v="1899-12-30T00:58:00"/>
    <x v="3"/>
    <x v="0"/>
  </r>
  <r>
    <x v="130"/>
    <x v="7"/>
    <x v="1"/>
    <x v="13"/>
    <x v="13"/>
    <d v="1899-12-30T00:25:00"/>
    <x v="0"/>
    <x v="0"/>
  </r>
  <r>
    <x v="130"/>
    <x v="7"/>
    <x v="1"/>
    <x v="14"/>
    <x v="14"/>
    <d v="1899-12-30T00:21:00"/>
    <x v="0"/>
    <x v="0"/>
  </r>
  <r>
    <x v="130"/>
    <x v="7"/>
    <x v="1"/>
    <x v="15"/>
    <x v="15"/>
    <d v="1899-12-30T00:25:00"/>
    <x v="0"/>
    <x v="0"/>
  </r>
  <r>
    <x v="130"/>
    <x v="7"/>
    <x v="1"/>
    <x v="16"/>
    <x v="16"/>
    <d v="1899-12-30T00:27:00"/>
    <x v="0"/>
    <x v="0"/>
  </r>
  <r>
    <x v="130"/>
    <x v="7"/>
    <x v="1"/>
    <x v="314"/>
    <x v="327"/>
    <d v="1899-12-30T00:30:00"/>
    <x v="4"/>
    <x v="0"/>
  </r>
  <r>
    <x v="130"/>
    <x v="7"/>
    <x v="1"/>
    <x v="332"/>
    <x v="354"/>
    <d v="1899-12-30T00:25:00"/>
    <x v="0"/>
    <x v="0"/>
  </r>
  <r>
    <x v="130"/>
    <x v="7"/>
    <x v="1"/>
    <x v="139"/>
    <x v="140"/>
    <d v="1899-12-30T00:25:00"/>
    <x v="0"/>
    <x v="0"/>
  </r>
  <r>
    <x v="130"/>
    <x v="7"/>
    <x v="1"/>
    <x v="345"/>
    <x v="212"/>
    <d v="1899-12-30T00:25:00"/>
    <x v="0"/>
    <x v="0"/>
  </r>
  <r>
    <x v="130"/>
    <x v="7"/>
    <x v="1"/>
    <x v="346"/>
    <x v="206"/>
    <d v="1899-12-30T00:25:00"/>
    <x v="0"/>
    <x v="0"/>
  </r>
  <r>
    <x v="130"/>
    <x v="7"/>
    <x v="1"/>
    <x v="102"/>
    <x v="355"/>
    <d v="1899-12-30T00:15:00"/>
    <x v="4"/>
    <x v="0"/>
  </r>
  <r>
    <x v="130"/>
    <x v="7"/>
    <x v="1"/>
    <x v="347"/>
    <x v="356"/>
    <d v="1899-12-30T00:25:00"/>
    <x v="0"/>
    <x v="0"/>
  </r>
  <r>
    <x v="130"/>
    <x v="7"/>
    <x v="1"/>
    <x v="348"/>
    <x v="169"/>
    <d v="1899-12-30T00:25:00"/>
    <x v="0"/>
    <x v="0"/>
  </r>
  <r>
    <x v="130"/>
    <x v="7"/>
    <x v="1"/>
    <x v="349"/>
    <x v="357"/>
    <d v="1899-12-30T00:26:00"/>
    <x v="0"/>
    <x v="0"/>
  </r>
  <r>
    <x v="131"/>
    <x v="7"/>
    <x v="1"/>
    <x v="127"/>
    <x v="128"/>
    <d v="1899-12-30T00:25:00"/>
    <x v="0"/>
    <x v="0"/>
  </r>
  <r>
    <x v="131"/>
    <x v="7"/>
    <x v="1"/>
    <x v="128"/>
    <x v="129"/>
    <d v="1899-12-30T00:25:00"/>
    <x v="0"/>
    <x v="0"/>
  </r>
  <r>
    <x v="131"/>
    <x v="7"/>
    <x v="1"/>
    <x v="339"/>
    <x v="345"/>
    <d v="1899-12-30T00:25:00"/>
    <x v="0"/>
    <x v="0"/>
  </r>
  <r>
    <x v="131"/>
    <x v="7"/>
    <x v="1"/>
    <x v="350"/>
    <x v="131"/>
    <d v="1899-12-30T00:25:00"/>
    <x v="0"/>
    <x v="0"/>
  </r>
  <r>
    <x v="132"/>
    <x v="7"/>
    <x v="1"/>
    <x v="127"/>
    <x v="128"/>
    <d v="1899-12-30T00:25:00"/>
    <x v="0"/>
    <x v="0"/>
  </r>
  <r>
    <x v="132"/>
    <x v="7"/>
    <x v="1"/>
    <x v="128"/>
    <x v="129"/>
    <d v="1899-12-30T00:25:00"/>
    <x v="0"/>
    <x v="0"/>
  </r>
  <r>
    <x v="132"/>
    <x v="7"/>
    <x v="1"/>
    <x v="339"/>
    <x v="345"/>
    <d v="1899-12-30T00:25:00"/>
    <x v="0"/>
    <x v="0"/>
  </r>
  <r>
    <x v="132"/>
    <x v="7"/>
    <x v="1"/>
    <x v="350"/>
    <x v="131"/>
    <d v="1899-12-30T00:25:00"/>
    <x v="0"/>
    <x v="0"/>
  </r>
  <r>
    <x v="132"/>
    <x v="7"/>
    <x v="1"/>
    <x v="131"/>
    <x v="327"/>
    <d v="1899-12-30T00:15:00"/>
    <x v="4"/>
    <x v="0"/>
  </r>
  <r>
    <x v="132"/>
    <x v="7"/>
    <x v="1"/>
    <x v="332"/>
    <x v="354"/>
    <d v="1899-12-30T00:27:00"/>
    <x v="0"/>
    <x v="0"/>
  </r>
  <r>
    <x v="132"/>
    <x v="7"/>
    <x v="1"/>
    <x v="139"/>
    <x v="140"/>
    <d v="1899-12-30T00:25:00"/>
    <x v="0"/>
    <x v="1"/>
  </r>
  <r>
    <x v="132"/>
    <x v="7"/>
    <x v="1"/>
    <x v="345"/>
    <x v="212"/>
    <d v="1899-12-30T00:25:00"/>
    <x v="0"/>
    <x v="1"/>
  </r>
  <r>
    <x v="133"/>
    <x v="7"/>
    <x v="1"/>
    <x v="127"/>
    <x v="128"/>
    <d v="1899-12-30T00:20:00"/>
    <x v="0"/>
    <x v="0"/>
  </r>
  <r>
    <x v="133"/>
    <x v="7"/>
    <x v="1"/>
    <x v="128"/>
    <x v="129"/>
    <d v="1899-12-30T00:25:00"/>
    <x v="0"/>
    <x v="0"/>
  </r>
  <r>
    <x v="133"/>
    <x v="7"/>
    <x v="1"/>
    <x v="339"/>
    <x v="345"/>
    <d v="1899-12-30T00:25:00"/>
    <x v="0"/>
    <x v="1"/>
  </r>
  <r>
    <x v="133"/>
    <x v="7"/>
    <x v="1"/>
    <x v="350"/>
    <x v="131"/>
    <d v="1899-12-30T00:25:00"/>
    <x v="0"/>
    <x v="1"/>
  </r>
  <r>
    <x v="134"/>
    <x v="7"/>
    <x v="1"/>
    <x v="31"/>
    <x v="32"/>
    <d v="1899-12-30T00:25:00"/>
    <x v="0"/>
    <x v="0"/>
  </r>
  <r>
    <x v="135"/>
    <x v="7"/>
    <x v="1"/>
    <x v="109"/>
    <x v="109"/>
    <d v="1899-12-30T00:14:00"/>
    <x v="0"/>
    <x v="0"/>
  </r>
  <r>
    <x v="135"/>
    <x v="7"/>
    <x v="1"/>
    <x v="2"/>
    <x v="2"/>
    <d v="1899-12-30T00:25:00"/>
    <x v="0"/>
    <x v="0"/>
  </r>
  <r>
    <x v="135"/>
    <x v="7"/>
    <x v="1"/>
    <x v="3"/>
    <x v="3"/>
    <d v="1899-12-30T00:25:00"/>
    <x v="0"/>
    <x v="0"/>
  </r>
  <r>
    <x v="135"/>
    <x v="7"/>
    <x v="1"/>
    <x v="243"/>
    <x v="250"/>
    <d v="1899-12-30T00:25:00"/>
    <x v="0"/>
    <x v="0"/>
  </r>
  <r>
    <x v="135"/>
    <x v="7"/>
    <x v="1"/>
    <x v="340"/>
    <x v="241"/>
    <d v="1899-12-30T00:30:00"/>
    <x v="4"/>
    <x v="0"/>
  </r>
  <r>
    <x v="135"/>
    <x v="7"/>
    <x v="1"/>
    <x v="351"/>
    <x v="358"/>
    <d v="1899-12-30T00:25:00"/>
    <x v="0"/>
    <x v="0"/>
  </r>
  <r>
    <x v="135"/>
    <x v="7"/>
    <x v="1"/>
    <x v="89"/>
    <x v="88"/>
    <d v="1899-12-30T00:25:00"/>
    <x v="0"/>
    <x v="0"/>
  </r>
  <r>
    <x v="135"/>
    <x v="7"/>
    <x v="1"/>
    <x v="90"/>
    <x v="89"/>
    <d v="1899-12-30T00:25:00"/>
    <x v="0"/>
    <x v="0"/>
  </r>
  <r>
    <x v="135"/>
    <x v="7"/>
    <x v="1"/>
    <x v="91"/>
    <x v="90"/>
    <d v="1899-12-30T00:25:00"/>
    <x v="0"/>
    <x v="0"/>
  </r>
  <r>
    <x v="135"/>
    <x v="7"/>
    <x v="1"/>
    <x v="352"/>
    <x v="149"/>
    <d v="1899-12-30T00:15:00"/>
    <x v="4"/>
    <x v="0"/>
  </r>
  <r>
    <x v="135"/>
    <x v="7"/>
    <x v="1"/>
    <x v="150"/>
    <x v="359"/>
    <d v="1899-12-30T00:25:00"/>
    <x v="0"/>
    <x v="0"/>
  </r>
  <r>
    <x v="135"/>
    <x v="7"/>
    <x v="1"/>
    <x v="212"/>
    <x v="360"/>
    <d v="1899-12-30T00:25:00"/>
    <x v="0"/>
    <x v="0"/>
  </r>
  <r>
    <x v="135"/>
    <x v="7"/>
    <x v="1"/>
    <x v="353"/>
    <x v="361"/>
    <d v="1899-12-30T00:26:00"/>
    <x v="0"/>
    <x v="0"/>
  </r>
  <r>
    <x v="135"/>
    <x v="7"/>
    <x v="1"/>
    <x v="354"/>
    <x v="233"/>
    <d v="1899-12-30T00:25:00"/>
    <x v="0"/>
    <x v="1"/>
  </r>
  <r>
    <x v="135"/>
    <x v="7"/>
    <x v="1"/>
    <x v="202"/>
    <x v="270"/>
    <d v="1899-12-30T00:25:00"/>
    <x v="0"/>
    <x v="0"/>
  </r>
  <r>
    <x v="135"/>
    <x v="7"/>
    <x v="1"/>
    <x v="355"/>
    <x v="362"/>
    <d v="1899-12-30T00:25:00"/>
    <x v="0"/>
    <x v="0"/>
  </r>
  <r>
    <x v="136"/>
    <x v="7"/>
    <x v="1"/>
    <x v="356"/>
    <x v="25"/>
    <d v="1899-12-30T00:10:00"/>
    <x v="2"/>
    <x v="0"/>
  </r>
  <r>
    <x v="136"/>
    <x v="7"/>
    <x v="1"/>
    <x v="357"/>
    <x v="363"/>
    <d v="1899-12-30T00:34:00"/>
    <x v="0"/>
    <x v="0"/>
  </r>
  <r>
    <x v="136"/>
    <x v="7"/>
    <x v="1"/>
    <x v="358"/>
    <x v="364"/>
    <d v="1899-12-30T00:58:00"/>
    <x v="0"/>
    <x v="0"/>
  </r>
  <r>
    <x v="137"/>
    <x v="7"/>
    <x v="1"/>
    <x v="359"/>
    <x v="282"/>
    <d v="1899-12-30T00:25:00"/>
    <x v="0"/>
    <x v="0"/>
  </r>
  <r>
    <x v="137"/>
    <x v="7"/>
    <x v="1"/>
    <x v="360"/>
    <x v="338"/>
    <d v="1899-12-30T00:25:00"/>
    <x v="0"/>
    <x v="0"/>
  </r>
  <r>
    <x v="137"/>
    <x v="7"/>
    <x v="1"/>
    <x v="13"/>
    <x v="13"/>
    <d v="1899-12-30T00:25:00"/>
    <x v="0"/>
    <x v="0"/>
  </r>
  <r>
    <x v="137"/>
    <x v="7"/>
    <x v="1"/>
    <x v="361"/>
    <x v="339"/>
    <d v="1899-12-30T00:26:00"/>
    <x v="0"/>
    <x v="0"/>
  </r>
  <r>
    <x v="137"/>
    <x v="7"/>
    <x v="1"/>
    <x v="362"/>
    <x v="365"/>
    <d v="1899-12-30T00:15:00"/>
    <x v="4"/>
    <x v="0"/>
  </r>
  <r>
    <x v="137"/>
    <x v="7"/>
    <x v="1"/>
    <x v="120"/>
    <x v="121"/>
    <d v="1899-12-30T00:25:00"/>
    <x v="0"/>
    <x v="0"/>
  </r>
  <r>
    <x v="137"/>
    <x v="7"/>
    <x v="1"/>
    <x v="130"/>
    <x v="350"/>
    <d v="1899-12-30T00:25:00"/>
    <x v="0"/>
    <x v="0"/>
  </r>
  <r>
    <x v="137"/>
    <x v="7"/>
    <x v="1"/>
    <x v="131"/>
    <x v="132"/>
    <d v="1899-12-30T00:25:00"/>
    <x v="0"/>
    <x v="0"/>
  </r>
  <r>
    <x v="137"/>
    <x v="7"/>
    <x v="1"/>
    <x v="363"/>
    <x v="289"/>
    <d v="1899-12-30T00:25:00"/>
    <x v="0"/>
    <x v="0"/>
  </r>
  <r>
    <x v="137"/>
    <x v="7"/>
    <x v="1"/>
    <x v="364"/>
    <x v="366"/>
    <d v="1899-12-30T00:15:00"/>
    <x v="4"/>
    <x v="0"/>
  </r>
  <r>
    <x v="137"/>
    <x v="7"/>
    <x v="1"/>
    <x v="337"/>
    <x v="343"/>
    <d v="1899-12-30T00:25:00"/>
    <x v="0"/>
    <x v="0"/>
  </r>
  <r>
    <x v="137"/>
    <x v="7"/>
    <x v="1"/>
    <x v="365"/>
    <x v="367"/>
    <d v="1899-12-30T00:28:00"/>
    <x v="0"/>
    <x v="0"/>
  </r>
  <r>
    <x v="138"/>
    <x v="7"/>
    <x v="1"/>
    <x v="117"/>
    <x v="118"/>
    <d v="1899-12-30T00:25:00"/>
    <x v="0"/>
    <x v="0"/>
  </r>
  <r>
    <x v="138"/>
    <x v="7"/>
    <x v="1"/>
    <x v="118"/>
    <x v="119"/>
    <d v="1899-12-30T00:21:00"/>
    <x v="0"/>
    <x v="0"/>
  </r>
  <r>
    <x v="138"/>
    <x v="7"/>
    <x v="1"/>
    <x v="119"/>
    <x v="120"/>
    <d v="1899-12-30T00:25:00"/>
    <x v="0"/>
    <x v="0"/>
  </r>
  <r>
    <x v="138"/>
    <x v="7"/>
    <x v="1"/>
    <x v="120"/>
    <x v="121"/>
    <d v="1899-12-30T00:28:00"/>
    <x v="0"/>
    <x v="0"/>
  </r>
  <r>
    <x v="138"/>
    <x v="7"/>
    <x v="1"/>
    <x v="121"/>
    <x v="329"/>
    <d v="1899-12-30T00:15:00"/>
    <x v="4"/>
    <x v="0"/>
  </r>
  <r>
    <x v="138"/>
    <x v="7"/>
    <x v="1"/>
    <x v="243"/>
    <x v="250"/>
    <d v="1899-12-30T00:25:00"/>
    <x v="0"/>
    <x v="1"/>
  </r>
  <r>
    <x v="138"/>
    <x v="7"/>
    <x v="1"/>
    <x v="5"/>
    <x v="241"/>
    <d v="1899-12-30T00:25:00"/>
    <x v="0"/>
    <x v="1"/>
  </r>
  <r>
    <x v="138"/>
    <x v="7"/>
    <x v="1"/>
    <x v="252"/>
    <x v="258"/>
    <d v="1899-12-30T00:25:00"/>
    <x v="0"/>
    <x v="1"/>
  </r>
  <r>
    <x v="138"/>
    <x v="7"/>
    <x v="1"/>
    <x v="337"/>
    <x v="343"/>
    <d v="1899-12-30T00:25:00"/>
    <x v="0"/>
    <x v="1"/>
  </r>
  <r>
    <x v="138"/>
    <x v="7"/>
    <x v="1"/>
    <x v="366"/>
    <x v="368"/>
    <d v="1899-12-30T00:15:00"/>
    <x v="4"/>
    <x v="1"/>
  </r>
  <r>
    <x v="138"/>
    <x v="7"/>
    <x v="1"/>
    <x v="367"/>
    <x v="369"/>
    <d v="1899-12-30T00:25:00"/>
    <x v="0"/>
    <x v="1"/>
  </r>
  <r>
    <x v="138"/>
    <x v="7"/>
    <x v="1"/>
    <x v="149"/>
    <x v="149"/>
    <d v="1899-12-30T00:25:00"/>
    <x v="0"/>
    <x v="1"/>
  </r>
  <r>
    <x v="138"/>
    <x v="7"/>
    <x v="1"/>
    <x v="211"/>
    <x v="217"/>
    <d v="1899-12-30T00:25:00"/>
    <x v="0"/>
    <x v="1"/>
  </r>
  <r>
    <x v="138"/>
    <x v="7"/>
    <x v="1"/>
    <x v="368"/>
    <x v="370"/>
    <d v="1899-12-30T00:25:00"/>
    <x v="0"/>
    <x v="1"/>
  </r>
  <r>
    <x v="139"/>
    <x v="8"/>
    <x v="1"/>
    <x v="119"/>
    <x v="242"/>
    <d v="1899-12-30T00:42:00"/>
    <x v="0"/>
    <x v="0"/>
  </r>
  <r>
    <x v="139"/>
    <x v="8"/>
    <x v="1"/>
    <x v="104"/>
    <x v="104"/>
    <d v="1899-12-30T00:25:00"/>
    <x v="0"/>
    <x v="1"/>
  </r>
  <r>
    <x v="139"/>
    <x v="8"/>
    <x v="1"/>
    <x v="105"/>
    <x v="105"/>
    <d v="1899-12-30T00:25:00"/>
    <x v="0"/>
    <x v="0"/>
  </r>
  <r>
    <x v="139"/>
    <x v="8"/>
    <x v="1"/>
    <x v="181"/>
    <x v="371"/>
    <d v="1899-12-30T00:25:00"/>
    <x v="0"/>
    <x v="0"/>
  </r>
  <r>
    <x v="139"/>
    <x v="8"/>
    <x v="1"/>
    <x v="229"/>
    <x v="372"/>
    <d v="1899-12-30T00:25:00"/>
    <x v="0"/>
    <x v="0"/>
  </r>
  <r>
    <x v="139"/>
    <x v="8"/>
    <x v="1"/>
    <x v="369"/>
    <x v="230"/>
    <d v="1899-12-30T00:15:00"/>
    <x v="4"/>
    <x v="0"/>
  </r>
  <r>
    <x v="139"/>
    <x v="8"/>
    <x v="1"/>
    <x v="250"/>
    <x v="257"/>
    <d v="1899-12-30T00:25:00"/>
    <x v="0"/>
    <x v="0"/>
  </r>
  <r>
    <x v="139"/>
    <x v="8"/>
    <x v="1"/>
    <x v="370"/>
    <x v="373"/>
    <d v="1899-12-30T00:42:00"/>
    <x v="0"/>
    <x v="0"/>
  </r>
  <r>
    <x v="140"/>
    <x v="8"/>
    <x v="1"/>
    <x v="13"/>
    <x v="13"/>
    <d v="1899-12-30T00:31:00"/>
    <x v="0"/>
    <x v="0"/>
  </r>
  <r>
    <x v="140"/>
    <x v="8"/>
    <x v="1"/>
    <x v="108"/>
    <x v="108"/>
    <d v="1899-12-30T00:25:00"/>
    <x v="0"/>
    <x v="1"/>
  </r>
  <r>
    <x v="140"/>
    <x v="8"/>
    <x v="1"/>
    <x v="104"/>
    <x v="104"/>
    <d v="1899-12-30T00:25:00"/>
    <x v="0"/>
    <x v="0"/>
  </r>
  <r>
    <x v="140"/>
    <x v="8"/>
    <x v="1"/>
    <x v="105"/>
    <x v="105"/>
    <d v="1899-12-30T00:25:00"/>
    <x v="0"/>
    <x v="0"/>
  </r>
  <r>
    <x v="140"/>
    <x v="8"/>
    <x v="1"/>
    <x v="106"/>
    <x v="184"/>
    <d v="1899-12-30T00:25:00"/>
    <x v="0"/>
    <x v="0"/>
  </r>
  <r>
    <x v="140"/>
    <x v="8"/>
    <x v="1"/>
    <x v="371"/>
    <x v="196"/>
    <d v="1899-12-30T00:15:00"/>
    <x v="4"/>
    <x v="0"/>
  </r>
  <r>
    <x v="140"/>
    <x v="8"/>
    <x v="1"/>
    <x v="372"/>
    <x v="372"/>
    <d v="1899-12-30T00:15:00"/>
    <x v="2"/>
    <x v="1"/>
  </r>
  <r>
    <x v="140"/>
    <x v="8"/>
    <x v="1"/>
    <x v="373"/>
    <x v="204"/>
    <d v="1899-12-30T00:25:00"/>
    <x v="0"/>
    <x v="0"/>
  </r>
  <r>
    <x v="140"/>
    <x v="8"/>
    <x v="1"/>
    <x v="374"/>
    <x v="374"/>
    <d v="1899-12-30T00:25:00"/>
    <x v="0"/>
    <x v="0"/>
  </r>
  <r>
    <x v="140"/>
    <x v="8"/>
    <x v="1"/>
    <x v="375"/>
    <x v="375"/>
    <d v="1899-12-30T00:25:00"/>
    <x v="0"/>
    <x v="0"/>
  </r>
  <r>
    <x v="141"/>
    <x v="8"/>
    <x v="1"/>
    <x v="127"/>
    <x v="146"/>
    <d v="1899-12-30T00:15:00"/>
    <x v="2"/>
    <x v="0"/>
  </r>
  <r>
    <x v="141"/>
    <x v="8"/>
    <x v="1"/>
    <x v="24"/>
    <x v="376"/>
    <d v="1899-12-30T00:25:00"/>
    <x v="0"/>
    <x v="0"/>
  </r>
  <r>
    <x v="141"/>
    <x v="8"/>
    <x v="1"/>
    <x v="74"/>
    <x v="74"/>
    <d v="1899-12-30T00:49:00"/>
    <x v="3"/>
    <x v="0"/>
  </r>
  <r>
    <x v="142"/>
    <x v="8"/>
    <x v="1"/>
    <x v="54"/>
    <x v="377"/>
    <d v="1899-12-30T00:15:00"/>
    <x v="2"/>
    <x v="0"/>
  </r>
  <r>
    <x v="142"/>
    <x v="8"/>
    <x v="1"/>
    <x v="277"/>
    <x v="378"/>
    <d v="1899-12-30T00:25:00"/>
    <x v="0"/>
    <x v="0"/>
  </r>
  <r>
    <x v="142"/>
    <x v="8"/>
    <x v="1"/>
    <x v="376"/>
    <x v="340"/>
    <d v="1899-12-30T00:25:00"/>
    <x v="0"/>
    <x v="0"/>
  </r>
  <r>
    <x v="142"/>
    <x v="8"/>
    <x v="1"/>
    <x v="377"/>
    <x v="379"/>
    <d v="1899-12-30T00:25:00"/>
    <x v="0"/>
    <x v="0"/>
  </r>
  <r>
    <x v="142"/>
    <x v="8"/>
    <x v="1"/>
    <x v="119"/>
    <x v="120"/>
    <d v="1899-12-30T00:38:00"/>
    <x v="0"/>
    <x v="0"/>
  </r>
  <r>
    <x v="143"/>
    <x v="8"/>
    <x v="1"/>
    <x v="341"/>
    <x v="261"/>
    <d v="1899-12-30T00:12:00"/>
    <x v="0"/>
    <x v="0"/>
  </r>
  <r>
    <x v="143"/>
    <x v="8"/>
    <x v="1"/>
    <x v="86"/>
    <x v="380"/>
    <d v="1899-12-30T00:51:00"/>
    <x v="0"/>
    <x v="0"/>
  </r>
  <r>
    <x v="144"/>
    <x v="8"/>
    <x v="1"/>
    <x v="210"/>
    <x v="215"/>
    <d v="1899-12-30T00:25:00"/>
    <x v="0"/>
    <x v="0"/>
  </r>
  <r>
    <x v="144"/>
    <x v="8"/>
    <x v="1"/>
    <x v="188"/>
    <x v="216"/>
    <d v="1899-12-30T00:25:00"/>
    <x v="0"/>
    <x v="0"/>
  </r>
  <r>
    <x v="144"/>
    <x v="8"/>
    <x v="1"/>
    <x v="378"/>
    <x v="263"/>
    <d v="1899-12-30T00:17:00"/>
    <x v="2"/>
    <x v="0"/>
  </r>
  <r>
    <x v="144"/>
    <x v="8"/>
    <x v="1"/>
    <x v="379"/>
    <x v="381"/>
    <d v="1899-12-30T00:25:00"/>
    <x v="0"/>
    <x v="0"/>
  </r>
  <r>
    <x v="144"/>
    <x v="8"/>
    <x v="1"/>
    <x v="380"/>
    <x v="382"/>
    <d v="1899-12-30T00:25:00"/>
    <x v="0"/>
    <x v="0"/>
  </r>
  <r>
    <x v="144"/>
    <x v="8"/>
    <x v="1"/>
    <x v="381"/>
    <x v="383"/>
    <d v="1899-12-30T00:25:00"/>
    <x v="0"/>
    <x v="0"/>
  </r>
  <r>
    <x v="144"/>
    <x v="8"/>
    <x v="1"/>
    <x v="382"/>
    <x v="384"/>
    <d v="1899-12-30T00:31:00"/>
    <x v="0"/>
    <x v="0"/>
  </r>
  <r>
    <x v="144"/>
    <x v="8"/>
    <x v="1"/>
    <x v="383"/>
    <x v="385"/>
    <d v="1899-12-30T00:29:00"/>
    <x v="0"/>
    <x v="0"/>
  </r>
  <r>
    <x v="144"/>
    <x v="8"/>
    <x v="1"/>
    <x v="310"/>
    <x v="386"/>
    <d v="1899-12-30T00:28:00"/>
    <x v="0"/>
    <x v="0"/>
  </r>
  <r>
    <x v="145"/>
    <x v="8"/>
    <x v="1"/>
    <x v="355"/>
    <x v="362"/>
    <d v="1899-12-30T00:33:00"/>
    <x v="0"/>
    <x v="0"/>
  </r>
  <r>
    <x v="145"/>
    <x v="8"/>
    <x v="1"/>
    <x v="143"/>
    <x v="144"/>
    <d v="1899-12-30T00:30:00"/>
    <x v="0"/>
    <x v="0"/>
  </r>
  <r>
    <x v="145"/>
    <x v="8"/>
    <x v="1"/>
    <x v="144"/>
    <x v="145"/>
    <d v="1899-12-30T00:35:00"/>
    <x v="0"/>
    <x v="0"/>
  </r>
  <r>
    <x v="146"/>
    <x v="8"/>
    <x v="1"/>
    <x v="138"/>
    <x v="139"/>
    <d v="1899-12-30T00:25:00"/>
    <x v="3"/>
    <x v="0"/>
  </r>
  <r>
    <x v="146"/>
    <x v="8"/>
    <x v="1"/>
    <x v="58"/>
    <x v="58"/>
    <d v="1899-12-30T00:25:00"/>
    <x v="3"/>
    <x v="0"/>
  </r>
  <r>
    <x v="146"/>
    <x v="8"/>
    <x v="1"/>
    <x v="59"/>
    <x v="59"/>
    <d v="1899-12-30T00:25:00"/>
    <x v="0"/>
    <x v="0"/>
  </r>
  <r>
    <x v="146"/>
    <x v="8"/>
    <x v="1"/>
    <x v="139"/>
    <x v="140"/>
    <d v="1899-12-30T00:25:00"/>
    <x v="0"/>
    <x v="0"/>
  </r>
  <r>
    <x v="146"/>
    <x v="8"/>
    <x v="1"/>
    <x v="140"/>
    <x v="134"/>
    <d v="1899-12-30T00:15:00"/>
    <x v="4"/>
    <x v="0"/>
  </r>
  <r>
    <x v="146"/>
    <x v="8"/>
    <x v="1"/>
    <x v="200"/>
    <x v="316"/>
    <d v="1899-12-30T00:25:00"/>
    <x v="0"/>
    <x v="0"/>
  </r>
  <r>
    <x v="146"/>
    <x v="8"/>
    <x v="1"/>
    <x v="384"/>
    <x v="276"/>
    <d v="1899-12-30T00:17:00"/>
    <x v="0"/>
    <x v="0"/>
  </r>
  <r>
    <x v="146"/>
    <x v="8"/>
    <x v="1"/>
    <x v="169"/>
    <x v="312"/>
    <d v="1899-12-30T00:25:00"/>
    <x v="0"/>
    <x v="1"/>
  </r>
  <r>
    <x v="146"/>
    <x v="8"/>
    <x v="1"/>
    <x v="348"/>
    <x v="169"/>
    <d v="1899-12-30T00:25:00"/>
    <x v="0"/>
    <x v="1"/>
  </r>
  <r>
    <x v="146"/>
    <x v="8"/>
    <x v="1"/>
    <x v="385"/>
    <x v="209"/>
    <d v="1899-12-30T00:36:00"/>
    <x v="4"/>
    <x v="1"/>
  </r>
  <r>
    <x v="146"/>
    <x v="8"/>
    <x v="1"/>
    <x v="180"/>
    <x v="387"/>
    <d v="1899-12-30T00:25:00"/>
    <x v="0"/>
    <x v="1"/>
  </r>
  <r>
    <x v="146"/>
    <x v="8"/>
    <x v="1"/>
    <x v="248"/>
    <x v="255"/>
    <d v="1899-12-30T00:25:00"/>
    <x v="0"/>
    <x v="1"/>
  </r>
  <r>
    <x v="146"/>
    <x v="8"/>
    <x v="1"/>
    <x v="249"/>
    <x v="256"/>
    <d v="1899-12-30T00:25:00"/>
    <x v="0"/>
    <x v="1"/>
  </r>
  <r>
    <x v="147"/>
    <x v="8"/>
    <x v="1"/>
    <x v="386"/>
    <x v="127"/>
    <d v="1899-12-30T00:48:00"/>
    <x v="0"/>
    <x v="0"/>
  </r>
  <r>
    <x v="147"/>
    <x v="8"/>
    <x v="1"/>
    <x v="325"/>
    <x v="176"/>
    <d v="1899-12-30T00:50:00"/>
    <x v="0"/>
    <x v="0"/>
  </r>
  <r>
    <x v="148"/>
    <x v="8"/>
    <x v="1"/>
    <x v="327"/>
    <x v="295"/>
    <d v="1899-12-30T00:25:00"/>
    <x v="0"/>
    <x v="0"/>
  </r>
  <r>
    <x v="148"/>
    <x v="8"/>
    <x v="1"/>
    <x v="251"/>
    <x v="188"/>
    <d v="1899-12-30T00:25:00"/>
    <x v="0"/>
    <x v="0"/>
  </r>
  <r>
    <x v="148"/>
    <x v="8"/>
    <x v="1"/>
    <x v="264"/>
    <x v="271"/>
    <d v="1899-12-30T00:25:00"/>
    <x v="0"/>
    <x v="0"/>
  </r>
  <r>
    <x v="148"/>
    <x v="8"/>
    <x v="1"/>
    <x v="387"/>
    <x v="388"/>
    <d v="1899-12-30T00:17:00"/>
    <x v="0"/>
    <x v="0"/>
  </r>
  <r>
    <x v="148"/>
    <x v="8"/>
    <x v="1"/>
    <x v="169"/>
    <x v="389"/>
    <d v="1899-12-30T00:15:00"/>
    <x v="4"/>
    <x v="0"/>
  </r>
  <r>
    <x v="148"/>
    <x v="8"/>
    <x v="1"/>
    <x v="92"/>
    <x v="253"/>
    <d v="1899-12-30T00:25:00"/>
    <x v="0"/>
    <x v="0"/>
  </r>
  <r>
    <x v="148"/>
    <x v="8"/>
    <x v="1"/>
    <x v="183"/>
    <x v="261"/>
    <d v="1899-12-30T00:30:00"/>
    <x v="0"/>
    <x v="0"/>
  </r>
  <r>
    <x v="148"/>
    <x v="8"/>
    <x v="1"/>
    <x v="388"/>
    <x v="218"/>
    <d v="1899-12-30T00:33:00"/>
    <x v="4"/>
    <x v="0"/>
  </r>
  <r>
    <x v="148"/>
    <x v="8"/>
    <x v="1"/>
    <x v="213"/>
    <x v="219"/>
    <d v="1899-12-30T00:25:00"/>
    <x v="0"/>
    <x v="0"/>
  </r>
  <r>
    <x v="148"/>
    <x v="8"/>
    <x v="1"/>
    <x v="214"/>
    <x v="163"/>
    <d v="1899-12-30T00:27:00"/>
    <x v="0"/>
    <x v="0"/>
  </r>
  <r>
    <x v="149"/>
    <x v="8"/>
    <x v="1"/>
    <x v="9"/>
    <x v="9"/>
    <d v="1899-12-30T00:25:00"/>
    <x v="0"/>
    <x v="0"/>
  </r>
  <r>
    <x v="149"/>
    <x v="8"/>
    <x v="1"/>
    <x v="194"/>
    <x v="65"/>
    <d v="1899-12-30T00:25:00"/>
    <x v="0"/>
    <x v="0"/>
  </r>
  <r>
    <x v="149"/>
    <x v="8"/>
    <x v="1"/>
    <x v="389"/>
    <x v="390"/>
    <d v="1899-12-30T00:25:00"/>
    <x v="0"/>
    <x v="0"/>
  </r>
  <r>
    <x v="149"/>
    <x v="8"/>
    <x v="1"/>
    <x v="390"/>
    <x v="362"/>
    <d v="1899-12-30T00:37:00"/>
    <x v="0"/>
    <x v="0"/>
  </r>
  <r>
    <x v="150"/>
    <x v="8"/>
    <x v="1"/>
    <x v="67"/>
    <x v="68"/>
    <d v="1899-12-30T00:25:00"/>
    <x v="0"/>
    <x v="0"/>
  </r>
  <r>
    <x v="150"/>
    <x v="8"/>
    <x v="1"/>
    <x v="7"/>
    <x v="7"/>
    <d v="1899-12-30T00:25:00"/>
    <x v="0"/>
    <x v="0"/>
  </r>
  <r>
    <x v="150"/>
    <x v="8"/>
    <x v="1"/>
    <x v="8"/>
    <x v="8"/>
    <d v="1899-12-30T00:25:00"/>
    <x v="0"/>
    <x v="0"/>
  </r>
  <r>
    <x v="150"/>
    <x v="8"/>
    <x v="1"/>
    <x v="391"/>
    <x v="391"/>
    <d v="1899-12-30T00:25:00"/>
    <x v="0"/>
    <x v="0"/>
  </r>
  <r>
    <x v="150"/>
    <x v="8"/>
    <x v="1"/>
    <x v="44"/>
    <x v="392"/>
    <d v="1899-12-30T00:15:00"/>
    <x v="4"/>
    <x v="0"/>
  </r>
  <r>
    <x v="150"/>
    <x v="8"/>
    <x v="1"/>
    <x v="392"/>
    <x v="393"/>
    <d v="1899-12-30T00:25:00"/>
    <x v="0"/>
    <x v="0"/>
  </r>
  <r>
    <x v="150"/>
    <x v="8"/>
    <x v="1"/>
    <x v="45"/>
    <x v="394"/>
    <d v="1899-12-30T00:25:00"/>
    <x v="0"/>
    <x v="0"/>
  </r>
  <r>
    <x v="150"/>
    <x v="8"/>
    <x v="1"/>
    <x v="4"/>
    <x v="4"/>
    <d v="1899-12-30T00:25:00"/>
    <x v="0"/>
    <x v="0"/>
  </r>
  <r>
    <x v="150"/>
    <x v="8"/>
    <x v="1"/>
    <x v="98"/>
    <x v="98"/>
    <d v="1899-12-30T00:25:00"/>
    <x v="0"/>
    <x v="0"/>
  </r>
  <r>
    <x v="150"/>
    <x v="8"/>
    <x v="1"/>
    <x v="99"/>
    <x v="99"/>
    <d v="1899-12-30T00:25:00"/>
    <x v="0"/>
    <x v="0"/>
  </r>
  <r>
    <x v="150"/>
    <x v="8"/>
    <x v="1"/>
    <x v="140"/>
    <x v="395"/>
    <d v="1899-12-30T00:25:00"/>
    <x v="0"/>
    <x v="0"/>
  </r>
  <r>
    <x v="150"/>
    <x v="8"/>
    <x v="1"/>
    <x v="365"/>
    <x v="367"/>
    <d v="1899-12-30T01:05:00"/>
    <x v="0"/>
    <x v="0"/>
  </r>
  <r>
    <x v="151"/>
    <x v="9"/>
    <x v="1"/>
    <x v="279"/>
    <x v="298"/>
    <d v="1899-12-30T00:25:00"/>
    <x v="3"/>
    <x v="0"/>
  </r>
  <r>
    <x v="151"/>
    <x v="9"/>
    <x v="1"/>
    <x v="292"/>
    <x v="299"/>
    <d v="1899-12-30T00:25:00"/>
    <x v="0"/>
    <x v="0"/>
  </r>
  <r>
    <x v="151"/>
    <x v="9"/>
    <x v="1"/>
    <x v="293"/>
    <x v="300"/>
    <d v="1899-12-30T00:25:00"/>
    <x v="0"/>
    <x v="0"/>
  </r>
  <r>
    <x v="151"/>
    <x v="9"/>
    <x v="1"/>
    <x v="294"/>
    <x v="301"/>
    <d v="1899-12-30T00:25:00"/>
    <x v="0"/>
    <x v="0"/>
  </r>
  <r>
    <x v="151"/>
    <x v="9"/>
    <x v="1"/>
    <x v="295"/>
    <x v="396"/>
    <d v="1899-12-30T00:35:00"/>
    <x v="0"/>
    <x v="0"/>
  </r>
  <r>
    <x v="151"/>
    <x v="9"/>
    <x v="1"/>
    <x v="327"/>
    <x v="295"/>
    <d v="1899-12-30T00:25:00"/>
    <x v="0"/>
    <x v="0"/>
  </r>
  <r>
    <x v="151"/>
    <x v="9"/>
    <x v="1"/>
    <x v="251"/>
    <x v="188"/>
    <d v="1899-12-30T00:26:00"/>
    <x v="0"/>
    <x v="0"/>
  </r>
  <r>
    <x v="151"/>
    <x v="9"/>
    <x v="1"/>
    <x v="264"/>
    <x v="271"/>
    <d v="1899-12-30T00:25:00"/>
    <x v="0"/>
    <x v="0"/>
  </r>
  <r>
    <x v="152"/>
    <x v="9"/>
    <x v="1"/>
    <x v="393"/>
    <x v="397"/>
    <d v="1899-12-30T00:25:00"/>
    <x v="0"/>
    <x v="0"/>
  </r>
  <r>
    <x v="152"/>
    <x v="9"/>
    <x v="1"/>
    <x v="36"/>
    <x v="37"/>
    <d v="1899-12-30T00:25:00"/>
    <x v="0"/>
    <x v="0"/>
  </r>
  <r>
    <x v="152"/>
    <x v="9"/>
    <x v="1"/>
    <x v="394"/>
    <x v="398"/>
    <d v="1899-12-30T00:25:00"/>
    <x v="0"/>
    <x v="0"/>
  </r>
  <r>
    <x v="152"/>
    <x v="9"/>
    <x v="1"/>
    <x v="273"/>
    <x v="399"/>
    <d v="1899-12-30T00:26:00"/>
    <x v="0"/>
    <x v="0"/>
  </r>
  <r>
    <x v="152"/>
    <x v="9"/>
    <x v="1"/>
    <x v="395"/>
    <x v="391"/>
    <d v="1899-12-30T00:15:00"/>
    <x v="4"/>
    <x v="0"/>
  </r>
  <r>
    <x v="152"/>
    <x v="9"/>
    <x v="1"/>
    <x v="44"/>
    <x v="46"/>
    <d v="1899-12-30T00:25:00"/>
    <x v="0"/>
    <x v="0"/>
  </r>
  <r>
    <x v="152"/>
    <x v="9"/>
    <x v="1"/>
    <x v="396"/>
    <x v="400"/>
    <d v="1899-12-30T00:25:00"/>
    <x v="0"/>
    <x v="0"/>
  </r>
  <r>
    <x v="152"/>
    <x v="9"/>
    <x v="1"/>
    <x v="397"/>
    <x v="401"/>
    <d v="1899-12-30T00:25:00"/>
    <x v="0"/>
    <x v="0"/>
  </r>
  <r>
    <x v="152"/>
    <x v="9"/>
    <x v="1"/>
    <x v="398"/>
    <x v="396"/>
    <d v="1899-12-30T00:26:00"/>
    <x v="0"/>
    <x v="0"/>
  </r>
  <r>
    <x v="152"/>
    <x v="9"/>
    <x v="1"/>
    <x v="399"/>
    <x v="109"/>
    <d v="1899-12-30T01:16:00"/>
    <x v="4"/>
    <x v="0"/>
  </r>
  <r>
    <x v="152"/>
    <x v="9"/>
    <x v="1"/>
    <x v="128"/>
    <x v="129"/>
    <d v="1899-12-30T00:25:00"/>
    <x v="0"/>
    <x v="1"/>
  </r>
  <r>
    <x v="152"/>
    <x v="9"/>
    <x v="1"/>
    <x v="339"/>
    <x v="345"/>
    <d v="1899-12-30T00:25:00"/>
    <x v="3"/>
    <x v="0"/>
  </r>
  <r>
    <x v="152"/>
    <x v="9"/>
    <x v="1"/>
    <x v="148"/>
    <x v="346"/>
    <d v="1899-12-30T00:25:00"/>
    <x v="3"/>
    <x v="0"/>
  </r>
  <r>
    <x v="152"/>
    <x v="9"/>
    <x v="1"/>
    <x v="340"/>
    <x v="347"/>
    <d v="1899-12-30T00:25:00"/>
    <x v="3"/>
    <x v="0"/>
  </r>
  <r>
    <x v="153"/>
    <x v="9"/>
    <x v="1"/>
    <x v="71"/>
    <x v="23"/>
    <d v="1899-12-30T00:25:00"/>
    <x v="3"/>
    <x v="0"/>
  </r>
  <r>
    <x v="153"/>
    <x v="9"/>
    <x v="1"/>
    <x v="72"/>
    <x v="72"/>
    <d v="1899-12-30T00:25:00"/>
    <x v="3"/>
    <x v="0"/>
  </r>
  <r>
    <x v="153"/>
    <x v="9"/>
    <x v="1"/>
    <x v="112"/>
    <x v="113"/>
    <d v="1899-12-30T00:25:00"/>
    <x v="0"/>
    <x v="0"/>
  </r>
  <r>
    <x v="153"/>
    <x v="9"/>
    <x v="1"/>
    <x v="362"/>
    <x v="292"/>
    <d v="1899-12-30T00:33:00"/>
    <x v="0"/>
    <x v="0"/>
  </r>
  <r>
    <x v="154"/>
    <x v="9"/>
    <x v="1"/>
    <x v="400"/>
    <x v="402"/>
    <d v="1899-12-30T00:25:00"/>
    <x v="0"/>
    <x v="0"/>
  </r>
  <r>
    <x v="154"/>
    <x v="9"/>
    <x v="1"/>
    <x v="401"/>
    <x v="403"/>
    <d v="1899-12-30T00:25:00"/>
    <x v="0"/>
    <x v="0"/>
  </r>
  <r>
    <x v="154"/>
    <x v="9"/>
    <x v="1"/>
    <x v="402"/>
    <x v="404"/>
    <d v="1899-12-30T00:25:00"/>
    <x v="0"/>
    <x v="0"/>
  </r>
  <r>
    <x v="154"/>
    <x v="9"/>
    <x v="1"/>
    <x v="392"/>
    <x v="393"/>
    <d v="1899-12-30T00:43:00"/>
    <x v="0"/>
    <x v="0"/>
  </r>
  <r>
    <x v="154"/>
    <x v="9"/>
    <x v="1"/>
    <x v="403"/>
    <x v="93"/>
    <d v="1899-12-30T00:25:00"/>
    <x v="0"/>
    <x v="0"/>
  </r>
  <r>
    <x v="154"/>
    <x v="9"/>
    <x v="1"/>
    <x v="204"/>
    <x v="296"/>
    <d v="1899-12-30T00:25:00"/>
    <x v="0"/>
    <x v="0"/>
  </r>
  <r>
    <x v="154"/>
    <x v="9"/>
    <x v="1"/>
    <x v="289"/>
    <x v="297"/>
    <d v="1899-12-30T00:25:00"/>
    <x v="0"/>
    <x v="0"/>
  </r>
  <r>
    <x v="154"/>
    <x v="9"/>
    <x v="1"/>
    <x v="384"/>
    <x v="276"/>
    <d v="1899-12-30T00:25:00"/>
    <x v="0"/>
    <x v="0"/>
  </r>
  <r>
    <x v="154"/>
    <x v="9"/>
    <x v="1"/>
    <x v="347"/>
    <x v="356"/>
    <d v="1899-12-30T00:25:00"/>
    <x v="2"/>
    <x v="0"/>
  </r>
  <r>
    <x v="155"/>
    <x v="9"/>
    <x v="1"/>
    <x v="54"/>
    <x v="54"/>
    <d v="1899-12-30T00:25:00"/>
    <x v="3"/>
    <x v="0"/>
  </r>
  <r>
    <x v="155"/>
    <x v="9"/>
    <x v="1"/>
    <x v="55"/>
    <x v="55"/>
    <d v="1899-12-30T00:25:00"/>
    <x v="3"/>
    <x v="0"/>
  </r>
  <r>
    <x v="155"/>
    <x v="9"/>
    <x v="1"/>
    <x v="56"/>
    <x v="56"/>
    <d v="1899-12-30T00:25:00"/>
    <x v="0"/>
    <x v="0"/>
  </r>
  <r>
    <x v="155"/>
    <x v="9"/>
    <x v="1"/>
    <x v="57"/>
    <x v="57"/>
    <d v="1899-12-30T00:25:00"/>
    <x v="0"/>
    <x v="0"/>
  </r>
  <r>
    <x v="155"/>
    <x v="9"/>
    <x v="1"/>
    <x v="404"/>
    <x v="147"/>
    <d v="1899-12-30T00:15:00"/>
    <x v="4"/>
    <x v="0"/>
  </r>
  <r>
    <x v="155"/>
    <x v="9"/>
    <x v="1"/>
    <x v="405"/>
    <x v="405"/>
    <d v="1899-12-30T00:25:00"/>
    <x v="0"/>
    <x v="0"/>
  </r>
  <r>
    <x v="155"/>
    <x v="9"/>
    <x v="1"/>
    <x v="16"/>
    <x v="16"/>
    <d v="1899-12-30T00:25:00"/>
    <x v="0"/>
    <x v="0"/>
  </r>
  <r>
    <x v="155"/>
    <x v="9"/>
    <x v="1"/>
    <x v="331"/>
    <x v="327"/>
    <d v="1899-12-30T00:25:00"/>
    <x v="0"/>
    <x v="0"/>
  </r>
  <r>
    <x v="155"/>
    <x v="9"/>
    <x v="1"/>
    <x v="406"/>
    <x v="406"/>
    <d v="1899-12-30T00:25:00"/>
    <x v="0"/>
    <x v="0"/>
  </r>
  <r>
    <x v="155"/>
    <x v="9"/>
    <x v="1"/>
    <x v="108"/>
    <x v="108"/>
    <d v="1899-12-30T00:25:00"/>
    <x v="0"/>
    <x v="0"/>
  </r>
  <r>
    <x v="155"/>
    <x v="9"/>
    <x v="1"/>
    <x v="104"/>
    <x v="104"/>
    <d v="1899-12-30T00:25:00"/>
    <x v="0"/>
    <x v="0"/>
  </r>
  <r>
    <x v="155"/>
    <x v="9"/>
    <x v="1"/>
    <x v="105"/>
    <x v="105"/>
    <d v="1899-12-30T00:30:00"/>
    <x v="0"/>
    <x v="0"/>
  </r>
  <r>
    <x v="156"/>
    <x v="9"/>
    <x v="1"/>
    <x v="18"/>
    <x v="18"/>
    <d v="1899-12-30T00:25:00"/>
    <x v="3"/>
    <x v="0"/>
  </r>
  <r>
    <x v="156"/>
    <x v="9"/>
    <x v="1"/>
    <x v="19"/>
    <x v="19"/>
    <d v="1899-12-30T00:25:00"/>
    <x v="0"/>
    <x v="0"/>
  </r>
  <r>
    <x v="156"/>
    <x v="9"/>
    <x v="1"/>
    <x v="20"/>
    <x v="20"/>
    <d v="1899-12-30T00:25:00"/>
    <x v="0"/>
    <x v="0"/>
  </r>
  <r>
    <x v="156"/>
    <x v="9"/>
    <x v="1"/>
    <x v="21"/>
    <x v="21"/>
    <d v="1899-12-30T00:25:00"/>
    <x v="0"/>
    <x v="0"/>
  </r>
  <r>
    <x v="156"/>
    <x v="9"/>
    <x v="1"/>
    <x v="407"/>
    <x v="407"/>
    <d v="1899-12-30T00:15:00"/>
    <x v="4"/>
    <x v="0"/>
  </r>
  <r>
    <x v="156"/>
    <x v="9"/>
    <x v="1"/>
    <x v="294"/>
    <x v="301"/>
    <d v="1899-12-30T00:25:00"/>
    <x v="0"/>
    <x v="0"/>
  </r>
  <r>
    <x v="156"/>
    <x v="9"/>
    <x v="1"/>
    <x v="300"/>
    <x v="408"/>
    <d v="1899-12-30T00:29:00"/>
    <x v="0"/>
    <x v="0"/>
  </r>
  <r>
    <x v="156"/>
    <x v="9"/>
    <x v="1"/>
    <x v="408"/>
    <x v="409"/>
    <d v="1899-12-30T00:30:00"/>
    <x v="4"/>
    <x v="0"/>
  </r>
  <r>
    <x v="156"/>
    <x v="9"/>
    <x v="1"/>
    <x v="276"/>
    <x v="410"/>
    <d v="1899-12-30T00:20:00"/>
    <x v="0"/>
    <x v="0"/>
  </r>
  <r>
    <x v="156"/>
    <x v="9"/>
    <x v="1"/>
    <x v="409"/>
    <x v="411"/>
    <d v="1899-12-30T00:25:00"/>
    <x v="0"/>
    <x v="0"/>
  </r>
  <r>
    <x v="156"/>
    <x v="9"/>
    <x v="1"/>
    <x v="404"/>
    <x v="365"/>
    <d v="1899-12-30T00:25:00"/>
    <x v="0"/>
    <x v="0"/>
  </r>
  <r>
    <x v="156"/>
    <x v="9"/>
    <x v="1"/>
    <x v="410"/>
    <x v="412"/>
    <d v="1899-12-30T00:39:00"/>
    <x v="0"/>
    <x v="0"/>
  </r>
  <r>
    <x v="156"/>
    <x v="9"/>
    <x v="1"/>
    <x v="411"/>
    <x v="335"/>
    <d v="1899-12-30T00:15:00"/>
    <x v="4"/>
    <x v="0"/>
  </r>
  <r>
    <x v="156"/>
    <x v="9"/>
    <x v="1"/>
    <x v="412"/>
    <x v="413"/>
    <d v="1899-12-30T00:25:00"/>
    <x v="0"/>
    <x v="1"/>
  </r>
  <r>
    <x v="156"/>
    <x v="9"/>
    <x v="1"/>
    <x v="413"/>
    <x v="211"/>
    <d v="1899-12-30T00:25:00"/>
    <x v="0"/>
    <x v="1"/>
  </r>
  <r>
    <x v="157"/>
    <x v="9"/>
    <x v="1"/>
    <x v="288"/>
    <x v="414"/>
    <d v="1899-12-30T00:39:00"/>
    <x v="3"/>
    <x v="0"/>
  </r>
  <r>
    <x v="157"/>
    <x v="9"/>
    <x v="1"/>
    <x v="414"/>
    <x v="415"/>
    <d v="1899-12-30T00:25:00"/>
    <x v="0"/>
    <x v="0"/>
  </r>
  <r>
    <x v="157"/>
    <x v="9"/>
    <x v="1"/>
    <x v="415"/>
    <x v="416"/>
    <d v="1899-12-30T00:25:00"/>
    <x v="0"/>
    <x v="0"/>
  </r>
  <r>
    <x v="157"/>
    <x v="9"/>
    <x v="1"/>
    <x v="416"/>
    <x v="417"/>
    <d v="1899-12-30T00:25:00"/>
    <x v="0"/>
    <x v="0"/>
  </r>
  <r>
    <x v="157"/>
    <x v="9"/>
    <x v="1"/>
    <x v="205"/>
    <x v="348"/>
    <d v="1899-12-30T00:12:00"/>
    <x v="0"/>
    <x v="0"/>
  </r>
  <r>
    <x v="157"/>
    <x v="9"/>
    <x v="1"/>
    <x v="417"/>
    <x v="103"/>
    <d v="1899-12-30T00:15:00"/>
    <x v="2"/>
    <x v="0"/>
  </r>
  <r>
    <x v="157"/>
    <x v="9"/>
    <x v="1"/>
    <x v="172"/>
    <x v="418"/>
    <d v="1899-12-30T00:25:00"/>
    <x v="0"/>
    <x v="0"/>
  </r>
  <r>
    <x v="157"/>
    <x v="9"/>
    <x v="1"/>
    <x v="418"/>
    <x v="419"/>
    <d v="1899-12-30T00:25:00"/>
    <x v="0"/>
    <x v="0"/>
  </r>
  <r>
    <x v="157"/>
    <x v="9"/>
    <x v="1"/>
    <x v="419"/>
    <x v="420"/>
    <d v="1899-12-30T00:31:00"/>
    <x v="0"/>
    <x v="0"/>
  </r>
  <r>
    <x v="158"/>
    <x v="9"/>
    <x v="1"/>
    <x v="47"/>
    <x v="48"/>
    <d v="1899-12-30T00:25:00"/>
    <x v="0"/>
    <x v="0"/>
  </r>
  <r>
    <x v="158"/>
    <x v="9"/>
    <x v="1"/>
    <x v="48"/>
    <x v="49"/>
    <d v="1899-12-30T00:25:00"/>
    <x v="0"/>
    <x v="0"/>
  </r>
  <r>
    <x v="158"/>
    <x v="9"/>
    <x v="1"/>
    <x v="50"/>
    <x v="51"/>
    <d v="1899-12-30T00:25:00"/>
    <x v="0"/>
    <x v="0"/>
  </r>
  <r>
    <x v="158"/>
    <x v="9"/>
    <x v="1"/>
    <x v="94"/>
    <x v="94"/>
    <d v="1899-12-30T00:25:00"/>
    <x v="0"/>
    <x v="0"/>
  </r>
  <r>
    <x v="158"/>
    <x v="9"/>
    <x v="1"/>
    <x v="291"/>
    <x v="267"/>
    <d v="1899-12-30T00:15:00"/>
    <x v="4"/>
    <x v="0"/>
  </r>
  <r>
    <x v="158"/>
    <x v="9"/>
    <x v="1"/>
    <x v="259"/>
    <x v="207"/>
    <d v="1899-12-30T00:25:00"/>
    <x v="2"/>
    <x v="0"/>
  </r>
  <r>
    <x v="158"/>
    <x v="9"/>
    <x v="1"/>
    <x v="420"/>
    <x v="421"/>
    <d v="1899-12-30T00:25:00"/>
    <x v="0"/>
    <x v="0"/>
  </r>
  <r>
    <x v="158"/>
    <x v="9"/>
    <x v="1"/>
    <x v="162"/>
    <x v="161"/>
    <d v="1899-12-30T00:25:00"/>
    <x v="0"/>
    <x v="0"/>
  </r>
  <r>
    <x v="158"/>
    <x v="9"/>
    <x v="1"/>
    <x v="421"/>
    <x v="223"/>
    <d v="1899-12-30T00:41:00"/>
    <x v="0"/>
    <x v="0"/>
  </r>
  <r>
    <x v="159"/>
    <x v="9"/>
    <x v="1"/>
    <x v="15"/>
    <x v="15"/>
    <d v="1899-12-30T00:14:00"/>
    <x v="0"/>
    <x v="0"/>
  </r>
  <r>
    <x v="159"/>
    <x v="9"/>
    <x v="1"/>
    <x v="210"/>
    <x v="215"/>
    <d v="1899-12-30T00:10:00"/>
    <x v="0"/>
    <x v="0"/>
  </r>
  <r>
    <x v="159"/>
    <x v="9"/>
    <x v="1"/>
    <x v="188"/>
    <x v="216"/>
    <d v="1899-12-30T00:22:00"/>
    <x v="0"/>
    <x v="0"/>
  </r>
  <r>
    <x v="159"/>
    <x v="9"/>
    <x v="1"/>
    <x v="257"/>
    <x v="422"/>
    <d v="1899-12-30T00:26:00"/>
    <x v="0"/>
    <x v="0"/>
  </r>
  <r>
    <x v="159"/>
    <x v="9"/>
    <x v="1"/>
    <x v="139"/>
    <x v="358"/>
    <d v="1899-12-30T00:15:00"/>
    <x v="4"/>
    <x v="0"/>
  </r>
  <r>
    <x v="159"/>
    <x v="9"/>
    <x v="1"/>
    <x v="133"/>
    <x v="134"/>
    <d v="1899-12-30T00:17:00"/>
    <x v="0"/>
    <x v="0"/>
  </r>
  <r>
    <x v="159"/>
    <x v="9"/>
    <x v="1"/>
    <x v="309"/>
    <x v="287"/>
    <d v="1899-12-30T00:08:00"/>
    <x v="0"/>
    <x v="0"/>
  </r>
  <r>
    <x v="159"/>
    <x v="9"/>
    <x v="1"/>
    <x v="387"/>
    <x v="388"/>
    <d v="1899-12-30T00:55:00"/>
    <x v="0"/>
    <x v="1"/>
  </r>
  <r>
    <x v="160"/>
    <x v="9"/>
    <x v="1"/>
    <x v="119"/>
    <x v="120"/>
    <d v="1899-12-30T00:25:00"/>
    <x v="0"/>
    <x v="0"/>
  </r>
  <r>
    <x v="160"/>
    <x v="9"/>
    <x v="1"/>
    <x v="218"/>
    <x v="344"/>
    <d v="1899-12-30T00:25:00"/>
    <x v="0"/>
    <x v="0"/>
  </r>
  <r>
    <x v="160"/>
    <x v="9"/>
    <x v="1"/>
    <x v="305"/>
    <x v="423"/>
    <d v="1899-12-30T00:25:00"/>
    <x v="0"/>
    <x v="0"/>
  </r>
  <r>
    <x v="160"/>
    <x v="9"/>
    <x v="1"/>
    <x v="131"/>
    <x v="132"/>
    <d v="1899-12-30T00:25:00"/>
    <x v="0"/>
    <x v="0"/>
  </r>
  <r>
    <x v="160"/>
    <x v="9"/>
    <x v="1"/>
    <x v="363"/>
    <x v="424"/>
    <d v="1899-12-30T00:30:00"/>
    <x v="0"/>
    <x v="0"/>
  </r>
  <r>
    <x v="161"/>
    <x v="9"/>
    <x v="1"/>
    <x v="293"/>
    <x v="425"/>
    <d v="1899-12-30T00:15:00"/>
    <x v="2"/>
    <x v="0"/>
  </r>
  <r>
    <x v="161"/>
    <x v="9"/>
    <x v="1"/>
    <x v="422"/>
    <x v="426"/>
    <d v="1899-12-30T00:20:00"/>
    <x v="0"/>
    <x v="0"/>
  </r>
  <r>
    <x v="161"/>
    <x v="9"/>
    <x v="1"/>
    <x v="12"/>
    <x v="427"/>
    <d v="1899-12-30T00:18:00"/>
    <x v="0"/>
    <x v="0"/>
  </r>
  <r>
    <x v="161"/>
    <x v="9"/>
    <x v="1"/>
    <x v="277"/>
    <x v="378"/>
    <d v="1899-12-30T00:25:00"/>
    <x v="0"/>
    <x v="0"/>
  </r>
  <r>
    <x v="161"/>
    <x v="9"/>
    <x v="1"/>
    <x v="117"/>
    <x v="118"/>
    <d v="1899-12-30T00:26:00"/>
    <x v="0"/>
    <x v="0"/>
  </r>
  <r>
    <x v="161"/>
    <x v="9"/>
    <x v="1"/>
    <x v="145"/>
    <x v="72"/>
    <d v="1899-12-30T00:15:00"/>
    <x v="4"/>
    <x v="0"/>
  </r>
  <r>
    <x v="161"/>
    <x v="9"/>
    <x v="1"/>
    <x v="109"/>
    <x v="109"/>
    <d v="1899-12-30T00:25:00"/>
    <x v="0"/>
    <x v="0"/>
  </r>
  <r>
    <x v="161"/>
    <x v="9"/>
    <x v="1"/>
    <x v="2"/>
    <x v="2"/>
    <d v="1899-12-30T00:25:00"/>
    <x v="0"/>
    <x v="0"/>
  </r>
  <r>
    <x v="161"/>
    <x v="9"/>
    <x v="1"/>
    <x v="3"/>
    <x v="3"/>
    <d v="1899-12-30T00:25:00"/>
    <x v="0"/>
    <x v="0"/>
  </r>
  <r>
    <x v="161"/>
    <x v="9"/>
    <x v="1"/>
    <x v="243"/>
    <x v="250"/>
    <d v="1899-12-30T00:40:00"/>
    <x v="0"/>
    <x v="0"/>
  </r>
  <r>
    <x v="162"/>
    <x v="9"/>
    <x v="1"/>
    <x v="423"/>
    <x v="205"/>
    <d v="1899-12-30T00:25:00"/>
    <x v="0"/>
    <x v="0"/>
  </r>
  <r>
    <x v="162"/>
    <x v="9"/>
    <x v="1"/>
    <x v="274"/>
    <x v="336"/>
    <d v="1899-12-30T00:25:00"/>
    <x v="0"/>
    <x v="0"/>
  </r>
  <r>
    <x v="162"/>
    <x v="9"/>
    <x v="1"/>
    <x v="359"/>
    <x v="282"/>
    <d v="1899-12-30T00:14:00"/>
    <x v="0"/>
    <x v="0"/>
  </r>
  <r>
    <x v="162"/>
    <x v="9"/>
    <x v="1"/>
    <x v="4"/>
    <x v="428"/>
    <d v="1899-12-30T01:48:00"/>
    <x v="0"/>
    <x v="0"/>
  </r>
  <r>
    <x v="162"/>
    <x v="9"/>
    <x v="1"/>
    <x v="424"/>
    <x v="429"/>
    <d v="1899-12-30T01:07:00"/>
    <x v="0"/>
    <x v="0"/>
  </r>
  <r>
    <x v="163"/>
    <x v="9"/>
    <x v="1"/>
    <x v="20"/>
    <x v="20"/>
    <d v="1899-12-30T00:19:00"/>
    <x v="3"/>
    <x v="0"/>
  </r>
  <r>
    <x v="163"/>
    <x v="9"/>
    <x v="1"/>
    <x v="425"/>
    <x v="425"/>
    <d v="1899-12-30T00:25:00"/>
    <x v="0"/>
    <x v="0"/>
  </r>
  <r>
    <x v="163"/>
    <x v="9"/>
    <x v="1"/>
    <x v="23"/>
    <x v="430"/>
    <d v="1899-12-30T00:29:00"/>
    <x v="0"/>
    <x v="0"/>
  </r>
  <r>
    <x v="163"/>
    <x v="9"/>
    <x v="1"/>
    <x v="327"/>
    <x v="93"/>
    <d v="1899-12-30T00:20:00"/>
    <x v="0"/>
    <x v="0"/>
  </r>
  <r>
    <x v="163"/>
    <x v="9"/>
    <x v="1"/>
    <x v="216"/>
    <x v="91"/>
    <d v="1899-12-30T01:05:00"/>
    <x v="0"/>
    <x v="0"/>
  </r>
  <r>
    <x v="164"/>
    <x v="9"/>
    <x v="1"/>
    <x v="54"/>
    <x v="54"/>
    <d v="1899-12-30T00:25:00"/>
    <x v="0"/>
    <x v="0"/>
  </r>
  <r>
    <x v="164"/>
    <x v="9"/>
    <x v="1"/>
    <x v="55"/>
    <x v="55"/>
    <d v="1899-12-30T00:25:00"/>
    <x v="0"/>
    <x v="0"/>
  </r>
  <r>
    <x v="164"/>
    <x v="9"/>
    <x v="1"/>
    <x v="56"/>
    <x v="56"/>
    <d v="1899-12-30T00:25:00"/>
    <x v="0"/>
    <x v="0"/>
  </r>
  <r>
    <x v="164"/>
    <x v="9"/>
    <x v="1"/>
    <x v="57"/>
    <x v="57"/>
    <d v="1899-12-30T00:27:00"/>
    <x v="0"/>
    <x v="0"/>
  </r>
  <r>
    <x v="164"/>
    <x v="9"/>
    <x v="1"/>
    <x v="404"/>
    <x v="147"/>
    <d v="1899-12-30T00:15:00"/>
    <x v="4"/>
    <x v="0"/>
  </r>
  <r>
    <x v="164"/>
    <x v="9"/>
    <x v="1"/>
    <x v="405"/>
    <x v="405"/>
    <d v="1899-12-30T00:18:00"/>
    <x v="0"/>
    <x v="0"/>
  </r>
  <r>
    <x v="164"/>
    <x v="9"/>
    <x v="1"/>
    <x v="16"/>
    <x v="16"/>
    <d v="1899-12-30T00:25:00"/>
    <x v="0"/>
    <x v="0"/>
  </r>
  <r>
    <x v="164"/>
    <x v="9"/>
    <x v="1"/>
    <x v="331"/>
    <x v="327"/>
    <d v="1899-12-30T00:25:00"/>
    <x v="0"/>
    <x v="0"/>
  </r>
  <r>
    <x v="164"/>
    <x v="9"/>
    <x v="1"/>
    <x v="426"/>
    <x v="431"/>
    <d v="1899-12-30T00:20:00"/>
    <x v="0"/>
    <x v="0"/>
  </r>
  <r>
    <x v="164"/>
    <x v="9"/>
    <x v="1"/>
    <x v="427"/>
    <x v="432"/>
    <d v="1899-12-30T00:15:00"/>
    <x v="4"/>
    <x v="0"/>
  </r>
  <r>
    <x v="164"/>
    <x v="9"/>
    <x v="1"/>
    <x v="428"/>
    <x v="433"/>
    <d v="1899-12-30T00:25:00"/>
    <x v="0"/>
    <x v="0"/>
  </r>
  <r>
    <x v="164"/>
    <x v="9"/>
    <x v="1"/>
    <x v="429"/>
    <x v="290"/>
    <d v="1899-12-30T00:27:00"/>
    <x v="0"/>
    <x v="0"/>
  </r>
  <r>
    <x v="165"/>
    <x v="9"/>
    <x v="1"/>
    <x v="47"/>
    <x v="48"/>
    <d v="1899-12-30T00:25:00"/>
    <x v="0"/>
    <x v="0"/>
  </r>
  <r>
    <x v="166"/>
    <x v="9"/>
    <x v="1"/>
    <x v="23"/>
    <x v="430"/>
    <d v="1899-12-30T00:25:00"/>
    <x v="0"/>
    <x v="0"/>
  </r>
  <r>
    <x v="166"/>
    <x v="9"/>
    <x v="1"/>
    <x v="430"/>
    <x v="377"/>
    <d v="1899-12-30T00:25:00"/>
    <x v="0"/>
    <x v="0"/>
  </r>
  <r>
    <x v="166"/>
    <x v="9"/>
    <x v="1"/>
    <x v="116"/>
    <x v="434"/>
    <d v="1899-12-30T00:25:00"/>
    <x v="0"/>
    <x v="0"/>
  </r>
  <r>
    <x v="166"/>
    <x v="9"/>
    <x v="1"/>
    <x v="227"/>
    <x v="352"/>
    <d v="1899-12-30T00:25:00"/>
    <x v="0"/>
    <x v="0"/>
  </r>
  <r>
    <x v="166"/>
    <x v="9"/>
    <x v="1"/>
    <x v="83"/>
    <x v="435"/>
    <d v="1899-12-30T00:15:00"/>
    <x v="4"/>
    <x v="0"/>
  </r>
  <r>
    <x v="166"/>
    <x v="9"/>
    <x v="1"/>
    <x v="57"/>
    <x v="57"/>
    <d v="1899-12-30T00:25:00"/>
    <x v="0"/>
    <x v="0"/>
  </r>
  <r>
    <x v="166"/>
    <x v="9"/>
    <x v="1"/>
    <x v="431"/>
    <x v="240"/>
    <d v="1899-12-30T00:25:00"/>
    <x v="0"/>
    <x v="0"/>
  </r>
  <r>
    <x v="166"/>
    <x v="9"/>
    <x v="1"/>
    <x v="323"/>
    <x v="436"/>
    <d v="1899-12-30T00:25:00"/>
    <x v="0"/>
    <x v="0"/>
  </r>
  <r>
    <x v="166"/>
    <x v="9"/>
    <x v="1"/>
    <x v="315"/>
    <x v="437"/>
    <d v="1899-12-30T00:57:00"/>
    <x v="0"/>
    <x v="0"/>
  </r>
  <r>
    <x v="166"/>
    <x v="9"/>
    <x v="1"/>
    <x v="432"/>
    <x v="297"/>
    <d v="1899-12-30T01:41:00"/>
    <x v="4"/>
    <x v="0"/>
  </r>
  <r>
    <x v="166"/>
    <x v="9"/>
    <x v="1"/>
    <x v="50"/>
    <x v="51"/>
    <d v="1899-12-30T00:31:00"/>
    <x v="3"/>
    <x v="0"/>
  </r>
  <r>
    <x v="166"/>
    <x v="9"/>
    <x v="1"/>
    <x v="51"/>
    <x v="52"/>
    <d v="1899-12-30T00:25:00"/>
    <x v="3"/>
    <x v="0"/>
  </r>
  <r>
    <x v="166"/>
    <x v="9"/>
    <x v="1"/>
    <x v="107"/>
    <x v="107"/>
    <d v="1899-12-30T00:25:00"/>
    <x v="3"/>
    <x v="0"/>
  </r>
  <r>
    <x v="166"/>
    <x v="9"/>
    <x v="1"/>
    <x v="230"/>
    <x v="193"/>
    <d v="1899-12-30T00:25:00"/>
    <x v="3"/>
    <x v="0"/>
  </r>
  <r>
    <x v="166"/>
    <x v="9"/>
    <x v="1"/>
    <x v="433"/>
    <x v="438"/>
    <d v="1899-12-30T00:15:00"/>
    <x v="4"/>
    <x v="0"/>
  </r>
  <r>
    <x v="166"/>
    <x v="9"/>
    <x v="1"/>
    <x v="162"/>
    <x v="161"/>
    <d v="1899-12-30T00:14:00"/>
    <x v="3"/>
    <x v="0"/>
  </r>
  <r>
    <x v="166"/>
    <x v="9"/>
    <x v="1"/>
    <x v="434"/>
    <x v="439"/>
    <d v="1899-12-30T00:25:00"/>
    <x v="3"/>
    <x v="1"/>
  </r>
  <r>
    <x v="167"/>
    <x v="9"/>
    <x v="1"/>
    <x v="435"/>
    <x v="113"/>
    <d v="1899-12-30T03:00:00"/>
    <x v="3"/>
    <x v="0"/>
  </r>
  <r>
    <x v="168"/>
    <x v="10"/>
    <x v="1"/>
    <x v="436"/>
    <x v="440"/>
    <d v="1899-12-30T00:08:00"/>
    <x v="3"/>
    <x v="0"/>
  </r>
  <r>
    <x v="168"/>
    <x v="10"/>
    <x v="1"/>
    <x v="437"/>
    <x v="67"/>
    <d v="1899-12-30T01:55:00"/>
    <x v="0"/>
    <x v="0"/>
  </r>
  <r>
    <x v="168"/>
    <x v="10"/>
    <x v="1"/>
    <x v="19"/>
    <x v="441"/>
    <d v="1899-12-30T00:22:00"/>
    <x v="0"/>
    <x v="0"/>
  </r>
  <r>
    <x v="168"/>
    <x v="10"/>
    <x v="1"/>
    <x v="438"/>
    <x v="442"/>
    <d v="1899-12-30T00:42:00"/>
    <x v="0"/>
    <x v="0"/>
  </r>
  <r>
    <x v="168"/>
    <x v="10"/>
    <x v="1"/>
    <x v="339"/>
    <x v="86"/>
    <d v="1899-12-30T00:50:00"/>
    <x v="0"/>
    <x v="0"/>
  </r>
  <r>
    <x v="169"/>
    <x v="10"/>
    <x v="1"/>
    <x v="203"/>
    <x v="443"/>
    <d v="1899-12-30T00:14:00"/>
    <x v="0"/>
    <x v="0"/>
  </r>
  <r>
    <x v="169"/>
    <x v="10"/>
    <x v="1"/>
    <x v="439"/>
    <x v="72"/>
    <d v="1899-12-30T01:27:00"/>
    <x v="0"/>
    <x v="0"/>
  </r>
  <r>
    <x v="169"/>
    <x v="10"/>
    <x v="1"/>
    <x v="128"/>
    <x v="444"/>
    <d v="1899-12-30T00:38:00"/>
    <x v="0"/>
    <x v="0"/>
  </r>
  <r>
    <x v="169"/>
    <x v="10"/>
    <x v="1"/>
    <x v="286"/>
    <x v="324"/>
    <d v="1899-12-30T01:24:00"/>
    <x v="0"/>
    <x v="0"/>
  </r>
  <r>
    <x v="170"/>
    <x v="10"/>
    <x v="1"/>
    <x v="9"/>
    <x v="9"/>
    <d v="1899-12-30T00:25:00"/>
    <x v="0"/>
    <x v="0"/>
  </r>
  <r>
    <x v="170"/>
    <x v="10"/>
    <x v="1"/>
    <x v="194"/>
    <x v="65"/>
    <d v="1899-12-30T00:19:00"/>
    <x v="0"/>
    <x v="0"/>
  </r>
  <r>
    <x v="170"/>
    <x v="10"/>
    <x v="1"/>
    <x v="389"/>
    <x v="390"/>
    <d v="1899-12-30T00:25:00"/>
    <x v="0"/>
    <x v="0"/>
  </r>
  <r>
    <x v="170"/>
    <x v="10"/>
    <x v="1"/>
    <x v="440"/>
    <x v="445"/>
    <d v="1899-12-30T00:21:00"/>
    <x v="0"/>
    <x v="0"/>
  </r>
  <r>
    <x v="170"/>
    <x v="10"/>
    <x v="1"/>
    <x v="441"/>
    <x v="408"/>
    <d v="1899-12-30T00:15:00"/>
    <x v="4"/>
    <x v="0"/>
  </r>
  <r>
    <x v="170"/>
    <x v="10"/>
    <x v="1"/>
    <x v="408"/>
    <x v="446"/>
    <d v="1899-12-30T00:25:00"/>
    <x v="0"/>
    <x v="0"/>
  </r>
  <r>
    <x v="170"/>
    <x v="10"/>
    <x v="1"/>
    <x v="276"/>
    <x v="410"/>
    <d v="1899-12-30T00:25:00"/>
    <x v="0"/>
    <x v="0"/>
  </r>
  <r>
    <x v="170"/>
    <x v="10"/>
    <x v="1"/>
    <x v="409"/>
    <x v="411"/>
    <d v="1899-12-30T00:25:00"/>
    <x v="0"/>
    <x v="0"/>
  </r>
  <r>
    <x v="170"/>
    <x v="10"/>
    <x v="1"/>
    <x v="343"/>
    <x v="447"/>
    <d v="1899-12-30T00:14:00"/>
    <x v="0"/>
    <x v="0"/>
  </r>
  <r>
    <x v="171"/>
    <x v="10"/>
    <x v="1"/>
    <x v="117"/>
    <x v="118"/>
    <d v="1899-12-30T00:25:00"/>
    <x v="0"/>
    <x v="0"/>
  </r>
  <r>
    <x v="171"/>
    <x v="10"/>
    <x v="1"/>
    <x v="118"/>
    <x v="119"/>
    <d v="1899-12-30T00:25:00"/>
    <x v="0"/>
    <x v="0"/>
  </r>
  <r>
    <x v="171"/>
    <x v="10"/>
    <x v="1"/>
    <x v="119"/>
    <x v="120"/>
    <d v="1899-12-30T00:19:00"/>
    <x v="0"/>
    <x v="0"/>
  </r>
  <r>
    <x v="171"/>
    <x v="10"/>
    <x v="1"/>
    <x v="120"/>
    <x v="121"/>
    <d v="1899-12-30T00:25:00"/>
    <x v="0"/>
    <x v="0"/>
  </r>
  <r>
    <x v="171"/>
    <x v="10"/>
    <x v="1"/>
    <x v="121"/>
    <x v="329"/>
    <d v="1899-12-30T00:15:00"/>
    <x v="4"/>
    <x v="0"/>
  </r>
  <r>
    <x v="171"/>
    <x v="10"/>
    <x v="1"/>
    <x v="243"/>
    <x v="250"/>
    <d v="1899-12-30T00:25:00"/>
    <x v="0"/>
    <x v="0"/>
  </r>
  <r>
    <x v="171"/>
    <x v="10"/>
    <x v="1"/>
    <x v="5"/>
    <x v="241"/>
    <d v="1899-12-30T00:25:00"/>
    <x v="0"/>
    <x v="0"/>
  </r>
  <r>
    <x v="171"/>
    <x v="10"/>
    <x v="1"/>
    <x v="252"/>
    <x v="258"/>
    <d v="1899-12-30T00:25:00"/>
    <x v="0"/>
    <x v="0"/>
  </r>
  <r>
    <x v="171"/>
    <x v="10"/>
    <x v="1"/>
    <x v="337"/>
    <x v="343"/>
    <d v="1899-12-30T00:39:00"/>
    <x v="0"/>
    <x v="0"/>
  </r>
  <r>
    <x v="171"/>
    <x v="10"/>
    <x v="1"/>
    <x v="214"/>
    <x v="106"/>
    <d v="1899-12-30T00:26:00"/>
    <x v="0"/>
    <x v="0"/>
  </r>
  <r>
    <x v="171"/>
    <x v="10"/>
    <x v="1"/>
    <x v="79"/>
    <x v="448"/>
    <d v="1899-12-30T00:13:00"/>
    <x v="2"/>
    <x v="0"/>
  </r>
  <r>
    <x v="172"/>
    <x v="10"/>
    <x v="1"/>
    <x v="442"/>
    <x v="189"/>
    <d v="1899-12-30T00:32:00"/>
    <x v="0"/>
    <x v="0"/>
  </r>
  <r>
    <x v="173"/>
    <x v="10"/>
    <x v="1"/>
    <x v="116"/>
    <x v="434"/>
    <d v="1899-12-30T00:25:00"/>
    <x v="2"/>
    <x v="0"/>
  </r>
  <r>
    <x v="173"/>
    <x v="10"/>
    <x v="1"/>
    <x v="117"/>
    <x v="118"/>
    <d v="1899-12-30T00:25:00"/>
    <x v="0"/>
    <x v="0"/>
  </r>
  <r>
    <x v="173"/>
    <x v="10"/>
    <x v="1"/>
    <x v="118"/>
    <x v="119"/>
    <d v="1899-12-30T00:25:00"/>
    <x v="0"/>
    <x v="0"/>
  </r>
  <r>
    <x v="173"/>
    <x v="10"/>
    <x v="1"/>
    <x v="443"/>
    <x v="449"/>
    <d v="1899-12-30T00:27:00"/>
    <x v="0"/>
    <x v="0"/>
  </r>
  <r>
    <x v="173"/>
    <x v="10"/>
    <x v="1"/>
    <x v="124"/>
    <x v="124"/>
    <d v="1899-12-30T00:36:00"/>
    <x v="0"/>
    <x v="0"/>
  </r>
  <r>
    <x v="173"/>
    <x v="10"/>
    <x v="1"/>
    <x v="258"/>
    <x v="266"/>
    <d v="1899-12-30T00:25:00"/>
    <x v="0"/>
    <x v="0"/>
  </r>
  <r>
    <x v="173"/>
    <x v="10"/>
    <x v="1"/>
    <x v="216"/>
    <x v="179"/>
    <d v="1899-12-30T00:25:00"/>
    <x v="0"/>
    <x v="0"/>
  </r>
  <r>
    <x v="173"/>
    <x v="10"/>
    <x v="1"/>
    <x v="444"/>
    <x v="203"/>
    <d v="1899-12-30T00:19:00"/>
    <x v="0"/>
    <x v="0"/>
  </r>
  <r>
    <x v="174"/>
    <x v="10"/>
    <x v="1"/>
    <x v="445"/>
    <x v="117"/>
    <d v="1899-12-30T00:25:00"/>
    <x v="2"/>
    <x v="0"/>
  </r>
  <r>
    <x v="174"/>
    <x v="10"/>
    <x v="1"/>
    <x v="126"/>
    <x v="127"/>
    <d v="1899-12-30T00:25:00"/>
    <x v="0"/>
    <x v="0"/>
  </r>
  <r>
    <x v="175"/>
    <x v="10"/>
    <x v="1"/>
    <x v="235"/>
    <x v="381"/>
    <d v="1899-12-30T00:18:00"/>
    <x v="0"/>
    <x v="0"/>
  </r>
  <r>
    <x v="176"/>
    <x v="10"/>
    <x v="1"/>
    <x v="446"/>
    <x v="450"/>
    <d v="1899-12-30T00:29:00"/>
    <x v="0"/>
    <x v="0"/>
  </r>
  <r>
    <x v="176"/>
    <x v="10"/>
    <x v="1"/>
    <x v="447"/>
    <x v="93"/>
    <d v="1899-12-30T01:07:00"/>
    <x v="0"/>
    <x v="0"/>
  </r>
  <r>
    <x v="176"/>
    <x v="10"/>
    <x v="1"/>
    <x v="48"/>
    <x v="451"/>
    <d v="1899-12-30T00:24:00"/>
    <x v="0"/>
    <x v="0"/>
  </r>
  <r>
    <x v="177"/>
    <x v="10"/>
    <x v="1"/>
    <x v="56"/>
    <x v="240"/>
    <d v="1899-12-30T01:27:00"/>
    <x v="0"/>
    <x v="0"/>
  </r>
  <r>
    <x v="177"/>
    <x v="10"/>
    <x v="1"/>
    <x v="448"/>
    <x v="452"/>
    <d v="1899-12-30T01:03:00"/>
    <x v="0"/>
    <x v="0"/>
  </r>
  <r>
    <x v="177"/>
    <x v="10"/>
    <x v="1"/>
    <x v="169"/>
    <x v="453"/>
    <d v="1899-12-30T00:21:00"/>
    <x v="0"/>
    <x v="0"/>
  </r>
  <r>
    <x v="178"/>
    <x v="10"/>
    <x v="1"/>
    <x v="449"/>
    <x v="444"/>
    <d v="1899-12-30T01:17:00"/>
    <x v="0"/>
    <x v="0"/>
  </r>
  <r>
    <x v="178"/>
    <x v="10"/>
    <x v="1"/>
    <x v="450"/>
    <x v="93"/>
    <d v="1899-12-30T01:27:00"/>
    <x v="0"/>
    <x v="0"/>
  </r>
  <r>
    <x v="178"/>
    <x v="10"/>
    <x v="1"/>
    <x v="100"/>
    <x v="141"/>
    <d v="1899-12-30T01:00:00"/>
    <x v="0"/>
    <x v="0"/>
  </r>
  <r>
    <x v="178"/>
    <x v="10"/>
    <x v="1"/>
    <x v="270"/>
    <x v="454"/>
    <d v="1899-12-30T00:57:00"/>
    <x v="0"/>
    <x v="0"/>
  </r>
  <r>
    <x v="178"/>
    <x v="10"/>
    <x v="1"/>
    <x v="30"/>
    <x v="429"/>
    <d v="1899-12-30T00:40:00"/>
    <x v="0"/>
    <x v="0"/>
  </r>
  <r>
    <x v="179"/>
    <x v="10"/>
    <x v="1"/>
    <x v="451"/>
    <x v="455"/>
    <d v="1899-12-30T00:25:00"/>
    <x v="0"/>
    <x v="0"/>
  </r>
  <r>
    <x v="180"/>
    <x v="10"/>
    <x v="1"/>
    <x v="323"/>
    <x v="456"/>
    <d v="1899-12-30T00:10:00"/>
    <x v="2"/>
    <x v="0"/>
  </r>
  <r>
    <x v="181"/>
    <x v="10"/>
    <x v="1"/>
    <x v="105"/>
    <x v="105"/>
    <d v="1899-12-30T00:25:00"/>
    <x v="0"/>
    <x v="0"/>
  </r>
  <r>
    <x v="181"/>
    <x v="10"/>
    <x v="1"/>
    <x v="181"/>
    <x v="371"/>
    <d v="1899-12-30T00:25:00"/>
    <x v="6"/>
    <x v="0"/>
  </r>
  <r>
    <x v="182"/>
    <x v="10"/>
    <x v="1"/>
    <x v="452"/>
    <x v="120"/>
    <d v="1899-12-30T00:17:00"/>
    <x v="6"/>
    <x v="0"/>
  </r>
  <r>
    <x v="182"/>
    <x v="10"/>
    <x v="1"/>
    <x v="305"/>
    <x v="318"/>
    <d v="1899-12-30T00:31:00"/>
    <x v="6"/>
    <x v="0"/>
  </r>
  <r>
    <x v="182"/>
    <x v="10"/>
    <x v="1"/>
    <x v="111"/>
    <x v="50"/>
    <d v="1899-12-30T00:32:00"/>
    <x v="3"/>
    <x v="0"/>
  </r>
  <r>
    <x v="182"/>
    <x v="10"/>
    <x v="1"/>
    <x v="205"/>
    <x v="348"/>
    <d v="1899-12-30T00:25:00"/>
    <x v="2"/>
    <x v="0"/>
  </r>
  <r>
    <x v="183"/>
    <x v="10"/>
    <x v="1"/>
    <x v="42"/>
    <x v="398"/>
    <d v="1899-12-30T00:15:00"/>
    <x v="2"/>
    <x v="0"/>
  </r>
  <r>
    <x v="183"/>
    <x v="10"/>
    <x v="1"/>
    <x v="381"/>
    <x v="383"/>
    <d v="1899-12-30T00:25:00"/>
    <x v="6"/>
    <x v="0"/>
  </r>
  <r>
    <x v="183"/>
    <x v="10"/>
    <x v="1"/>
    <x v="453"/>
    <x v="457"/>
    <d v="1899-12-30T00:25:00"/>
    <x v="0"/>
    <x v="0"/>
  </r>
  <r>
    <x v="183"/>
    <x v="10"/>
    <x v="1"/>
    <x v="454"/>
    <x v="458"/>
    <d v="1899-12-30T00:28:00"/>
    <x v="0"/>
    <x v="0"/>
  </r>
  <r>
    <x v="184"/>
    <x v="10"/>
    <x v="1"/>
    <x v="455"/>
    <x v="304"/>
    <d v="1899-12-30T00:25:00"/>
    <x v="3"/>
    <x v="0"/>
  </r>
  <r>
    <x v="184"/>
    <x v="10"/>
    <x v="1"/>
    <x v="327"/>
    <x v="295"/>
    <d v="1899-12-30T00:25:00"/>
    <x v="0"/>
    <x v="0"/>
  </r>
  <r>
    <x v="184"/>
    <x v="10"/>
    <x v="1"/>
    <x v="251"/>
    <x v="188"/>
    <d v="1899-12-30T00:25:00"/>
    <x v="0"/>
    <x v="0"/>
  </r>
  <r>
    <x v="184"/>
    <x v="10"/>
    <x v="1"/>
    <x v="289"/>
    <x v="297"/>
    <d v="1899-12-30T00:25:00"/>
    <x v="4"/>
    <x v="0"/>
  </r>
  <r>
    <x v="184"/>
    <x v="10"/>
    <x v="1"/>
    <x v="50"/>
    <x v="51"/>
    <d v="1899-12-30T00:25:00"/>
    <x v="0"/>
    <x v="0"/>
  </r>
  <r>
    <x v="184"/>
    <x v="10"/>
    <x v="1"/>
    <x v="51"/>
    <x v="52"/>
    <d v="1899-12-30T00:25:00"/>
    <x v="0"/>
    <x v="0"/>
  </r>
  <r>
    <x v="184"/>
    <x v="10"/>
    <x v="1"/>
    <x v="107"/>
    <x v="107"/>
    <d v="1899-12-30T00:28:00"/>
    <x v="0"/>
    <x v="0"/>
  </r>
  <r>
    <x v="185"/>
    <x v="10"/>
    <x v="1"/>
    <x v="313"/>
    <x v="120"/>
    <d v="1899-12-30T00:47:00"/>
    <x v="0"/>
    <x v="0"/>
  </r>
  <r>
    <x v="185"/>
    <x v="10"/>
    <x v="1"/>
    <x v="450"/>
    <x v="431"/>
    <d v="1899-12-30T01:26:00"/>
    <x v="0"/>
    <x v="0"/>
  </r>
  <r>
    <x v="185"/>
    <x v="10"/>
    <x v="1"/>
    <x v="456"/>
    <x v="90"/>
    <d v="1899-12-30T01:08:00"/>
    <x v="0"/>
    <x v="0"/>
  </r>
  <r>
    <x v="185"/>
    <x v="10"/>
    <x v="1"/>
    <x v="457"/>
    <x v="166"/>
    <d v="1899-12-30T00:24:00"/>
    <x v="0"/>
    <x v="0"/>
  </r>
  <r>
    <x v="186"/>
    <x v="10"/>
    <x v="1"/>
    <x v="458"/>
    <x v="459"/>
    <d v="1899-12-30T00:47:00"/>
    <x v="0"/>
    <x v="0"/>
  </r>
  <r>
    <x v="187"/>
    <x v="11"/>
    <x v="1"/>
    <x v="459"/>
    <x v="347"/>
    <d v="1899-12-30T01:08:00"/>
    <x v="3"/>
    <x v="0"/>
  </r>
  <r>
    <x v="187"/>
    <x v="11"/>
    <x v="1"/>
    <x v="385"/>
    <x v="91"/>
    <d v="1899-12-30T00:16:00"/>
    <x v="3"/>
    <x v="0"/>
  </r>
  <r>
    <x v="187"/>
    <x v="11"/>
    <x v="1"/>
    <x v="231"/>
    <x v="460"/>
    <d v="1899-12-30T00:17:00"/>
    <x v="3"/>
    <x v="0"/>
  </r>
  <r>
    <x v="187"/>
    <x v="11"/>
    <x v="1"/>
    <x v="460"/>
    <x v="167"/>
    <d v="1899-12-30T00:25:00"/>
    <x v="0"/>
    <x v="0"/>
  </r>
  <r>
    <x v="187"/>
    <x v="11"/>
    <x v="1"/>
    <x v="461"/>
    <x v="461"/>
    <d v="1899-12-30T00:25:00"/>
    <x v="0"/>
    <x v="0"/>
  </r>
  <r>
    <x v="187"/>
    <x v="11"/>
    <x v="1"/>
    <x v="462"/>
    <x v="462"/>
    <d v="1899-12-30T00:25:00"/>
    <x v="0"/>
    <x v="0"/>
  </r>
  <r>
    <x v="187"/>
    <x v="11"/>
    <x v="1"/>
    <x v="373"/>
    <x v="204"/>
    <d v="1899-12-30T00:30:00"/>
    <x v="0"/>
    <x v="0"/>
  </r>
  <r>
    <x v="188"/>
    <x v="11"/>
    <x v="1"/>
    <x v="463"/>
    <x v="463"/>
    <d v="1899-12-30T00:41:00"/>
    <x v="0"/>
    <x v="0"/>
  </r>
  <r>
    <x v="188"/>
    <x v="11"/>
    <x v="1"/>
    <x v="117"/>
    <x v="118"/>
    <d v="1899-12-30T00:23:00"/>
    <x v="2"/>
    <x v="0"/>
  </r>
  <r>
    <x v="188"/>
    <x v="11"/>
    <x v="1"/>
    <x v="118"/>
    <x v="119"/>
    <d v="1899-12-30T00:08:00"/>
    <x v="0"/>
    <x v="0"/>
  </r>
  <r>
    <x v="188"/>
    <x v="11"/>
    <x v="1"/>
    <x v="119"/>
    <x v="120"/>
    <d v="1899-12-30T00:25:00"/>
    <x v="0"/>
    <x v="0"/>
  </r>
  <r>
    <x v="188"/>
    <x v="11"/>
    <x v="1"/>
    <x v="120"/>
    <x v="121"/>
    <d v="1899-12-30T00:25:00"/>
    <x v="3"/>
    <x v="0"/>
  </r>
  <r>
    <x v="188"/>
    <x v="11"/>
    <x v="1"/>
    <x v="121"/>
    <x v="329"/>
    <d v="1899-12-30T00:15:00"/>
    <x v="4"/>
    <x v="0"/>
  </r>
  <r>
    <x v="188"/>
    <x v="11"/>
    <x v="1"/>
    <x v="243"/>
    <x v="250"/>
    <d v="1899-12-30T00:25:00"/>
    <x v="0"/>
    <x v="0"/>
  </r>
  <r>
    <x v="188"/>
    <x v="11"/>
    <x v="1"/>
    <x v="5"/>
    <x v="241"/>
    <d v="1899-12-30T00:27:00"/>
    <x v="0"/>
    <x v="0"/>
  </r>
  <r>
    <x v="188"/>
    <x v="11"/>
    <x v="1"/>
    <x v="351"/>
    <x v="60"/>
    <d v="1899-12-30T00:33:00"/>
    <x v="4"/>
    <x v="0"/>
  </r>
  <r>
    <x v="188"/>
    <x v="11"/>
    <x v="1"/>
    <x v="100"/>
    <x v="100"/>
    <d v="1899-12-30T00:25:00"/>
    <x v="0"/>
    <x v="0"/>
  </r>
  <r>
    <x v="188"/>
    <x v="11"/>
    <x v="1"/>
    <x v="245"/>
    <x v="252"/>
    <d v="1899-12-30T00:25:00"/>
    <x v="0"/>
    <x v="0"/>
  </r>
  <r>
    <x v="188"/>
    <x v="11"/>
    <x v="1"/>
    <x v="91"/>
    <x v="90"/>
    <d v="1899-12-30T00:25:00"/>
    <x v="0"/>
    <x v="0"/>
  </r>
  <r>
    <x v="189"/>
    <x v="11"/>
    <x v="1"/>
    <x v="55"/>
    <x v="434"/>
    <d v="1899-12-30T00:17:00"/>
    <x v="3"/>
    <x v="0"/>
  </r>
  <r>
    <x v="189"/>
    <x v="11"/>
    <x v="1"/>
    <x v="376"/>
    <x v="464"/>
    <d v="1899-12-30T00:15:00"/>
    <x v="2"/>
    <x v="0"/>
  </r>
  <r>
    <x v="189"/>
    <x v="11"/>
    <x v="1"/>
    <x v="464"/>
    <x v="56"/>
    <d v="1899-12-30T00:22:00"/>
    <x v="4"/>
    <x v="0"/>
  </r>
  <r>
    <x v="189"/>
    <x v="11"/>
    <x v="1"/>
    <x v="127"/>
    <x v="128"/>
    <d v="1899-12-30T00:22:00"/>
    <x v="0"/>
    <x v="0"/>
  </r>
  <r>
    <x v="189"/>
    <x v="11"/>
    <x v="1"/>
    <x v="128"/>
    <x v="129"/>
    <d v="1899-12-30T00:25:00"/>
    <x v="0"/>
    <x v="0"/>
  </r>
  <r>
    <x v="189"/>
    <x v="11"/>
    <x v="1"/>
    <x v="339"/>
    <x v="139"/>
    <d v="1899-12-30T00:37:00"/>
    <x v="0"/>
    <x v="0"/>
  </r>
  <r>
    <x v="190"/>
    <x v="11"/>
    <x v="1"/>
    <x v="465"/>
    <x v="429"/>
    <d v="1899-12-30T00:17:00"/>
    <x v="3"/>
    <x v="0"/>
  </r>
  <r>
    <x v="190"/>
    <x v="11"/>
    <x v="1"/>
    <x v="466"/>
    <x v="465"/>
    <d v="1899-12-30T00:25:00"/>
    <x v="0"/>
    <x v="0"/>
  </r>
  <r>
    <x v="190"/>
    <x v="11"/>
    <x v="1"/>
    <x v="467"/>
    <x v="466"/>
    <d v="1899-12-30T00:25:00"/>
    <x v="0"/>
    <x v="0"/>
  </r>
  <r>
    <x v="190"/>
    <x v="11"/>
    <x v="1"/>
    <x v="468"/>
    <x v="467"/>
    <d v="1899-12-30T00:41:00"/>
    <x v="0"/>
    <x v="0"/>
  </r>
  <r>
    <x v="191"/>
    <x v="11"/>
    <x v="1"/>
    <x v="469"/>
    <x v="158"/>
    <d v="1899-12-30T00:26:00"/>
    <x v="0"/>
    <x v="0"/>
  </r>
  <r>
    <x v="191"/>
    <x v="11"/>
    <x v="1"/>
    <x v="82"/>
    <x v="23"/>
    <d v="1899-12-30T00:15:00"/>
    <x v="2"/>
    <x v="0"/>
  </r>
  <r>
    <x v="191"/>
    <x v="11"/>
    <x v="1"/>
    <x v="464"/>
    <x v="468"/>
    <d v="1899-12-30T00:25:00"/>
    <x v="0"/>
    <x v="0"/>
  </r>
  <r>
    <x v="191"/>
    <x v="11"/>
    <x v="1"/>
    <x v="325"/>
    <x v="469"/>
    <d v="1899-12-30T00:25:00"/>
    <x v="0"/>
    <x v="0"/>
  </r>
  <r>
    <x v="191"/>
    <x v="11"/>
    <x v="1"/>
    <x v="470"/>
    <x v="198"/>
    <d v="1899-12-30T00:25:00"/>
    <x v="0"/>
    <x v="0"/>
  </r>
  <r>
    <x v="191"/>
    <x v="11"/>
    <x v="1"/>
    <x v="138"/>
    <x v="139"/>
    <d v="1899-12-30T00:28:00"/>
    <x v="0"/>
    <x v="0"/>
  </r>
  <r>
    <x v="191"/>
    <x v="11"/>
    <x v="1"/>
    <x v="4"/>
    <x v="216"/>
    <d v="1899-12-30T00:35:00"/>
    <x v="4"/>
    <x v="0"/>
  </r>
  <r>
    <x v="191"/>
    <x v="11"/>
    <x v="1"/>
    <x v="59"/>
    <x v="59"/>
    <d v="1899-12-30T00:25:00"/>
    <x v="0"/>
    <x v="0"/>
  </r>
  <r>
    <x v="191"/>
    <x v="11"/>
    <x v="1"/>
    <x v="60"/>
    <x v="60"/>
    <d v="1899-12-30T00:25:00"/>
    <x v="0"/>
    <x v="0"/>
  </r>
  <r>
    <x v="191"/>
    <x v="11"/>
    <x v="1"/>
    <x v="471"/>
    <x v="259"/>
    <d v="1899-12-30T00:25:00"/>
    <x v="0"/>
    <x v="0"/>
  </r>
  <r>
    <x v="191"/>
    <x v="11"/>
    <x v="1"/>
    <x v="472"/>
    <x v="170"/>
    <d v="1899-12-30T00:25:00"/>
    <x v="0"/>
    <x v="0"/>
  </r>
  <r>
    <x v="191"/>
    <x v="11"/>
    <x v="1"/>
    <x v="473"/>
    <x v="470"/>
    <d v="1899-12-30T00:29:00"/>
    <x v="0"/>
    <x v="0"/>
  </r>
  <r>
    <x v="192"/>
    <x v="11"/>
    <x v="1"/>
    <x v="204"/>
    <x v="471"/>
    <d v="1899-12-30T00:28:00"/>
    <x v="3"/>
    <x v="0"/>
  </r>
  <r>
    <x v="192"/>
    <x v="11"/>
    <x v="1"/>
    <x v="474"/>
    <x v="472"/>
    <d v="1899-12-30T00:10:00"/>
    <x v="2"/>
    <x v="0"/>
  </r>
  <r>
    <x v="192"/>
    <x v="11"/>
    <x v="1"/>
    <x v="50"/>
    <x v="51"/>
    <d v="1899-12-30T00:25:00"/>
    <x v="0"/>
    <x v="0"/>
  </r>
  <r>
    <x v="193"/>
    <x v="11"/>
    <x v="1"/>
    <x v="105"/>
    <x v="236"/>
    <d v="1899-12-30T00:52:00"/>
    <x v="0"/>
    <x v="0"/>
  </r>
  <r>
    <x v="193"/>
    <x v="11"/>
    <x v="1"/>
    <x v="29"/>
    <x v="473"/>
    <d v="1899-12-30T01:16:00"/>
    <x v="0"/>
    <x v="0"/>
  </r>
  <r>
    <x v="194"/>
    <x v="11"/>
    <x v="1"/>
    <x v="9"/>
    <x v="474"/>
    <d v="1899-12-30T00:36:00"/>
    <x v="0"/>
    <x v="0"/>
  </r>
  <r>
    <x v="194"/>
    <x v="11"/>
    <x v="1"/>
    <x v="122"/>
    <x v="122"/>
    <d v="1899-12-30T00:25:00"/>
    <x v="0"/>
    <x v="0"/>
  </r>
  <r>
    <x v="194"/>
    <x v="11"/>
    <x v="1"/>
    <x v="474"/>
    <x v="395"/>
    <d v="1899-12-30T00:09:00"/>
    <x v="0"/>
    <x v="0"/>
  </r>
  <r>
    <x v="194"/>
    <x v="11"/>
    <x v="1"/>
    <x v="189"/>
    <x v="267"/>
    <d v="1899-12-30T01:24:00"/>
    <x v="7"/>
    <x v="0"/>
  </r>
  <r>
    <x v="194"/>
    <x v="11"/>
    <x v="1"/>
    <x v="475"/>
    <x v="419"/>
    <d v="1899-12-30T01:27:00"/>
    <x v="7"/>
    <x v="0"/>
  </r>
  <r>
    <x v="194"/>
    <x v="11"/>
    <x v="1"/>
    <x v="249"/>
    <x v="263"/>
    <d v="1899-12-30T00:35:00"/>
    <x v="7"/>
    <x v="0"/>
  </r>
  <r>
    <x v="195"/>
    <x v="11"/>
    <x v="1"/>
    <x v="3"/>
    <x v="292"/>
    <d v="1899-12-30T00:10:00"/>
    <x v="2"/>
    <x v="0"/>
  </r>
  <r>
    <x v="195"/>
    <x v="11"/>
    <x v="1"/>
    <x v="450"/>
    <x v="284"/>
    <d v="1899-12-30T00:15:00"/>
    <x v="3"/>
    <x v="0"/>
  </r>
  <r>
    <x v="195"/>
    <x v="11"/>
    <x v="1"/>
    <x v="476"/>
    <x v="235"/>
    <d v="1899-12-30T00:25:00"/>
    <x v="0"/>
    <x v="0"/>
  </r>
  <r>
    <x v="195"/>
    <x v="11"/>
    <x v="1"/>
    <x v="307"/>
    <x v="414"/>
    <d v="1899-12-30T00:25:00"/>
    <x v="0"/>
    <x v="0"/>
  </r>
  <r>
    <x v="195"/>
    <x v="11"/>
    <x v="1"/>
    <x v="477"/>
    <x v="475"/>
    <d v="1899-12-30T00:25:00"/>
    <x v="0"/>
    <x v="0"/>
  </r>
  <r>
    <x v="195"/>
    <x v="11"/>
    <x v="1"/>
    <x v="478"/>
    <x v="110"/>
    <d v="1899-12-30T00:34:00"/>
    <x v="0"/>
    <x v="0"/>
  </r>
  <r>
    <x v="195"/>
    <x v="11"/>
    <x v="1"/>
    <x v="222"/>
    <x v="326"/>
    <d v="1899-12-30T01:26:00"/>
    <x v="7"/>
    <x v="0"/>
  </r>
  <r>
    <x v="196"/>
    <x v="11"/>
    <x v="1"/>
    <x v="479"/>
    <x v="476"/>
    <d v="1899-12-30T00:40:00"/>
    <x v="7"/>
    <x v="0"/>
  </r>
  <r>
    <x v="197"/>
    <x v="11"/>
    <x v="1"/>
    <x v="480"/>
    <x v="241"/>
    <d v="1899-12-30T00:24:00"/>
    <x v="6"/>
    <x v="0"/>
  </r>
  <r>
    <x v="197"/>
    <x v="11"/>
    <x v="1"/>
    <x v="181"/>
    <x v="275"/>
    <d v="1899-12-30T01:04:00"/>
    <x v="7"/>
    <x v="0"/>
  </r>
  <r>
    <x v="197"/>
    <x v="11"/>
    <x v="1"/>
    <x v="250"/>
    <x v="477"/>
    <d v="1899-12-30T01:17:00"/>
    <x v="7"/>
    <x v="0"/>
  </r>
  <r>
    <x v="198"/>
    <x v="11"/>
    <x v="1"/>
    <x v="80"/>
    <x v="54"/>
    <d v="1899-12-30T00:40:00"/>
    <x v="7"/>
    <x v="0"/>
  </r>
  <r>
    <x v="199"/>
    <x v="11"/>
    <x v="1"/>
    <x v="481"/>
    <x v="478"/>
    <d v="1899-12-30T00:56:00"/>
    <x v="7"/>
    <x v="0"/>
  </r>
  <r>
    <x v="199"/>
    <x v="11"/>
    <x v="1"/>
    <x v="482"/>
    <x v="479"/>
    <d v="1899-12-30T02:44:00"/>
    <x v="7"/>
    <x v="0"/>
  </r>
  <r>
    <x v="200"/>
    <x v="11"/>
    <x v="1"/>
    <x v="483"/>
    <x v="480"/>
    <d v="1899-12-30T01:24:00"/>
    <x v="7"/>
    <x v="0"/>
  </r>
  <r>
    <x v="200"/>
    <x v="11"/>
    <x v="1"/>
    <x v="111"/>
    <x v="192"/>
    <d v="1899-12-30T01:23:00"/>
    <x v="7"/>
    <x v="0"/>
  </r>
  <r>
    <x v="200"/>
    <x v="11"/>
    <x v="1"/>
    <x v="484"/>
    <x v="112"/>
    <d v="1899-12-30T01:50:00"/>
    <x v="7"/>
    <x v="0"/>
  </r>
  <r>
    <x v="201"/>
    <x v="11"/>
    <x v="1"/>
    <x v="450"/>
    <x v="235"/>
    <d v="1899-12-30T00:43:00"/>
    <x v="6"/>
    <x v="0"/>
  </r>
  <r>
    <x v="201"/>
    <x v="11"/>
    <x v="1"/>
    <x v="485"/>
    <x v="259"/>
    <d v="1899-12-30T01:24:00"/>
    <x v="6"/>
    <x v="0"/>
  </r>
  <r>
    <x v="202"/>
    <x v="0"/>
    <x v="1"/>
    <x v="338"/>
    <x v="481"/>
    <d v="1899-12-30T00:25:00"/>
    <x v="6"/>
    <x v="0"/>
  </r>
  <r>
    <x v="202"/>
    <x v="0"/>
    <x v="1"/>
    <x v="122"/>
    <x v="122"/>
    <d v="1899-12-30T00:25:00"/>
    <x v="3"/>
    <x v="0"/>
  </r>
  <r>
    <x v="202"/>
    <x v="0"/>
    <x v="1"/>
    <x v="123"/>
    <x v="123"/>
    <d v="1899-12-30T00:25:00"/>
    <x v="0"/>
    <x v="0"/>
  </r>
  <r>
    <x v="202"/>
    <x v="0"/>
    <x v="1"/>
    <x v="90"/>
    <x v="89"/>
    <d v="1899-12-30T00:25:00"/>
    <x v="0"/>
    <x v="0"/>
  </r>
  <r>
    <x v="202"/>
    <x v="0"/>
    <x v="1"/>
    <x v="486"/>
    <x v="380"/>
    <d v="1899-12-30T00:06:00"/>
    <x v="0"/>
    <x v="0"/>
  </r>
  <r>
    <x v="202"/>
    <x v="0"/>
    <x v="1"/>
    <x v="487"/>
    <x v="482"/>
    <d v="1899-12-30T00:29:00"/>
    <x v="0"/>
    <x v="0"/>
  </r>
  <r>
    <x v="202"/>
    <x v="0"/>
    <x v="1"/>
    <x v="488"/>
    <x v="483"/>
    <d v="1899-12-30T00:47:00"/>
    <x v="7"/>
    <x v="0"/>
  </r>
  <r>
    <x v="203"/>
    <x v="0"/>
    <x v="1"/>
    <x v="127"/>
    <x v="128"/>
    <d v="1899-12-30T00:25:00"/>
    <x v="6"/>
    <x v="0"/>
  </r>
  <r>
    <x v="203"/>
    <x v="0"/>
    <x v="1"/>
    <x v="128"/>
    <x v="129"/>
    <d v="1899-12-30T00:25:00"/>
    <x v="6"/>
    <x v="0"/>
  </r>
  <r>
    <x v="203"/>
    <x v="0"/>
    <x v="1"/>
    <x v="339"/>
    <x v="345"/>
    <d v="1899-12-30T00:25:00"/>
    <x v="0"/>
    <x v="0"/>
  </r>
  <r>
    <x v="203"/>
    <x v="0"/>
    <x v="1"/>
    <x v="350"/>
    <x v="131"/>
    <d v="1899-12-30T00:27:00"/>
    <x v="0"/>
    <x v="0"/>
  </r>
  <r>
    <x v="203"/>
    <x v="0"/>
    <x v="1"/>
    <x v="131"/>
    <x v="347"/>
    <d v="1899-12-30T00:30:00"/>
    <x v="4"/>
    <x v="0"/>
  </r>
  <r>
    <x v="203"/>
    <x v="0"/>
    <x v="1"/>
    <x v="132"/>
    <x v="133"/>
    <d v="1899-12-30T00:25:00"/>
    <x v="0"/>
    <x v="0"/>
  </r>
  <r>
    <x v="203"/>
    <x v="0"/>
    <x v="1"/>
    <x v="133"/>
    <x v="134"/>
    <d v="1899-12-30T00:25:00"/>
    <x v="0"/>
    <x v="0"/>
  </r>
  <r>
    <x v="203"/>
    <x v="0"/>
    <x v="1"/>
    <x v="309"/>
    <x v="287"/>
    <d v="1899-12-30T00:27:00"/>
    <x v="0"/>
    <x v="0"/>
  </r>
  <r>
    <x v="204"/>
    <x v="0"/>
    <x v="1"/>
    <x v="489"/>
    <x v="484"/>
    <d v="1899-12-30T00:10:00"/>
    <x v="2"/>
    <x v="0"/>
  </r>
  <r>
    <x v="204"/>
    <x v="0"/>
    <x v="1"/>
    <x v="490"/>
    <x v="485"/>
    <d v="1899-12-30T00:25:00"/>
    <x v="0"/>
    <x v="0"/>
  </r>
  <r>
    <x v="204"/>
    <x v="0"/>
    <x v="1"/>
    <x v="491"/>
    <x v="486"/>
    <d v="1899-12-30T00:25:00"/>
    <x v="0"/>
    <x v="0"/>
  </r>
  <r>
    <x v="204"/>
    <x v="0"/>
    <x v="1"/>
    <x v="492"/>
    <x v="477"/>
    <d v="1899-12-30T00:10:00"/>
    <x v="0"/>
    <x v="0"/>
  </r>
  <r>
    <x v="204"/>
    <x v="0"/>
    <x v="1"/>
    <x v="493"/>
    <x v="487"/>
    <d v="1899-12-30T00:25:00"/>
    <x v="0"/>
    <x v="1"/>
  </r>
  <r>
    <x v="205"/>
    <x v="0"/>
    <x v="1"/>
    <x v="71"/>
    <x v="488"/>
    <d v="1899-12-30T01:26:00"/>
    <x v="7"/>
    <x v="0"/>
  </r>
  <r>
    <x v="205"/>
    <x v="0"/>
    <x v="1"/>
    <x v="339"/>
    <x v="341"/>
    <d v="1899-12-30T00:21:00"/>
    <x v="7"/>
    <x v="0"/>
  </r>
  <r>
    <x v="205"/>
    <x v="0"/>
    <x v="1"/>
    <x v="350"/>
    <x v="335"/>
    <d v="1899-12-30T00:12:00"/>
    <x v="7"/>
    <x v="0"/>
  </r>
  <r>
    <x v="205"/>
    <x v="0"/>
    <x v="1"/>
    <x v="494"/>
    <x v="5"/>
    <d v="1899-12-30T00:50:00"/>
    <x v="0"/>
    <x v="0"/>
  </r>
  <r>
    <x v="206"/>
    <x v="0"/>
    <x v="1"/>
    <x v="4"/>
    <x v="489"/>
    <d v="1899-12-30T00:32:00"/>
    <x v="7"/>
    <x v="0"/>
  </r>
  <r>
    <x v="206"/>
    <x v="0"/>
    <x v="1"/>
    <x v="495"/>
    <x v="93"/>
    <d v="1899-12-30T00:32:00"/>
    <x v="7"/>
    <x v="0"/>
  </r>
  <r>
    <x v="206"/>
    <x v="0"/>
    <x v="1"/>
    <x v="496"/>
    <x v="60"/>
    <d v="1899-12-30T00:14:00"/>
    <x v="7"/>
    <x v="0"/>
  </r>
  <r>
    <x v="206"/>
    <x v="0"/>
    <x v="1"/>
    <x v="219"/>
    <x v="490"/>
    <d v="1899-12-30T00:47:00"/>
    <x v="7"/>
    <x v="0"/>
  </r>
  <r>
    <x v="207"/>
    <x v="0"/>
    <x v="1"/>
    <x v="497"/>
    <x v="377"/>
    <d v="1899-12-30T00:39:00"/>
    <x v="7"/>
    <x v="0"/>
  </r>
  <r>
    <x v="207"/>
    <x v="0"/>
    <x v="1"/>
    <x v="116"/>
    <x v="197"/>
    <d v="1899-12-30T01:13:00"/>
    <x v="7"/>
    <x v="0"/>
  </r>
  <r>
    <x v="207"/>
    <x v="0"/>
    <x v="1"/>
    <x v="498"/>
    <x v="2"/>
    <d v="1899-12-30T00:17:00"/>
    <x v="7"/>
    <x v="0"/>
  </r>
  <r>
    <x v="207"/>
    <x v="0"/>
    <x v="1"/>
    <x v="288"/>
    <x v="327"/>
    <d v="1899-12-30T01:15:00"/>
    <x v="7"/>
    <x v="0"/>
  </r>
  <r>
    <x v="208"/>
    <x v="0"/>
    <x v="1"/>
    <x v="76"/>
    <x v="491"/>
    <d v="1899-12-30T00:48:00"/>
    <x v="6"/>
    <x v="0"/>
  </r>
  <r>
    <x v="209"/>
    <x v="0"/>
    <x v="1"/>
    <x v="499"/>
    <x v="492"/>
    <d v="1899-12-30T00:32:00"/>
    <x v="6"/>
    <x v="0"/>
  </r>
  <r>
    <x v="209"/>
    <x v="0"/>
    <x v="1"/>
    <x v="113"/>
    <x v="443"/>
    <d v="1899-12-30T00:10:00"/>
    <x v="2"/>
    <x v="0"/>
  </r>
  <r>
    <x v="209"/>
    <x v="0"/>
    <x v="1"/>
    <x v="500"/>
    <x v="493"/>
    <d v="1899-12-30T00:25:00"/>
    <x v="6"/>
    <x v="0"/>
  </r>
  <r>
    <x v="209"/>
    <x v="0"/>
    <x v="1"/>
    <x v="324"/>
    <x v="494"/>
    <d v="1899-12-30T00:25:00"/>
    <x v="6"/>
    <x v="0"/>
  </r>
  <r>
    <x v="209"/>
    <x v="0"/>
    <x v="1"/>
    <x v="501"/>
    <x v="234"/>
    <d v="1899-12-30T00:25:00"/>
    <x v="6"/>
    <x v="0"/>
  </r>
  <r>
    <x v="209"/>
    <x v="0"/>
    <x v="1"/>
    <x v="360"/>
    <x v="338"/>
    <d v="1899-12-30T00:44:00"/>
    <x v="6"/>
    <x v="0"/>
  </r>
  <r>
    <x v="209"/>
    <x v="0"/>
    <x v="1"/>
    <x v="109"/>
    <x v="146"/>
    <d v="1899-12-30T00:10:00"/>
    <x v="2"/>
    <x v="0"/>
  </r>
  <r>
    <x v="209"/>
    <x v="0"/>
    <x v="1"/>
    <x v="24"/>
    <x v="376"/>
    <d v="1899-12-30T00:25:00"/>
    <x v="6"/>
    <x v="0"/>
  </r>
  <r>
    <x v="209"/>
    <x v="0"/>
    <x v="1"/>
    <x v="74"/>
    <x v="74"/>
    <d v="1899-12-30T00:25:00"/>
    <x v="6"/>
    <x v="0"/>
  </r>
  <r>
    <x v="209"/>
    <x v="0"/>
    <x v="1"/>
    <x v="450"/>
    <x v="495"/>
    <d v="1899-12-30T00:25:00"/>
    <x v="6"/>
    <x v="0"/>
  </r>
  <r>
    <x v="209"/>
    <x v="0"/>
    <x v="1"/>
    <x v="502"/>
    <x v="148"/>
    <d v="1899-12-30T00:30:00"/>
    <x v="6"/>
    <x v="0"/>
  </r>
  <r>
    <x v="209"/>
    <x v="0"/>
    <x v="1"/>
    <x v="46"/>
    <x v="93"/>
    <d v="1899-12-30T00:30:00"/>
    <x v="4"/>
    <x v="0"/>
  </r>
  <r>
    <x v="209"/>
    <x v="0"/>
    <x v="1"/>
    <x v="47"/>
    <x v="48"/>
    <d v="1899-12-30T00:25:00"/>
    <x v="6"/>
    <x v="1"/>
  </r>
  <r>
    <x v="209"/>
    <x v="0"/>
    <x v="1"/>
    <x v="48"/>
    <x v="49"/>
    <d v="1899-12-30T00:32:00"/>
    <x v="6"/>
    <x v="0"/>
  </r>
  <r>
    <x v="209"/>
    <x v="0"/>
    <x v="1"/>
    <x v="50"/>
    <x v="51"/>
    <d v="1899-12-30T00:25:00"/>
    <x v="6"/>
    <x v="0"/>
  </r>
  <r>
    <x v="209"/>
    <x v="0"/>
    <x v="1"/>
    <x v="94"/>
    <x v="94"/>
    <d v="1899-12-30T00:25:00"/>
    <x v="6"/>
    <x v="0"/>
  </r>
  <r>
    <x v="209"/>
    <x v="0"/>
    <x v="1"/>
    <x v="503"/>
    <x v="268"/>
    <d v="1899-12-30T00:25:00"/>
    <x v="6"/>
    <x v="0"/>
  </r>
  <r>
    <x v="209"/>
    <x v="0"/>
    <x v="1"/>
    <x v="213"/>
    <x v="219"/>
    <d v="1899-12-30T00:25:00"/>
    <x v="6"/>
    <x v="0"/>
  </r>
  <r>
    <x v="209"/>
    <x v="0"/>
    <x v="1"/>
    <x v="214"/>
    <x v="220"/>
    <d v="1899-12-30T00:25:00"/>
    <x v="6"/>
    <x v="0"/>
  </r>
  <r>
    <x v="209"/>
    <x v="0"/>
    <x v="1"/>
    <x v="165"/>
    <x v="164"/>
    <d v="1899-12-30T00:25:00"/>
    <x v="6"/>
    <x v="0"/>
  </r>
  <r>
    <x v="209"/>
    <x v="0"/>
    <x v="1"/>
    <x v="262"/>
    <x v="153"/>
    <d v="1899-12-30T00:15:00"/>
    <x v="4"/>
    <x v="0"/>
  </r>
  <r>
    <x v="209"/>
    <x v="0"/>
    <x v="1"/>
    <x v="504"/>
    <x v="496"/>
    <d v="1899-12-30T00:25:00"/>
    <x v="6"/>
    <x v="0"/>
  </r>
  <r>
    <x v="209"/>
    <x v="0"/>
    <x v="1"/>
    <x v="173"/>
    <x v="497"/>
    <d v="1899-12-30T00:25:00"/>
    <x v="6"/>
    <x v="0"/>
  </r>
  <r>
    <x v="209"/>
    <x v="0"/>
    <x v="1"/>
    <x v="505"/>
    <x v="498"/>
    <d v="1899-12-30T00:25:00"/>
    <x v="6"/>
    <x v="0"/>
  </r>
  <r>
    <x v="209"/>
    <x v="0"/>
    <x v="1"/>
    <x v="506"/>
    <x v="499"/>
    <d v="1899-12-30T00:25:00"/>
    <x v="6"/>
    <x v="0"/>
  </r>
  <r>
    <x v="210"/>
    <x v="0"/>
    <x v="1"/>
    <x v="507"/>
    <x v="500"/>
    <d v="1899-12-30T00:25:00"/>
    <x v="6"/>
    <x v="0"/>
  </r>
  <r>
    <x v="210"/>
    <x v="0"/>
    <x v="1"/>
    <x v="508"/>
    <x v="501"/>
    <d v="1899-12-30T00:25:00"/>
    <x v="6"/>
    <x v="0"/>
  </r>
  <r>
    <x v="210"/>
    <x v="0"/>
    <x v="1"/>
    <x v="509"/>
    <x v="502"/>
    <d v="1899-12-30T00:25:00"/>
    <x v="6"/>
    <x v="0"/>
  </r>
  <r>
    <x v="210"/>
    <x v="0"/>
    <x v="1"/>
    <x v="510"/>
    <x v="503"/>
    <d v="1899-12-30T00:37:00"/>
    <x v="6"/>
    <x v="0"/>
  </r>
  <r>
    <x v="210"/>
    <x v="0"/>
    <x v="1"/>
    <x v="511"/>
    <x v="504"/>
    <d v="1899-12-30T00:25:00"/>
    <x v="6"/>
    <x v="1"/>
  </r>
  <r>
    <x v="211"/>
    <x v="0"/>
    <x v="1"/>
    <x v="512"/>
    <x v="505"/>
    <d v="1899-12-30T02:10:00"/>
    <x v="7"/>
    <x v="0"/>
  </r>
  <r>
    <x v="211"/>
    <x v="0"/>
    <x v="1"/>
    <x v="116"/>
    <x v="506"/>
    <d v="1899-12-30T00:28:00"/>
    <x v="7"/>
    <x v="0"/>
  </r>
  <r>
    <x v="211"/>
    <x v="0"/>
    <x v="1"/>
    <x v="127"/>
    <x v="507"/>
    <d v="1899-12-30T01:36:00"/>
    <x v="7"/>
    <x v="0"/>
  </r>
  <r>
    <x v="211"/>
    <x v="0"/>
    <x v="1"/>
    <x v="98"/>
    <x v="304"/>
    <d v="1899-12-30T00:15:00"/>
    <x v="7"/>
    <x v="0"/>
  </r>
  <r>
    <x v="212"/>
    <x v="0"/>
    <x v="1"/>
    <x v="432"/>
    <x v="260"/>
    <d v="1899-12-30T02:56:00"/>
    <x v="7"/>
    <x v="0"/>
  </r>
  <r>
    <x v="212"/>
    <x v="0"/>
    <x v="1"/>
    <x v="1"/>
    <x v="61"/>
    <d v="1899-12-30T01:00:00"/>
    <x v="7"/>
    <x v="0"/>
  </r>
  <r>
    <x v="213"/>
    <x v="0"/>
    <x v="1"/>
    <x v="0"/>
    <x v="508"/>
    <d v="1899-12-30T01:30:00"/>
    <x v="7"/>
    <x v="0"/>
  </r>
  <r>
    <x v="213"/>
    <x v="0"/>
    <x v="1"/>
    <x v="305"/>
    <x v="423"/>
    <d v="1899-12-30T00:25:00"/>
    <x v="7"/>
    <x v="0"/>
  </r>
  <r>
    <x v="214"/>
    <x v="0"/>
    <x v="1"/>
    <x v="455"/>
    <x v="304"/>
    <d v="1899-12-30T00:25:00"/>
    <x v="7"/>
    <x v="0"/>
  </r>
  <r>
    <x v="214"/>
    <x v="0"/>
    <x v="1"/>
    <x v="327"/>
    <x v="295"/>
    <d v="1899-12-30T00:25:00"/>
    <x v="7"/>
    <x v="0"/>
  </r>
  <r>
    <x v="214"/>
    <x v="0"/>
    <x v="1"/>
    <x v="133"/>
    <x v="134"/>
    <d v="1899-12-30T00:25:00"/>
    <x v="0"/>
    <x v="0"/>
  </r>
  <r>
    <x v="214"/>
    <x v="0"/>
    <x v="1"/>
    <x v="309"/>
    <x v="287"/>
    <d v="1899-12-30T00:10:00"/>
    <x v="0"/>
    <x v="0"/>
  </r>
  <r>
    <x v="214"/>
    <x v="0"/>
    <x v="1"/>
    <x v="513"/>
    <x v="355"/>
    <d v="1899-12-30T00:25:00"/>
    <x v="7"/>
    <x v="1"/>
  </r>
  <r>
    <x v="215"/>
    <x v="0"/>
    <x v="1"/>
    <x v="439"/>
    <x v="509"/>
    <d v="1899-12-30T01:03:00"/>
    <x v="0"/>
    <x v="0"/>
  </r>
  <r>
    <x v="215"/>
    <x v="0"/>
    <x v="1"/>
    <x v="514"/>
    <x v="510"/>
    <d v="1899-12-30T01:10:00"/>
    <x v="0"/>
    <x v="0"/>
  </r>
  <r>
    <x v="215"/>
    <x v="0"/>
    <x v="1"/>
    <x v="515"/>
    <x v="511"/>
    <d v="1899-12-30T00:27:00"/>
    <x v="0"/>
    <x v="0"/>
  </r>
  <r>
    <x v="215"/>
    <x v="0"/>
    <x v="1"/>
    <x v="188"/>
    <x v="98"/>
    <d v="1899-12-30T00:45:00"/>
    <x v="7"/>
    <x v="0"/>
  </r>
  <r>
    <x v="215"/>
    <x v="0"/>
    <x v="1"/>
    <x v="516"/>
    <x v="123"/>
    <d v="1899-12-30T00:46:00"/>
    <x v="7"/>
    <x v="0"/>
  </r>
  <r>
    <x v="216"/>
    <x v="0"/>
    <x v="1"/>
    <x v="139"/>
    <x v="174"/>
    <d v="1899-12-30T01:00:00"/>
    <x v="0"/>
    <x v="0"/>
  </r>
  <r>
    <x v="217"/>
    <x v="0"/>
    <x v="1"/>
    <x v="13"/>
    <x v="512"/>
    <d v="1899-12-30T00:49:00"/>
    <x v="7"/>
    <x v="0"/>
  </r>
  <r>
    <x v="217"/>
    <x v="0"/>
    <x v="1"/>
    <x v="218"/>
    <x v="100"/>
    <d v="1899-12-30T02:35:00"/>
    <x v="7"/>
    <x v="0"/>
  </r>
  <r>
    <x v="218"/>
    <x v="0"/>
    <x v="1"/>
    <x v="423"/>
    <x v="205"/>
    <d v="1899-12-30T00:25:00"/>
    <x v="7"/>
    <x v="0"/>
  </r>
  <r>
    <x v="218"/>
    <x v="0"/>
    <x v="1"/>
    <x v="274"/>
    <x v="336"/>
    <d v="1899-12-30T00:25:00"/>
    <x v="0"/>
    <x v="0"/>
  </r>
  <r>
    <x v="218"/>
    <x v="0"/>
    <x v="1"/>
    <x v="359"/>
    <x v="282"/>
    <d v="1899-12-30T00:25:00"/>
    <x v="0"/>
    <x v="0"/>
  </r>
  <r>
    <x v="218"/>
    <x v="0"/>
    <x v="1"/>
    <x v="517"/>
    <x v="513"/>
    <d v="1899-12-30T00:28:00"/>
    <x v="0"/>
    <x v="0"/>
  </r>
  <r>
    <x v="218"/>
    <x v="0"/>
    <x v="1"/>
    <x v="322"/>
    <x v="53"/>
    <d v="1899-12-30T00:25:00"/>
    <x v="7"/>
    <x v="1"/>
  </r>
  <r>
    <x v="218"/>
    <x v="0"/>
    <x v="1"/>
    <x v="151"/>
    <x v="151"/>
    <d v="1899-12-30T00:25:00"/>
    <x v="0"/>
    <x v="0"/>
  </r>
  <r>
    <x v="218"/>
    <x v="0"/>
    <x v="1"/>
    <x v="152"/>
    <x v="152"/>
    <d v="1899-12-30T00:25:00"/>
    <x v="0"/>
    <x v="0"/>
  </r>
  <r>
    <x v="218"/>
    <x v="0"/>
    <x v="1"/>
    <x v="134"/>
    <x v="135"/>
    <d v="1899-12-30T01:02:00"/>
    <x v="0"/>
    <x v="0"/>
  </r>
  <r>
    <x v="219"/>
    <x v="0"/>
    <x v="1"/>
    <x v="14"/>
    <x v="2"/>
    <d v="1899-12-30T00:45:00"/>
    <x v="7"/>
    <x v="0"/>
  </r>
  <r>
    <x v="219"/>
    <x v="0"/>
    <x v="1"/>
    <x v="210"/>
    <x v="514"/>
    <d v="1899-12-30T02:26:00"/>
    <x v="7"/>
    <x v="0"/>
  </r>
  <r>
    <x v="219"/>
    <x v="0"/>
    <x v="1"/>
    <x v="255"/>
    <x v="154"/>
    <d v="1899-12-30T00:41:00"/>
    <x v="0"/>
    <x v="0"/>
  </r>
  <r>
    <x v="219"/>
    <x v="0"/>
    <x v="1"/>
    <x v="137"/>
    <x v="515"/>
    <d v="1899-12-30T00:27:00"/>
    <x v="0"/>
    <x v="0"/>
  </r>
  <r>
    <x v="220"/>
    <x v="0"/>
    <x v="1"/>
    <x v="518"/>
    <x v="516"/>
    <d v="1899-12-30T00:27:00"/>
    <x v="0"/>
    <x v="0"/>
  </r>
  <r>
    <x v="220"/>
    <x v="0"/>
    <x v="1"/>
    <x v="519"/>
    <x v="517"/>
    <d v="1899-12-30T00:14:00"/>
    <x v="0"/>
    <x v="0"/>
  </r>
  <r>
    <x v="220"/>
    <x v="0"/>
    <x v="1"/>
    <x v="307"/>
    <x v="99"/>
    <d v="1899-12-30T00:54:00"/>
    <x v="0"/>
    <x v="0"/>
  </r>
  <r>
    <x v="221"/>
    <x v="1"/>
    <x v="1"/>
    <x v="520"/>
    <x v="518"/>
    <d v="1899-12-30T00:41:00"/>
    <x v="7"/>
    <x v="0"/>
  </r>
  <r>
    <x v="221"/>
    <x v="1"/>
    <x v="1"/>
    <x v="305"/>
    <x v="148"/>
    <d v="1899-12-30T00:50:00"/>
    <x v="7"/>
    <x v="0"/>
  </r>
  <r>
    <x v="221"/>
    <x v="1"/>
    <x v="1"/>
    <x v="47"/>
    <x v="297"/>
    <d v="1899-12-30T01:00:00"/>
    <x v="7"/>
    <x v="0"/>
  </r>
  <r>
    <x v="222"/>
    <x v="1"/>
    <x v="1"/>
    <x v="117"/>
    <x v="338"/>
    <d v="1899-12-30T00:28:00"/>
    <x v="2"/>
    <x v="0"/>
  </r>
  <r>
    <x v="222"/>
    <x v="1"/>
    <x v="1"/>
    <x v="521"/>
    <x v="519"/>
    <d v="1899-12-30T00:15:00"/>
    <x v="0"/>
    <x v="0"/>
  </r>
  <r>
    <x v="222"/>
    <x v="1"/>
    <x v="1"/>
    <x v="522"/>
    <x v="450"/>
    <d v="1899-12-30T00:25:00"/>
    <x v="0"/>
    <x v="0"/>
  </r>
  <r>
    <x v="222"/>
    <x v="1"/>
    <x v="1"/>
    <x v="498"/>
    <x v="444"/>
    <d v="1899-12-30T00:25:00"/>
    <x v="0"/>
    <x v="0"/>
  </r>
  <r>
    <x v="222"/>
    <x v="1"/>
    <x v="1"/>
    <x v="210"/>
    <x v="215"/>
    <d v="1899-12-30T00:25:00"/>
    <x v="0"/>
    <x v="0"/>
  </r>
  <r>
    <x v="222"/>
    <x v="1"/>
    <x v="1"/>
    <x v="331"/>
    <x v="327"/>
    <d v="1899-12-30T00:56:00"/>
    <x v="0"/>
    <x v="0"/>
  </r>
  <r>
    <x v="223"/>
    <x v="1"/>
    <x v="1"/>
    <x v="18"/>
    <x v="520"/>
    <d v="1899-12-30T00:19:00"/>
    <x v="0"/>
    <x v="0"/>
  </r>
  <r>
    <x v="223"/>
    <x v="1"/>
    <x v="1"/>
    <x v="523"/>
    <x v="282"/>
    <d v="1899-12-30T02:37:00"/>
    <x v="0"/>
    <x v="0"/>
  </r>
  <r>
    <x v="223"/>
    <x v="1"/>
    <x v="1"/>
    <x v="13"/>
    <x v="24"/>
    <d v="1899-12-30T01:00:00"/>
    <x v="0"/>
    <x v="0"/>
  </r>
  <r>
    <x v="223"/>
    <x v="1"/>
    <x v="1"/>
    <x v="524"/>
    <x v="139"/>
    <d v="1899-12-30T00:26:00"/>
    <x v="7"/>
    <x v="0"/>
  </r>
  <r>
    <x v="223"/>
    <x v="1"/>
    <x v="1"/>
    <x v="59"/>
    <x v="422"/>
    <d v="1899-12-30T00:32:00"/>
    <x v="7"/>
    <x v="0"/>
  </r>
  <r>
    <x v="224"/>
    <x v="1"/>
    <x v="1"/>
    <x v="71"/>
    <x v="3"/>
    <d v="1899-12-30T02:20:00"/>
    <x v="7"/>
    <x v="0"/>
  </r>
  <r>
    <x v="225"/>
    <x v="1"/>
    <x v="1"/>
    <x v="297"/>
    <x v="521"/>
    <d v="1899-12-30T01:17:00"/>
    <x v="0"/>
    <x v="0"/>
  </r>
  <r>
    <x v="226"/>
    <x v="1"/>
    <x v="1"/>
    <x v="327"/>
    <x v="522"/>
    <d v="1899-12-30T00:54:00"/>
    <x v="0"/>
    <x v="0"/>
  </r>
  <r>
    <x v="226"/>
    <x v="1"/>
    <x v="1"/>
    <x v="429"/>
    <x v="101"/>
    <d v="1899-12-30T00:33:00"/>
    <x v="0"/>
    <x v="0"/>
  </r>
  <r>
    <x v="227"/>
    <x v="1"/>
    <x v="1"/>
    <x v="151"/>
    <x v="523"/>
    <d v="1899-12-30T00:45:00"/>
    <x v="0"/>
    <x v="0"/>
  </r>
  <r>
    <x v="228"/>
    <x v="1"/>
    <x v="1"/>
    <x v="378"/>
    <x v="524"/>
    <d v="1899-12-30T00:25:00"/>
    <x v="0"/>
    <x v="0"/>
  </r>
  <r>
    <x v="228"/>
    <x v="1"/>
    <x v="1"/>
    <x v="373"/>
    <x v="204"/>
    <d v="1899-12-30T00:26:00"/>
    <x v="0"/>
    <x v="0"/>
  </r>
  <r>
    <x v="229"/>
    <x v="1"/>
    <x v="1"/>
    <x v="360"/>
    <x v="338"/>
    <d v="1899-12-30T00:25:00"/>
    <x v="0"/>
    <x v="0"/>
  </r>
  <r>
    <x v="229"/>
    <x v="1"/>
    <x v="1"/>
    <x v="13"/>
    <x v="13"/>
    <d v="1899-12-30T00:25:00"/>
    <x v="0"/>
    <x v="0"/>
  </r>
  <r>
    <x v="229"/>
    <x v="1"/>
    <x v="1"/>
    <x v="14"/>
    <x v="14"/>
    <d v="1899-12-30T00:25:00"/>
    <x v="0"/>
    <x v="0"/>
  </r>
  <r>
    <x v="229"/>
    <x v="1"/>
    <x v="1"/>
    <x v="405"/>
    <x v="405"/>
    <d v="1899-12-30T00:19:00"/>
    <x v="0"/>
    <x v="0"/>
  </r>
  <r>
    <x v="229"/>
    <x v="1"/>
    <x v="1"/>
    <x v="515"/>
    <x v="130"/>
    <d v="1899-12-30T00:08:00"/>
    <x v="4"/>
    <x v="0"/>
  </r>
  <r>
    <x v="229"/>
    <x v="1"/>
    <x v="1"/>
    <x v="130"/>
    <x v="350"/>
    <d v="1899-12-30T00:25:00"/>
    <x v="0"/>
    <x v="0"/>
  </r>
  <r>
    <x v="229"/>
    <x v="1"/>
    <x v="1"/>
    <x v="131"/>
    <x v="132"/>
    <d v="1899-12-30T00:11:00"/>
    <x v="0"/>
    <x v="0"/>
  </r>
  <r>
    <x v="230"/>
    <x v="1"/>
    <x v="1"/>
    <x v="525"/>
    <x v="402"/>
    <d v="1899-12-30T00:55:00"/>
    <x v="0"/>
    <x v="0"/>
  </r>
  <r>
    <x v="230"/>
    <x v="1"/>
    <x v="1"/>
    <x v="43"/>
    <x v="525"/>
    <d v="1899-12-30T00:18:00"/>
    <x v="0"/>
    <x v="0"/>
  </r>
  <r>
    <x v="230"/>
    <x v="1"/>
    <x v="1"/>
    <x v="44"/>
    <x v="39"/>
    <d v="1899-12-30T00:48:00"/>
    <x v="0"/>
    <x v="0"/>
  </r>
  <r>
    <x v="230"/>
    <x v="1"/>
    <x v="1"/>
    <x v="80"/>
    <x v="54"/>
    <d v="1899-12-30T00:40:00"/>
    <x v="0"/>
    <x v="0"/>
  </r>
  <r>
    <x v="230"/>
    <x v="1"/>
    <x v="1"/>
    <x v="296"/>
    <x v="526"/>
    <d v="1899-12-30T01:02:00"/>
    <x v="0"/>
    <x v="0"/>
  </r>
  <r>
    <x v="230"/>
    <x v="1"/>
    <x v="1"/>
    <x v="327"/>
    <x v="295"/>
    <d v="1899-12-30T00:25:00"/>
    <x v="0"/>
    <x v="0"/>
  </r>
  <r>
    <x v="230"/>
    <x v="1"/>
    <x v="1"/>
    <x v="251"/>
    <x v="188"/>
    <d v="1899-12-30T00:27:00"/>
    <x v="0"/>
    <x v="0"/>
  </r>
  <r>
    <x v="230"/>
    <x v="1"/>
    <x v="1"/>
    <x v="264"/>
    <x v="271"/>
    <d v="1899-12-30T00:25:00"/>
    <x v="0"/>
    <x v="0"/>
  </r>
  <r>
    <x v="231"/>
    <x v="1"/>
    <x v="1"/>
    <x v="526"/>
    <x v="245"/>
    <d v="1899-12-30T00:23:00"/>
    <x v="0"/>
    <x v="0"/>
  </r>
  <r>
    <x v="231"/>
    <x v="1"/>
    <x v="1"/>
    <x v="9"/>
    <x v="46"/>
    <d v="1899-12-30T00:52:00"/>
    <x v="0"/>
    <x v="0"/>
  </r>
  <r>
    <x v="231"/>
    <x v="1"/>
    <x v="1"/>
    <x v="389"/>
    <x v="300"/>
    <d v="1899-12-30T00:15:00"/>
    <x v="0"/>
    <x v="0"/>
  </r>
  <r>
    <x v="231"/>
    <x v="1"/>
    <x v="1"/>
    <x v="455"/>
    <x v="216"/>
    <d v="1899-12-30T00:15:00"/>
    <x v="0"/>
    <x v="0"/>
  </r>
  <r>
    <x v="232"/>
    <x v="1"/>
    <x v="1"/>
    <x v="114"/>
    <x v="527"/>
    <d v="1899-12-30T00:11:00"/>
    <x v="2"/>
    <x v="0"/>
  </r>
  <r>
    <x v="232"/>
    <x v="1"/>
    <x v="1"/>
    <x v="119"/>
    <x v="120"/>
    <d v="1899-12-30T00:25:00"/>
    <x v="0"/>
    <x v="0"/>
  </r>
  <r>
    <x v="232"/>
    <x v="1"/>
    <x v="1"/>
    <x v="218"/>
    <x v="344"/>
    <d v="1899-12-30T00:25:00"/>
    <x v="0"/>
    <x v="0"/>
  </r>
  <r>
    <x v="232"/>
    <x v="1"/>
    <x v="1"/>
    <x v="305"/>
    <x v="423"/>
    <d v="1899-12-30T00:25:00"/>
    <x v="0"/>
    <x v="0"/>
  </r>
  <r>
    <x v="232"/>
    <x v="1"/>
    <x v="1"/>
    <x v="131"/>
    <x v="132"/>
    <d v="1899-12-30T00:25:00"/>
    <x v="0"/>
    <x v="0"/>
  </r>
  <r>
    <x v="232"/>
    <x v="1"/>
    <x v="1"/>
    <x v="123"/>
    <x v="123"/>
    <d v="1899-12-30T00:25:00"/>
    <x v="0"/>
    <x v="0"/>
  </r>
  <r>
    <x v="232"/>
    <x v="1"/>
    <x v="1"/>
    <x v="124"/>
    <x v="124"/>
    <d v="1899-12-30T00:25:00"/>
    <x v="0"/>
    <x v="0"/>
  </r>
  <r>
    <x v="233"/>
    <x v="1"/>
    <x v="1"/>
    <x v="14"/>
    <x v="14"/>
    <d v="1899-12-30T00:25:00"/>
    <x v="0"/>
    <x v="0"/>
  </r>
  <r>
    <x v="233"/>
    <x v="1"/>
    <x v="1"/>
    <x v="15"/>
    <x v="15"/>
    <d v="1899-12-30T00:25:00"/>
    <x v="0"/>
    <x v="0"/>
  </r>
  <r>
    <x v="233"/>
    <x v="1"/>
    <x v="1"/>
    <x v="210"/>
    <x v="215"/>
    <d v="1899-12-30T00:25:00"/>
    <x v="0"/>
    <x v="0"/>
  </r>
  <r>
    <x v="234"/>
    <x v="1"/>
    <x v="1"/>
    <x v="279"/>
    <x v="528"/>
    <d v="1899-12-30T00:29:00"/>
    <x v="0"/>
    <x v="0"/>
  </r>
  <r>
    <x v="234"/>
    <x v="1"/>
    <x v="1"/>
    <x v="527"/>
    <x v="65"/>
    <d v="1899-12-30T00:38:00"/>
    <x v="0"/>
    <x v="0"/>
  </r>
  <r>
    <x v="234"/>
    <x v="1"/>
    <x v="1"/>
    <x v="45"/>
    <x v="529"/>
    <d v="1899-12-30T00:41:00"/>
    <x v="0"/>
    <x v="0"/>
  </r>
  <r>
    <x v="234"/>
    <x v="1"/>
    <x v="1"/>
    <x v="56"/>
    <x v="530"/>
    <d v="1899-12-30T00:21:00"/>
    <x v="0"/>
    <x v="0"/>
  </r>
  <r>
    <x v="234"/>
    <x v="1"/>
    <x v="1"/>
    <x v="146"/>
    <x v="531"/>
    <d v="1899-12-30T00:44:00"/>
    <x v="0"/>
    <x v="0"/>
  </r>
  <r>
    <x v="234"/>
    <x v="1"/>
    <x v="1"/>
    <x v="255"/>
    <x v="532"/>
    <d v="1899-12-30T01:47:00"/>
    <x v="0"/>
    <x v="0"/>
  </r>
  <r>
    <x v="235"/>
    <x v="1"/>
    <x v="1"/>
    <x v="528"/>
    <x v="63"/>
    <d v="1899-12-30T00:43:00"/>
    <x v="0"/>
    <x v="0"/>
  </r>
  <r>
    <x v="235"/>
    <x v="1"/>
    <x v="1"/>
    <x v="8"/>
    <x v="533"/>
    <d v="1899-12-30T00:48:00"/>
    <x v="0"/>
    <x v="0"/>
  </r>
  <r>
    <x v="235"/>
    <x v="1"/>
    <x v="1"/>
    <x v="203"/>
    <x v="205"/>
    <d v="1899-12-30T00:55:00"/>
    <x v="0"/>
    <x v="0"/>
  </r>
  <r>
    <x v="235"/>
    <x v="1"/>
    <x v="1"/>
    <x v="226"/>
    <x v="534"/>
    <d v="1899-12-30T00:26:00"/>
    <x v="0"/>
    <x v="0"/>
  </r>
  <r>
    <x v="235"/>
    <x v="1"/>
    <x v="1"/>
    <x v="529"/>
    <x v="535"/>
    <d v="1899-12-30T01:23:00"/>
    <x v="0"/>
    <x v="0"/>
  </r>
  <r>
    <x v="236"/>
    <x v="1"/>
    <x v="1"/>
    <x v="530"/>
    <x v="536"/>
    <d v="1899-12-30T01:08:00"/>
    <x v="0"/>
    <x v="0"/>
  </r>
  <r>
    <x v="236"/>
    <x v="1"/>
    <x v="1"/>
    <x v="305"/>
    <x v="139"/>
    <d v="1899-12-30T00:10:00"/>
    <x v="2"/>
    <x v="0"/>
  </r>
  <r>
    <x v="236"/>
    <x v="1"/>
    <x v="1"/>
    <x v="243"/>
    <x v="350"/>
    <d v="1899-12-30T00:15:00"/>
    <x v="3"/>
    <x v="0"/>
  </r>
  <r>
    <x v="236"/>
    <x v="1"/>
    <x v="1"/>
    <x v="455"/>
    <x v="304"/>
    <d v="1899-12-30T00:17:00"/>
    <x v="0"/>
    <x v="0"/>
  </r>
  <r>
    <x v="237"/>
    <x v="1"/>
    <x v="1"/>
    <x v="531"/>
    <x v="537"/>
    <d v="1899-12-30T00:11:00"/>
    <x v="0"/>
    <x v="0"/>
  </r>
  <r>
    <x v="237"/>
    <x v="1"/>
    <x v="1"/>
    <x v="188"/>
    <x v="4"/>
    <d v="1899-12-30T00:15:00"/>
    <x v="0"/>
    <x v="0"/>
  </r>
  <r>
    <x v="237"/>
    <x v="1"/>
    <x v="1"/>
    <x v="59"/>
    <x v="538"/>
    <d v="1899-12-30T01:04:00"/>
    <x v="0"/>
    <x v="0"/>
  </r>
  <r>
    <x v="237"/>
    <x v="1"/>
    <x v="1"/>
    <x v="245"/>
    <x v="52"/>
    <d v="1899-12-30T01:05:00"/>
    <x v="0"/>
    <x v="0"/>
  </r>
  <r>
    <x v="237"/>
    <x v="1"/>
    <x v="1"/>
    <x v="108"/>
    <x v="331"/>
    <d v="1899-12-30T01:49:00"/>
    <x v="0"/>
    <x v="0"/>
  </r>
  <r>
    <x v="238"/>
    <x v="2"/>
    <x v="1"/>
    <x v="532"/>
    <x v="539"/>
    <d v="1899-12-30T00:25:00"/>
    <x v="2"/>
    <x v="0"/>
  </r>
  <r>
    <x v="238"/>
    <x v="2"/>
    <x v="1"/>
    <x v="533"/>
    <x v="540"/>
    <d v="1899-12-30T00:25:00"/>
    <x v="3"/>
    <x v="1"/>
  </r>
  <r>
    <x v="238"/>
    <x v="2"/>
    <x v="1"/>
    <x v="61"/>
    <x v="62"/>
    <d v="1899-12-30T00:25:00"/>
    <x v="0"/>
    <x v="1"/>
  </r>
  <r>
    <x v="238"/>
    <x v="2"/>
    <x v="1"/>
    <x v="534"/>
    <x v="541"/>
    <d v="1899-12-30T00:27:00"/>
    <x v="0"/>
    <x v="0"/>
  </r>
  <r>
    <x v="238"/>
    <x v="2"/>
    <x v="1"/>
    <x v="535"/>
    <x v="542"/>
    <d v="1899-12-30T00:15:00"/>
    <x v="4"/>
    <x v="1"/>
  </r>
  <r>
    <x v="238"/>
    <x v="2"/>
    <x v="1"/>
    <x v="536"/>
    <x v="441"/>
    <d v="1899-12-30T00:25:00"/>
    <x v="0"/>
    <x v="0"/>
  </r>
  <r>
    <x v="238"/>
    <x v="2"/>
    <x v="1"/>
    <x v="391"/>
    <x v="391"/>
    <d v="1899-12-30T00:25:00"/>
    <x v="3"/>
    <x v="0"/>
  </r>
  <r>
    <x v="238"/>
    <x v="2"/>
    <x v="1"/>
    <x v="10"/>
    <x v="543"/>
    <d v="1899-12-30T00:25:00"/>
    <x v="0"/>
    <x v="0"/>
  </r>
  <r>
    <x v="238"/>
    <x v="2"/>
    <x v="1"/>
    <x v="537"/>
    <x v="544"/>
    <d v="1899-12-30T00:25:00"/>
    <x v="0"/>
    <x v="0"/>
  </r>
  <r>
    <x v="238"/>
    <x v="2"/>
    <x v="1"/>
    <x v="538"/>
    <x v="80"/>
    <d v="1899-12-30T00:26:00"/>
    <x v="4"/>
    <x v="0"/>
  </r>
  <r>
    <x v="238"/>
    <x v="2"/>
    <x v="1"/>
    <x v="359"/>
    <x v="282"/>
    <d v="1899-12-30T00:25:00"/>
    <x v="0"/>
    <x v="0"/>
  </r>
  <r>
    <x v="238"/>
    <x v="2"/>
    <x v="1"/>
    <x v="360"/>
    <x v="338"/>
    <d v="1899-12-30T00:25:00"/>
    <x v="0"/>
    <x v="0"/>
  </r>
  <r>
    <x v="238"/>
    <x v="2"/>
    <x v="1"/>
    <x v="13"/>
    <x v="13"/>
    <d v="1899-12-30T00:25:00"/>
    <x v="0"/>
    <x v="0"/>
  </r>
  <r>
    <x v="238"/>
    <x v="2"/>
    <x v="1"/>
    <x v="361"/>
    <x v="339"/>
    <d v="1899-12-30T00:25:00"/>
    <x v="0"/>
    <x v="0"/>
  </r>
  <r>
    <x v="239"/>
    <x v="2"/>
    <x v="1"/>
    <x v="43"/>
    <x v="81"/>
    <d v="1899-12-30T02:30:00"/>
    <x v="3"/>
    <x v="0"/>
  </r>
  <r>
    <x v="240"/>
    <x v="2"/>
    <x v="1"/>
    <x v="0"/>
    <x v="545"/>
    <d v="1899-12-30T03:45:00"/>
    <x v="0"/>
    <x v="0"/>
  </r>
  <r>
    <x v="241"/>
    <x v="2"/>
    <x v="1"/>
    <x v="7"/>
    <x v="7"/>
    <d v="1899-12-30T00:25:00"/>
    <x v="2"/>
    <x v="0"/>
  </r>
  <r>
    <x v="241"/>
    <x v="2"/>
    <x v="1"/>
    <x v="8"/>
    <x v="8"/>
    <d v="1899-12-30T00:25:00"/>
    <x v="0"/>
    <x v="0"/>
  </r>
  <r>
    <x v="241"/>
    <x v="2"/>
    <x v="1"/>
    <x v="9"/>
    <x v="9"/>
    <d v="1899-12-30T00:25:00"/>
    <x v="0"/>
    <x v="0"/>
  </r>
  <r>
    <x v="241"/>
    <x v="2"/>
    <x v="1"/>
    <x v="10"/>
    <x v="543"/>
    <d v="1899-12-30T00:25:00"/>
    <x v="0"/>
    <x v="0"/>
  </r>
  <r>
    <x v="241"/>
    <x v="2"/>
    <x v="1"/>
    <x v="396"/>
    <x v="546"/>
    <d v="1899-12-30T00:15:00"/>
    <x v="4"/>
    <x v="0"/>
  </r>
  <r>
    <x v="241"/>
    <x v="2"/>
    <x v="1"/>
    <x v="45"/>
    <x v="394"/>
    <d v="1899-12-30T00:25:00"/>
    <x v="0"/>
    <x v="0"/>
  </r>
  <r>
    <x v="241"/>
    <x v="2"/>
    <x v="1"/>
    <x v="539"/>
    <x v="534"/>
    <d v="1899-12-30T00:25:00"/>
    <x v="0"/>
    <x v="0"/>
  </r>
  <r>
    <x v="241"/>
    <x v="2"/>
    <x v="1"/>
    <x v="408"/>
    <x v="446"/>
    <d v="1899-12-30T00:25:00"/>
    <x v="0"/>
    <x v="0"/>
  </r>
  <r>
    <x v="241"/>
    <x v="2"/>
    <x v="1"/>
    <x v="318"/>
    <x v="547"/>
    <d v="1899-12-30T00:41:00"/>
    <x v="0"/>
    <x v="0"/>
  </r>
  <r>
    <x v="241"/>
    <x v="2"/>
    <x v="1"/>
    <x v="540"/>
    <x v="113"/>
    <d v="1899-12-30T00:20:00"/>
    <x v="4"/>
    <x v="0"/>
  </r>
  <r>
    <x v="241"/>
    <x v="2"/>
    <x v="1"/>
    <x v="2"/>
    <x v="2"/>
    <d v="1899-12-30T00:27:00"/>
    <x v="0"/>
    <x v="0"/>
  </r>
  <r>
    <x v="241"/>
    <x v="2"/>
    <x v="1"/>
    <x v="3"/>
    <x v="3"/>
    <d v="1899-12-30T00:27:00"/>
    <x v="0"/>
    <x v="0"/>
  </r>
  <r>
    <x v="241"/>
    <x v="2"/>
    <x v="1"/>
    <x v="4"/>
    <x v="4"/>
    <d v="1899-12-30T00:25:00"/>
    <x v="0"/>
    <x v="0"/>
  </r>
  <r>
    <x v="242"/>
    <x v="2"/>
    <x v="1"/>
    <x v="541"/>
    <x v="242"/>
    <d v="1899-12-30T00:26:00"/>
    <x v="0"/>
    <x v="0"/>
  </r>
  <r>
    <x v="242"/>
    <x v="2"/>
    <x v="1"/>
    <x v="331"/>
    <x v="548"/>
    <d v="1899-12-30T00:37:00"/>
    <x v="0"/>
    <x v="0"/>
  </r>
  <r>
    <x v="242"/>
    <x v="2"/>
    <x v="1"/>
    <x v="351"/>
    <x v="549"/>
    <d v="1899-12-30T00:14:00"/>
    <x v="0"/>
    <x v="0"/>
  </r>
  <r>
    <x v="242"/>
    <x v="2"/>
    <x v="1"/>
    <x v="414"/>
    <x v="550"/>
    <d v="1899-12-30T00:24:00"/>
    <x v="0"/>
    <x v="0"/>
  </r>
  <r>
    <x v="242"/>
    <x v="2"/>
    <x v="1"/>
    <x v="542"/>
    <x v="168"/>
    <d v="1899-12-30T00:58:00"/>
    <x v="0"/>
    <x v="0"/>
  </r>
  <r>
    <x v="242"/>
    <x v="2"/>
    <x v="1"/>
    <x v="222"/>
    <x v="551"/>
    <d v="1899-12-30T00:26:00"/>
    <x v="0"/>
    <x v="0"/>
  </r>
  <r>
    <x v="243"/>
    <x v="2"/>
    <x v="1"/>
    <x v="489"/>
    <x v="486"/>
    <d v="1899-12-30T01:08:00"/>
    <x v="0"/>
    <x v="0"/>
  </r>
  <r>
    <x v="244"/>
    <x v="2"/>
    <x v="1"/>
    <x v="543"/>
    <x v="516"/>
    <d v="1899-12-30T00:59:00"/>
    <x v="0"/>
    <x v="0"/>
  </r>
  <r>
    <x v="244"/>
    <x v="2"/>
    <x v="1"/>
    <x v="544"/>
    <x v="517"/>
    <d v="1899-12-30T00:15:00"/>
    <x v="0"/>
    <x v="0"/>
  </r>
  <r>
    <x v="244"/>
    <x v="2"/>
    <x v="1"/>
    <x v="545"/>
    <x v="552"/>
    <d v="1899-12-30T01:01:00"/>
    <x v="0"/>
    <x v="0"/>
  </r>
  <r>
    <x v="244"/>
    <x v="2"/>
    <x v="1"/>
    <x v="305"/>
    <x v="318"/>
    <d v="1899-12-30T00:31:00"/>
    <x v="0"/>
    <x v="0"/>
  </r>
  <r>
    <x v="245"/>
    <x v="2"/>
    <x v="1"/>
    <x v="7"/>
    <x v="7"/>
    <d v="1899-12-30T00:25:00"/>
    <x v="0"/>
    <x v="0"/>
  </r>
  <r>
    <x v="245"/>
    <x v="2"/>
    <x v="1"/>
    <x v="8"/>
    <x v="8"/>
    <d v="1899-12-30T00:25:00"/>
    <x v="0"/>
    <x v="0"/>
  </r>
  <r>
    <x v="245"/>
    <x v="2"/>
    <x v="1"/>
    <x v="9"/>
    <x v="9"/>
    <d v="1899-12-30T00:25:00"/>
    <x v="0"/>
    <x v="0"/>
  </r>
  <r>
    <x v="245"/>
    <x v="2"/>
    <x v="1"/>
    <x v="10"/>
    <x v="543"/>
    <d v="1899-12-30T00:33:00"/>
    <x v="0"/>
    <x v="0"/>
  </r>
  <r>
    <x v="245"/>
    <x v="2"/>
    <x v="1"/>
    <x v="396"/>
    <x v="546"/>
    <d v="1899-12-30T00:15:00"/>
    <x v="4"/>
    <x v="0"/>
  </r>
  <r>
    <x v="245"/>
    <x v="2"/>
    <x v="1"/>
    <x v="45"/>
    <x v="394"/>
    <d v="1899-12-30T00:38:00"/>
    <x v="0"/>
    <x v="0"/>
  </r>
  <r>
    <x v="246"/>
    <x v="2"/>
    <x v="1"/>
    <x v="29"/>
    <x v="524"/>
    <d v="1899-12-30T00:15:00"/>
    <x v="2"/>
    <x v="0"/>
  </r>
  <r>
    <x v="246"/>
    <x v="2"/>
    <x v="1"/>
    <x v="546"/>
    <x v="553"/>
    <d v="1899-12-30T00:25:00"/>
    <x v="0"/>
    <x v="1"/>
  </r>
  <r>
    <x v="247"/>
    <x v="2"/>
    <x v="1"/>
    <x v="400"/>
    <x v="402"/>
    <d v="1899-12-30T00:25:00"/>
    <x v="0"/>
    <x v="0"/>
  </r>
  <r>
    <x v="247"/>
    <x v="2"/>
    <x v="1"/>
    <x v="401"/>
    <x v="403"/>
    <d v="1899-12-30T00:25:00"/>
    <x v="0"/>
    <x v="0"/>
  </r>
  <r>
    <x v="247"/>
    <x v="2"/>
    <x v="1"/>
    <x v="402"/>
    <x v="404"/>
    <d v="1899-12-30T00:25:00"/>
    <x v="0"/>
    <x v="0"/>
  </r>
  <r>
    <x v="247"/>
    <x v="2"/>
    <x v="1"/>
    <x v="392"/>
    <x v="393"/>
    <d v="1899-12-30T00:25:00"/>
    <x v="0"/>
    <x v="1"/>
  </r>
  <r>
    <x v="247"/>
    <x v="2"/>
    <x v="1"/>
    <x v="32"/>
    <x v="400"/>
    <d v="1899-12-30T00:15:00"/>
    <x v="4"/>
    <x v="0"/>
  </r>
  <r>
    <x v="247"/>
    <x v="2"/>
    <x v="1"/>
    <x v="547"/>
    <x v="554"/>
    <d v="1899-12-30T00:25:00"/>
    <x v="0"/>
    <x v="0"/>
  </r>
  <r>
    <x v="247"/>
    <x v="2"/>
    <x v="1"/>
    <x v="435"/>
    <x v="308"/>
    <d v="1899-12-30T00:25:00"/>
    <x v="0"/>
    <x v="0"/>
  </r>
  <r>
    <x v="247"/>
    <x v="2"/>
    <x v="1"/>
    <x v="548"/>
    <x v="314"/>
    <d v="1899-12-30T00:25:00"/>
    <x v="0"/>
    <x v="0"/>
  </r>
  <r>
    <x v="247"/>
    <x v="2"/>
    <x v="1"/>
    <x v="549"/>
    <x v="128"/>
    <d v="1899-12-30T00:41:00"/>
    <x v="0"/>
    <x v="0"/>
  </r>
  <r>
    <x v="248"/>
    <x v="2"/>
    <x v="1"/>
    <x v="64"/>
    <x v="277"/>
    <d v="1899-12-30T00:30:00"/>
    <x v="0"/>
    <x v="0"/>
  </r>
  <r>
    <x v="248"/>
    <x v="2"/>
    <x v="1"/>
    <x v="63"/>
    <x v="64"/>
    <d v="1899-12-30T00:25:00"/>
    <x v="0"/>
    <x v="0"/>
  </r>
  <r>
    <x v="248"/>
    <x v="2"/>
    <x v="1"/>
    <x v="38"/>
    <x v="39"/>
    <d v="1899-12-30T00:25:00"/>
    <x v="0"/>
    <x v="0"/>
  </r>
  <r>
    <x v="248"/>
    <x v="2"/>
    <x v="1"/>
    <x v="547"/>
    <x v="554"/>
    <d v="1899-12-30T00:30:00"/>
    <x v="0"/>
    <x v="0"/>
  </r>
  <r>
    <x v="248"/>
    <x v="2"/>
    <x v="1"/>
    <x v="300"/>
    <x v="555"/>
    <d v="1899-12-30T00:15:00"/>
    <x v="4"/>
    <x v="0"/>
  </r>
  <r>
    <x v="248"/>
    <x v="2"/>
    <x v="1"/>
    <x v="383"/>
    <x v="385"/>
    <d v="1899-12-30T00:25:00"/>
    <x v="0"/>
    <x v="0"/>
  </r>
  <r>
    <x v="248"/>
    <x v="2"/>
    <x v="1"/>
    <x v="310"/>
    <x v="386"/>
    <d v="1899-12-30T00:25:00"/>
    <x v="0"/>
    <x v="0"/>
  </r>
  <r>
    <x v="248"/>
    <x v="2"/>
    <x v="1"/>
    <x v="83"/>
    <x v="82"/>
    <d v="1899-12-30T00:25:00"/>
    <x v="0"/>
    <x v="0"/>
  </r>
  <r>
    <x v="248"/>
    <x v="2"/>
    <x v="1"/>
    <x v="176"/>
    <x v="556"/>
    <d v="1899-12-30T00:29:00"/>
    <x v="0"/>
    <x v="0"/>
  </r>
  <r>
    <x v="249"/>
    <x v="2"/>
    <x v="1"/>
    <x v="64"/>
    <x v="277"/>
    <d v="1899-12-30T00:25:00"/>
    <x v="0"/>
    <x v="0"/>
  </r>
  <r>
    <x v="249"/>
    <x v="2"/>
    <x v="1"/>
    <x v="63"/>
    <x v="64"/>
    <d v="1899-12-30T00:13:00"/>
    <x v="0"/>
    <x v="0"/>
  </r>
  <r>
    <x v="249"/>
    <x v="2"/>
    <x v="1"/>
    <x v="38"/>
    <x v="39"/>
    <d v="1899-12-30T00:21:00"/>
    <x v="0"/>
    <x v="0"/>
  </r>
  <r>
    <x v="249"/>
    <x v="2"/>
    <x v="1"/>
    <x v="547"/>
    <x v="554"/>
    <d v="1899-12-30T00:25:00"/>
    <x v="0"/>
    <x v="0"/>
  </r>
  <r>
    <x v="249"/>
    <x v="2"/>
    <x v="1"/>
    <x v="300"/>
    <x v="555"/>
    <d v="1899-12-30T00:15:00"/>
    <x v="4"/>
    <x v="0"/>
  </r>
  <r>
    <x v="249"/>
    <x v="2"/>
    <x v="1"/>
    <x v="383"/>
    <x v="385"/>
    <d v="1899-12-30T00:25:00"/>
    <x v="0"/>
    <x v="0"/>
  </r>
  <r>
    <x v="249"/>
    <x v="2"/>
    <x v="1"/>
    <x v="310"/>
    <x v="386"/>
    <d v="1899-12-30T00:25:00"/>
    <x v="3"/>
    <x v="0"/>
  </r>
  <r>
    <x v="249"/>
    <x v="2"/>
    <x v="1"/>
    <x v="83"/>
    <x v="82"/>
    <d v="1899-12-30T00:25:00"/>
    <x v="0"/>
    <x v="0"/>
  </r>
  <r>
    <x v="249"/>
    <x v="2"/>
    <x v="1"/>
    <x v="176"/>
    <x v="556"/>
    <d v="1899-12-30T00:33:00"/>
    <x v="0"/>
    <x v="0"/>
  </r>
  <r>
    <x v="250"/>
    <x v="2"/>
    <x v="1"/>
    <x v="536"/>
    <x v="441"/>
    <d v="1899-12-30T00:25:00"/>
    <x v="0"/>
    <x v="0"/>
  </r>
  <r>
    <x v="250"/>
    <x v="2"/>
    <x v="1"/>
    <x v="391"/>
    <x v="391"/>
    <d v="1899-12-30T00:25:00"/>
    <x v="0"/>
    <x v="0"/>
  </r>
  <r>
    <x v="251"/>
    <x v="2"/>
    <x v="1"/>
    <x v="550"/>
    <x v="37"/>
    <d v="1899-12-30T00:41:00"/>
    <x v="0"/>
    <x v="0"/>
  </r>
  <r>
    <x v="251"/>
    <x v="2"/>
    <x v="1"/>
    <x v="551"/>
    <x v="557"/>
    <d v="1899-12-30T00:31:00"/>
    <x v="0"/>
    <x v="0"/>
  </r>
  <r>
    <x v="251"/>
    <x v="2"/>
    <x v="1"/>
    <x v="552"/>
    <x v="46"/>
    <d v="1899-12-30T00:45:00"/>
    <x v="0"/>
    <x v="0"/>
  </r>
  <r>
    <x v="251"/>
    <x v="2"/>
    <x v="1"/>
    <x v="407"/>
    <x v="41"/>
    <d v="1899-12-30T01:13:00"/>
    <x v="0"/>
    <x v="0"/>
  </r>
  <r>
    <x v="251"/>
    <x v="2"/>
    <x v="1"/>
    <x v="227"/>
    <x v="435"/>
    <d v="1899-12-30T00:40:00"/>
    <x v="0"/>
    <x v="0"/>
  </r>
  <r>
    <x v="252"/>
    <x v="2"/>
    <x v="1"/>
    <x v="270"/>
    <x v="225"/>
    <d v="1899-12-30T00:25:00"/>
    <x v="0"/>
    <x v="0"/>
  </r>
  <r>
    <x v="253"/>
    <x v="2"/>
    <x v="1"/>
    <x v="553"/>
    <x v="558"/>
    <d v="1899-12-30T02:01:00"/>
    <x v="0"/>
    <x v="0"/>
  </r>
  <r>
    <x v="253"/>
    <x v="2"/>
    <x v="1"/>
    <x v="554"/>
    <x v="282"/>
    <d v="1899-12-30T00:44:00"/>
    <x v="0"/>
    <x v="0"/>
  </r>
  <r>
    <x v="254"/>
    <x v="2"/>
    <x v="1"/>
    <x v="71"/>
    <x v="117"/>
    <d v="1899-12-30T00:15:00"/>
    <x v="2"/>
    <x v="0"/>
  </r>
  <r>
    <x v="254"/>
    <x v="2"/>
    <x v="1"/>
    <x v="555"/>
    <x v="559"/>
    <d v="1899-12-30T00:25:00"/>
    <x v="0"/>
    <x v="0"/>
  </r>
  <r>
    <x v="255"/>
    <x v="3"/>
    <x v="1"/>
    <x v="215"/>
    <x v="560"/>
    <d v="1899-12-30T00:25:00"/>
    <x v="2"/>
    <x v="0"/>
  </r>
  <r>
    <x v="255"/>
    <x v="3"/>
    <x v="1"/>
    <x v="372"/>
    <x v="482"/>
    <d v="1899-12-30T00:25:00"/>
    <x v="0"/>
    <x v="0"/>
  </r>
  <r>
    <x v="255"/>
    <x v="3"/>
    <x v="1"/>
    <x v="250"/>
    <x v="257"/>
    <d v="1899-12-30T00:25:00"/>
    <x v="0"/>
    <x v="0"/>
  </r>
  <r>
    <x v="255"/>
    <x v="3"/>
    <x v="1"/>
    <x v="556"/>
    <x v="561"/>
    <d v="1899-12-30T00:58:00"/>
    <x v="0"/>
    <x v="0"/>
  </r>
  <r>
    <x v="256"/>
    <x v="3"/>
    <x v="1"/>
    <x v="109"/>
    <x v="109"/>
    <d v="1899-12-30T00:25:00"/>
    <x v="3"/>
    <x v="0"/>
  </r>
  <r>
    <x v="256"/>
    <x v="3"/>
    <x v="1"/>
    <x v="2"/>
    <x v="2"/>
    <d v="1899-12-30T00:25:00"/>
    <x v="0"/>
    <x v="0"/>
  </r>
  <r>
    <x v="256"/>
    <x v="3"/>
    <x v="1"/>
    <x v="3"/>
    <x v="3"/>
    <d v="1899-12-30T00:25:00"/>
    <x v="0"/>
    <x v="0"/>
  </r>
  <r>
    <x v="256"/>
    <x v="3"/>
    <x v="1"/>
    <x v="243"/>
    <x v="250"/>
    <d v="1899-12-30T00:25:00"/>
    <x v="0"/>
    <x v="0"/>
  </r>
  <r>
    <x v="257"/>
    <x v="3"/>
    <x v="1"/>
    <x v="40"/>
    <x v="116"/>
    <d v="1899-12-30T00:15:00"/>
    <x v="2"/>
    <x v="0"/>
  </r>
  <r>
    <x v="257"/>
    <x v="3"/>
    <x v="1"/>
    <x v="557"/>
    <x v="506"/>
    <d v="1899-12-30T00:25:00"/>
    <x v="3"/>
    <x v="0"/>
  </r>
  <r>
    <x v="257"/>
    <x v="3"/>
    <x v="1"/>
    <x v="555"/>
    <x v="559"/>
    <d v="1899-12-30T00:25:00"/>
    <x v="3"/>
    <x v="0"/>
  </r>
  <r>
    <x v="257"/>
    <x v="3"/>
    <x v="1"/>
    <x v="520"/>
    <x v="334"/>
    <d v="1899-12-30T00:25:00"/>
    <x v="0"/>
    <x v="0"/>
  </r>
  <r>
    <x v="257"/>
    <x v="3"/>
    <x v="1"/>
    <x v="128"/>
    <x v="129"/>
    <d v="1899-12-30T00:25:00"/>
    <x v="0"/>
    <x v="0"/>
  </r>
  <r>
    <x v="257"/>
    <x v="3"/>
    <x v="1"/>
    <x v="218"/>
    <x v="15"/>
    <d v="1899-12-30T00:15:00"/>
    <x v="4"/>
    <x v="0"/>
  </r>
  <r>
    <x v="257"/>
    <x v="3"/>
    <x v="1"/>
    <x v="287"/>
    <x v="250"/>
    <d v="1899-12-30T00:42:00"/>
    <x v="0"/>
    <x v="0"/>
  </r>
  <r>
    <x v="258"/>
    <x v="3"/>
    <x v="1"/>
    <x v="59"/>
    <x v="562"/>
    <d v="1899-12-30T01:18:00"/>
    <x v="0"/>
    <x v="0"/>
  </r>
  <r>
    <x v="258"/>
    <x v="3"/>
    <x v="1"/>
    <x v="214"/>
    <x v="220"/>
    <d v="1899-12-30T00:25:00"/>
    <x v="0"/>
    <x v="0"/>
  </r>
  <r>
    <x v="258"/>
    <x v="3"/>
    <x v="1"/>
    <x v="254"/>
    <x v="136"/>
    <d v="1899-12-30T00:40:00"/>
    <x v="0"/>
    <x v="0"/>
  </r>
  <r>
    <x v="259"/>
    <x v="3"/>
    <x v="1"/>
    <x v="558"/>
    <x v="508"/>
    <d v="1899-12-30T00:23:00"/>
    <x v="0"/>
    <x v="0"/>
  </r>
  <r>
    <x v="259"/>
    <x v="3"/>
    <x v="1"/>
    <x v="242"/>
    <x v="563"/>
    <d v="1899-12-30T00:54:00"/>
    <x v="0"/>
    <x v="0"/>
  </r>
  <r>
    <x v="259"/>
    <x v="3"/>
    <x v="1"/>
    <x v="318"/>
    <x v="119"/>
    <d v="1899-12-30T00:46:00"/>
    <x v="0"/>
    <x v="0"/>
  </r>
  <r>
    <x v="260"/>
    <x v="3"/>
    <x v="1"/>
    <x v="50"/>
    <x v="51"/>
    <d v="1899-12-30T00:25:00"/>
    <x v="0"/>
    <x v="0"/>
  </r>
  <r>
    <x v="260"/>
    <x v="3"/>
    <x v="1"/>
    <x v="51"/>
    <x v="52"/>
    <d v="1899-12-30T00:25:00"/>
    <x v="0"/>
    <x v="0"/>
  </r>
  <r>
    <x v="260"/>
    <x v="3"/>
    <x v="1"/>
    <x v="107"/>
    <x v="107"/>
    <d v="1899-12-30T00:25:00"/>
    <x v="0"/>
    <x v="0"/>
  </r>
  <r>
    <x v="260"/>
    <x v="3"/>
    <x v="1"/>
    <x v="230"/>
    <x v="254"/>
    <d v="1899-12-30T00:17:00"/>
    <x v="0"/>
    <x v="0"/>
  </r>
  <r>
    <x v="261"/>
    <x v="3"/>
    <x v="1"/>
    <x v="30"/>
    <x v="31"/>
    <d v="1899-12-30T00:25:00"/>
    <x v="0"/>
    <x v="0"/>
  </r>
  <r>
    <x v="261"/>
    <x v="3"/>
    <x v="1"/>
    <x v="31"/>
    <x v="32"/>
    <d v="1899-12-30T00:25:00"/>
    <x v="0"/>
    <x v="0"/>
  </r>
  <r>
    <x v="261"/>
    <x v="3"/>
    <x v="1"/>
    <x v="382"/>
    <x v="384"/>
    <d v="1899-12-30T00:30:00"/>
    <x v="0"/>
    <x v="0"/>
  </r>
  <r>
    <x v="262"/>
    <x v="3"/>
    <x v="1"/>
    <x v="559"/>
    <x v="20"/>
    <d v="1899-12-30T00:48:00"/>
    <x v="0"/>
    <x v="0"/>
  </r>
  <r>
    <x v="262"/>
    <x v="3"/>
    <x v="1"/>
    <x v="560"/>
    <x v="564"/>
    <d v="1899-12-30T00:33:00"/>
    <x v="0"/>
    <x v="0"/>
  </r>
  <r>
    <x v="263"/>
    <x v="3"/>
    <x v="1"/>
    <x v="255"/>
    <x v="204"/>
    <d v="1899-12-30T00:35:00"/>
    <x v="0"/>
    <x v="0"/>
  </r>
  <r>
    <x v="264"/>
    <x v="3"/>
    <x v="1"/>
    <x v="561"/>
    <x v="310"/>
    <d v="1899-12-30T02:10:00"/>
    <x v="0"/>
    <x v="0"/>
  </r>
  <r>
    <x v="264"/>
    <x v="3"/>
    <x v="1"/>
    <x v="192"/>
    <x v="206"/>
    <d v="1899-12-30T00:43:00"/>
    <x v="0"/>
    <x v="0"/>
  </r>
  <r>
    <x v="264"/>
    <x v="3"/>
    <x v="1"/>
    <x v="374"/>
    <x v="565"/>
    <d v="1899-12-30T01:20:00"/>
    <x v="0"/>
    <x v="0"/>
  </r>
  <r>
    <x v="265"/>
    <x v="3"/>
    <x v="1"/>
    <x v="355"/>
    <x v="182"/>
    <d v="1899-12-30T03:16:00"/>
    <x v="0"/>
    <x v="0"/>
  </r>
  <r>
    <x v="266"/>
    <x v="3"/>
    <x v="1"/>
    <x v="562"/>
    <x v="566"/>
    <d v="1899-12-30T01:11:00"/>
    <x v="0"/>
    <x v="0"/>
  </r>
  <r>
    <x v="266"/>
    <x v="3"/>
    <x v="1"/>
    <x v="465"/>
    <x v="265"/>
    <d v="1899-12-30T00:34:00"/>
    <x v="0"/>
    <x v="0"/>
  </r>
  <r>
    <x v="267"/>
    <x v="3"/>
    <x v="1"/>
    <x v="145"/>
    <x v="146"/>
    <d v="1899-12-30T00:25:00"/>
    <x v="0"/>
    <x v="0"/>
  </r>
  <r>
    <x v="267"/>
    <x v="3"/>
    <x v="1"/>
    <x v="263"/>
    <x v="24"/>
    <d v="1899-12-30T00:25:00"/>
    <x v="0"/>
    <x v="0"/>
  </r>
  <r>
    <x v="267"/>
    <x v="3"/>
    <x v="1"/>
    <x v="286"/>
    <x v="292"/>
    <d v="1899-12-30T00:25:00"/>
    <x v="0"/>
    <x v="0"/>
  </r>
  <r>
    <x v="268"/>
    <x v="3"/>
    <x v="1"/>
    <x v="104"/>
    <x v="567"/>
    <d v="1899-12-30T02:49:00"/>
    <x v="7"/>
    <x v="0"/>
  </r>
  <r>
    <x v="269"/>
    <x v="3"/>
    <x v="1"/>
    <x v="563"/>
    <x v="568"/>
    <d v="1899-12-30T01:40:00"/>
    <x v="7"/>
    <x v="0"/>
  </r>
  <r>
    <x v="269"/>
    <x v="3"/>
    <x v="1"/>
    <x v="564"/>
    <x v="569"/>
    <d v="1899-12-30T02:03:00"/>
    <x v="7"/>
    <x v="0"/>
  </r>
  <r>
    <x v="269"/>
    <x v="3"/>
    <x v="1"/>
    <x v="31"/>
    <x v="565"/>
    <d v="1899-12-30T01:00:00"/>
    <x v="0"/>
    <x v="0"/>
  </r>
  <r>
    <x v="270"/>
    <x v="3"/>
    <x v="1"/>
    <x v="565"/>
    <x v="362"/>
    <d v="1899-12-30T02:17:00"/>
    <x v="7"/>
    <x v="0"/>
  </r>
  <r>
    <x v="271"/>
    <x v="3"/>
    <x v="1"/>
    <x v="566"/>
    <x v="570"/>
    <d v="1899-12-30T01:38:00"/>
    <x v="7"/>
    <x v="0"/>
  </r>
  <r>
    <x v="271"/>
    <x v="3"/>
    <x v="1"/>
    <x v="567"/>
    <x v="447"/>
    <d v="1899-12-30T01:18:00"/>
    <x v="7"/>
    <x v="0"/>
  </r>
  <r>
    <x v="271"/>
    <x v="3"/>
    <x v="1"/>
    <x v="568"/>
    <x v="296"/>
    <d v="1899-12-30T00:47:00"/>
    <x v="7"/>
    <x v="0"/>
  </r>
  <r>
    <x v="272"/>
    <x v="4"/>
    <x v="2"/>
    <x v="124"/>
    <x v="179"/>
    <d v="1899-12-30T01:25:00"/>
    <x v="7"/>
    <x v="0"/>
  </r>
  <r>
    <x v="273"/>
    <x v="4"/>
    <x v="2"/>
    <x v="569"/>
    <x v="157"/>
    <d v="1899-12-30T00:18:00"/>
    <x v="0"/>
    <x v="0"/>
  </r>
  <r>
    <x v="273"/>
    <x v="4"/>
    <x v="2"/>
    <x v="210"/>
    <x v="235"/>
    <d v="1899-12-30T00:46:00"/>
    <x v="0"/>
    <x v="0"/>
  </r>
  <r>
    <x v="273"/>
    <x v="4"/>
    <x v="2"/>
    <x v="136"/>
    <x v="232"/>
    <d v="1899-12-30T00:15:00"/>
    <x v="2"/>
    <x v="0"/>
  </r>
  <r>
    <x v="273"/>
    <x v="4"/>
    <x v="2"/>
    <x v="570"/>
    <x v="571"/>
    <d v="1899-12-30T00:25:00"/>
    <x v="0"/>
    <x v="0"/>
  </r>
  <r>
    <x v="273"/>
    <x v="4"/>
    <x v="2"/>
    <x v="571"/>
    <x v="226"/>
    <d v="1899-12-30T00:25:00"/>
    <x v="0"/>
    <x v="0"/>
  </r>
  <r>
    <x v="273"/>
    <x v="4"/>
    <x v="2"/>
    <x v="572"/>
    <x v="572"/>
    <d v="1899-12-30T00:27:00"/>
    <x v="0"/>
    <x v="0"/>
  </r>
  <r>
    <x v="273"/>
    <x v="4"/>
    <x v="2"/>
    <x v="573"/>
    <x v="573"/>
    <d v="1899-12-30T01:03:00"/>
    <x v="0"/>
    <x v="0"/>
  </r>
  <r>
    <x v="274"/>
    <x v="4"/>
    <x v="2"/>
    <x v="82"/>
    <x v="23"/>
    <d v="1899-12-30T00:15:00"/>
    <x v="2"/>
    <x v="0"/>
  </r>
  <r>
    <x v="274"/>
    <x v="4"/>
    <x v="2"/>
    <x v="464"/>
    <x v="468"/>
    <d v="1899-12-30T00:25:00"/>
    <x v="0"/>
    <x v="0"/>
  </r>
  <r>
    <x v="274"/>
    <x v="4"/>
    <x v="2"/>
    <x v="325"/>
    <x v="469"/>
    <d v="1899-12-30T00:25:00"/>
    <x v="0"/>
    <x v="0"/>
  </r>
  <r>
    <x v="274"/>
    <x v="4"/>
    <x v="2"/>
    <x v="470"/>
    <x v="292"/>
    <d v="1899-12-30T00:35:00"/>
    <x v="0"/>
    <x v="0"/>
  </r>
  <r>
    <x v="274"/>
    <x v="4"/>
    <x v="2"/>
    <x v="305"/>
    <x v="346"/>
    <d v="1899-12-30T00:33:00"/>
    <x v="0"/>
    <x v="0"/>
  </r>
  <r>
    <x v="274"/>
    <x v="4"/>
    <x v="2"/>
    <x v="529"/>
    <x v="574"/>
    <d v="1899-12-30T00:20:00"/>
    <x v="0"/>
    <x v="0"/>
  </r>
  <r>
    <x v="274"/>
    <x v="4"/>
    <x v="2"/>
    <x v="574"/>
    <x v="575"/>
    <d v="1899-12-30T00:25:00"/>
    <x v="0"/>
    <x v="0"/>
  </r>
  <r>
    <x v="274"/>
    <x v="4"/>
    <x v="2"/>
    <x v="575"/>
    <x v="576"/>
    <d v="1899-12-30T00:25:00"/>
    <x v="0"/>
    <x v="0"/>
  </r>
  <r>
    <x v="274"/>
    <x v="4"/>
    <x v="2"/>
    <x v="576"/>
    <x v="577"/>
    <d v="1899-12-30T00:25:00"/>
    <x v="0"/>
    <x v="0"/>
  </r>
  <r>
    <x v="274"/>
    <x v="4"/>
    <x v="2"/>
    <x v="577"/>
    <x v="578"/>
    <d v="1899-12-30T00:15:00"/>
    <x v="4"/>
    <x v="0"/>
  </r>
  <r>
    <x v="274"/>
    <x v="4"/>
    <x v="2"/>
    <x v="578"/>
    <x v="579"/>
    <d v="1899-12-30T00:25:00"/>
    <x v="0"/>
    <x v="0"/>
  </r>
  <r>
    <x v="274"/>
    <x v="4"/>
    <x v="2"/>
    <x v="579"/>
    <x v="364"/>
    <d v="1899-12-30T00:42:00"/>
    <x v="0"/>
    <x v="0"/>
  </r>
  <r>
    <x v="275"/>
    <x v="4"/>
    <x v="2"/>
    <x v="126"/>
    <x v="127"/>
    <d v="1899-12-30T00:25:00"/>
    <x v="0"/>
    <x v="0"/>
  </r>
  <r>
    <x v="275"/>
    <x v="4"/>
    <x v="2"/>
    <x v="127"/>
    <x v="128"/>
    <d v="1899-12-30T00:25:00"/>
    <x v="0"/>
    <x v="0"/>
  </r>
  <r>
    <x v="275"/>
    <x v="4"/>
    <x v="2"/>
    <x v="128"/>
    <x v="2"/>
    <d v="1899-12-30T00:30:00"/>
    <x v="0"/>
    <x v="0"/>
  </r>
  <r>
    <x v="276"/>
    <x v="4"/>
    <x v="2"/>
    <x v="109"/>
    <x v="119"/>
    <d v="1899-12-30T00:15:00"/>
    <x v="2"/>
    <x v="0"/>
  </r>
  <r>
    <x v="276"/>
    <x v="4"/>
    <x v="2"/>
    <x v="269"/>
    <x v="450"/>
    <d v="1899-12-30T00:15:00"/>
    <x v="3"/>
    <x v="0"/>
  </r>
  <r>
    <x v="276"/>
    <x v="4"/>
    <x v="2"/>
    <x v="498"/>
    <x v="444"/>
    <d v="1899-12-30T00:25:00"/>
    <x v="0"/>
    <x v="0"/>
  </r>
  <r>
    <x v="276"/>
    <x v="4"/>
    <x v="2"/>
    <x v="580"/>
    <x v="199"/>
    <d v="1899-12-30T00:25:00"/>
    <x v="0"/>
    <x v="0"/>
  </r>
  <r>
    <x v="276"/>
    <x v="4"/>
    <x v="2"/>
    <x v="581"/>
    <x v="351"/>
    <d v="1899-12-30T00:25:00"/>
    <x v="0"/>
    <x v="0"/>
  </r>
  <r>
    <x v="276"/>
    <x v="4"/>
    <x v="2"/>
    <x v="46"/>
    <x v="47"/>
    <d v="1899-12-30T00:25:00"/>
    <x v="0"/>
    <x v="0"/>
  </r>
  <r>
    <x v="276"/>
    <x v="4"/>
    <x v="2"/>
    <x v="60"/>
    <x v="122"/>
    <d v="1899-12-30T00:15:00"/>
    <x v="4"/>
    <x v="0"/>
  </r>
  <r>
    <x v="276"/>
    <x v="4"/>
    <x v="2"/>
    <x v="251"/>
    <x v="188"/>
    <d v="1899-12-30T00:25:00"/>
    <x v="0"/>
    <x v="0"/>
  </r>
  <r>
    <x v="276"/>
    <x v="4"/>
    <x v="2"/>
    <x v="264"/>
    <x v="271"/>
    <d v="1899-12-30T00:25:00"/>
    <x v="0"/>
    <x v="0"/>
  </r>
  <r>
    <x v="276"/>
    <x v="4"/>
    <x v="2"/>
    <x v="265"/>
    <x v="272"/>
    <d v="1899-12-30T00:25:00"/>
    <x v="0"/>
    <x v="0"/>
  </r>
  <r>
    <x v="276"/>
    <x v="4"/>
    <x v="2"/>
    <x v="266"/>
    <x v="273"/>
    <d v="1899-12-30T00:25:00"/>
    <x v="0"/>
    <x v="0"/>
  </r>
  <r>
    <x v="276"/>
    <x v="4"/>
    <x v="2"/>
    <x v="582"/>
    <x v="580"/>
    <d v="1899-12-30T00:15:00"/>
    <x v="4"/>
    <x v="0"/>
  </r>
  <r>
    <x v="276"/>
    <x v="4"/>
    <x v="2"/>
    <x v="183"/>
    <x v="261"/>
    <d v="1899-12-30T00:19:00"/>
    <x v="0"/>
    <x v="0"/>
  </r>
  <r>
    <x v="276"/>
    <x v="4"/>
    <x v="2"/>
    <x v="583"/>
    <x v="238"/>
    <d v="1899-12-30T00:25:00"/>
    <x v="0"/>
    <x v="0"/>
  </r>
  <r>
    <x v="277"/>
    <x v="4"/>
    <x v="2"/>
    <x v="81"/>
    <x v="41"/>
    <d v="1899-12-30T00:15:00"/>
    <x v="2"/>
    <x v="0"/>
  </r>
  <r>
    <x v="277"/>
    <x v="4"/>
    <x v="2"/>
    <x v="584"/>
    <x v="581"/>
    <d v="1899-12-30T00:25:00"/>
    <x v="0"/>
    <x v="1"/>
  </r>
  <r>
    <x v="277"/>
    <x v="4"/>
    <x v="2"/>
    <x v="464"/>
    <x v="468"/>
    <d v="1899-12-30T00:25:00"/>
    <x v="0"/>
    <x v="0"/>
  </r>
  <r>
    <x v="277"/>
    <x v="4"/>
    <x v="2"/>
    <x v="325"/>
    <x v="469"/>
    <d v="1899-12-30T00:25:00"/>
    <x v="0"/>
    <x v="0"/>
  </r>
  <r>
    <x v="277"/>
    <x v="4"/>
    <x v="2"/>
    <x v="234"/>
    <x v="412"/>
    <d v="1899-12-30T00:49:00"/>
    <x v="0"/>
    <x v="0"/>
  </r>
  <r>
    <x v="278"/>
    <x v="4"/>
    <x v="2"/>
    <x v="585"/>
    <x v="582"/>
    <d v="1899-12-30T00:25:00"/>
    <x v="0"/>
    <x v="0"/>
  </r>
  <r>
    <x v="278"/>
    <x v="4"/>
    <x v="2"/>
    <x v="586"/>
    <x v="583"/>
    <d v="1899-12-30T00:25:00"/>
    <x v="0"/>
    <x v="0"/>
  </r>
  <r>
    <x v="278"/>
    <x v="4"/>
    <x v="2"/>
    <x v="587"/>
    <x v="584"/>
    <d v="1899-12-30T00:36:00"/>
    <x v="0"/>
    <x v="0"/>
  </r>
  <r>
    <x v="278"/>
    <x v="4"/>
    <x v="2"/>
    <x v="120"/>
    <x v="423"/>
    <d v="1899-12-30T00:35:00"/>
    <x v="0"/>
    <x v="0"/>
  </r>
  <r>
    <x v="279"/>
    <x v="4"/>
    <x v="2"/>
    <x v="116"/>
    <x v="434"/>
    <d v="1899-12-30T00:25:00"/>
    <x v="3"/>
    <x v="0"/>
  </r>
  <r>
    <x v="279"/>
    <x v="4"/>
    <x v="2"/>
    <x v="117"/>
    <x v="118"/>
    <d v="1899-12-30T00:25:00"/>
    <x v="0"/>
    <x v="0"/>
  </r>
  <r>
    <x v="279"/>
    <x v="4"/>
    <x v="2"/>
    <x v="118"/>
    <x v="119"/>
    <d v="1899-12-30T00:25:00"/>
    <x v="0"/>
    <x v="0"/>
  </r>
  <r>
    <x v="279"/>
    <x v="4"/>
    <x v="2"/>
    <x v="443"/>
    <x v="242"/>
    <d v="1899-12-30T00:38:00"/>
    <x v="0"/>
    <x v="0"/>
  </r>
  <r>
    <x v="279"/>
    <x v="4"/>
    <x v="2"/>
    <x v="588"/>
    <x v="87"/>
    <d v="1899-12-30T00:27:00"/>
    <x v="0"/>
    <x v="0"/>
  </r>
  <r>
    <x v="279"/>
    <x v="4"/>
    <x v="2"/>
    <x v="99"/>
    <x v="585"/>
    <d v="1899-12-30T00:41:00"/>
    <x v="0"/>
    <x v="0"/>
  </r>
  <r>
    <x v="279"/>
    <x v="4"/>
    <x v="2"/>
    <x v="235"/>
    <x v="362"/>
    <d v="1899-12-30T00:15:00"/>
    <x v="2"/>
    <x v="0"/>
  </r>
  <r>
    <x v="279"/>
    <x v="4"/>
    <x v="2"/>
    <x v="589"/>
    <x v="586"/>
    <d v="1899-12-30T00:25:00"/>
    <x v="0"/>
    <x v="0"/>
  </r>
  <r>
    <x v="279"/>
    <x v="4"/>
    <x v="2"/>
    <x v="465"/>
    <x v="186"/>
    <d v="1899-12-30T00:25:00"/>
    <x v="0"/>
    <x v="0"/>
  </r>
  <r>
    <x v="279"/>
    <x v="4"/>
    <x v="2"/>
    <x v="590"/>
    <x v="587"/>
    <d v="1899-12-30T00:25:00"/>
    <x v="0"/>
    <x v="0"/>
  </r>
  <r>
    <x v="279"/>
    <x v="4"/>
    <x v="2"/>
    <x v="591"/>
    <x v="588"/>
    <d v="1899-12-30T00:25:00"/>
    <x v="0"/>
    <x v="0"/>
  </r>
  <r>
    <x v="279"/>
    <x v="4"/>
    <x v="2"/>
    <x v="592"/>
    <x v="589"/>
    <d v="1899-12-30T00:15:00"/>
    <x v="4"/>
    <x v="0"/>
  </r>
  <r>
    <x v="279"/>
    <x v="4"/>
    <x v="2"/>
    <x v="593"/>
    <x v="590"/>
    <d v="1899-12-30T00:25:00"/>
    <x v="0"/>
    <x v="0"/>
  </r>
  <r>
    <x v="279"/>
    <x v="4"/>
    <x v="2"/>
    <x v="594"/>
    <x v="591"/>
    <d v="1899-12-30T00:25:00"/>
    <x v="0"/>
    <x v="0"/>
  </r>
  <r>
    <x v="280"/>
    <x v="4"/>
    <x v="2"/>
    <x v="15"/>
    <x v="15"/>
    <d v="1899-12-30T00:25:00"/>
    <x v="0"/>
    <x v="0"/>
  </r>
  <r>
    <x v="280"/>
    <x v="4"/>
    <x v="2"/>
    <x v="210"/>
    <x v="215"/>
    <d v="1899-12-30T00:25:00"/>
    <x v="0"/>
    <x v="0"/>
  </r>
  <r>
    <x v="280"/>
    <x v="4"/>
    <x v="2"/>
    <x v="188"/>
    <x v="216"/>
    <d v="1899-12-30T00:25:00"/>
    <x v="0"/>
    <x v="0"/>
  </r>
  <r>
    <x v="280"/>
    <x v="4"/>
    <x v="2"/>
    <x v="257"/>
    <x v="422"/>
    <d v="1899-12-30T00:28:00"/>
    <x v="0"/>
    <x v="0"/>
  </r>
  <r>
    <x v="280"/>
    <x v="4"/>
    <x v="2"/>
    <x v="139"/>
    <x v="358"/>
    <d v="1899-12-30T00:15:00"/>
    <x v="4"/>
    <x v="0"/>
  </r>
  <r>
    <x v="280"/>
    <x v="4"/>
    <x v="2"/>
    <x v="133"/>
    <x v="134"/>
    <d v="1899-12-30T00:25:00"/>
    <x v="0"/>
    <x v="0"/>
  </r>
  <r>
    <x v="280"/>
    <x v="4"/>
    <x v="2"/>
    <x v="309"/>
    <x v="287"/>
    <d v="1899-12-30T00:25:00"/>
    <x v="0"/>
    <x v="0"/>
  </r>
  <r>
    <x v="280"/>
    <x v="4"/>
    <x v="2"/>
    <x v="387"/>
    <x v="388"/>
    <d v="1899-12-30T00:25:00"/>
    <x v="0"/>
    <x v="0"/>
  </r>
  <r>
    <x v="280"/>
    <x v="4"/>
    <x v="2"/>
    <x v="352"/>
    <x v="592"/>
    <d v="1899-12-30T00:40:00"/>
    <x v="0"/>
    <x v="0"/>
  </r>
  <r>
    <x v="280"/>
    <x v="4"/>
    <x v="2"/>
    <x v="348"/>
    <x v="359"/>
    <d v="1899-12-30T00:15:00"/>
    <x v="4"/>
    <x v="1"/>
  </r>
  <r>
    <x v="280"/>
    <x v="4"/>
    <x v="2"/>
    <x v="246"/>
    <x v="254"/>
    <d v="1899-12-30T00:25:00"/>
    <x v="0"/>
    <x v="0"/>
  </r>
  <r>
    <x v="280"/>
    <x v="4"/>
    <x v="2"/>
    <x v="253"/>
    <x v="262"/>
    <d v="1899-12-30T00:25:00"/>
    <x v="0"/>
    <x v="1"/>
  </r>
  <r>
    <x v="280"/>
    <x v="4"/>
    <x v="2"/>
    <x v="595"/>
    <x v="229"/>
    <d v="1899-12-30T00:25:00"/>
    <x v="0"/>
    <x v="0"/>
  </r>
  <r>
    <x v="280"/>
    <x v="4"/>
    <x v="2"/>
    <x v="184"/>
    <x v="593"/>
    <d v="1899-12-30T01:20:00"/>
    <x v="0"/>
    <x v="0"/>
  </r>
  <r>
    <x v="281"/>
    <x v="4"/>
    <x v="2"/>
    <x v="155"/>
    <x v="155"/>
    <d v="1899-12-30T00:25:00"/>
    <x v="2"/>
    <x v="0"/>
  </r>
  <r>
    <x v="281"/>
    <x v="4"/>
    <x v="2"/>
    <x v="156"/>
    <x v="156"/>
    <d v="1899-12-30T00:25:00"/>
    <x v="0"/>
    <x v="0"/>
  </r>
  <r>
    <x v="281"/>
    <x v="4"/>
    <x v="2"/>
    <x v="596"/>
    <x v="594"/>
    <d v="1899-12-30T00:50:00"/>
    <x v="0"/>
    <x v="0"/>
  </r>
  <r>
    <x v="281"/>
    <x v="4"/>
    <x v="2"/>
    <x v="15"/>
    <x v="15"/>
    <d v="1899-12-30T00:25:00"/>
    <x v="0"/>
    <x v="0"/>
  </r>
  <r>
    <x v="281"/>
    <x v="4"/>
    <x v="2"/>
    <x v="210"/>
    <x v="215"/>
    <d v="1899-12-30T00:25:00"/>
    <x v="0"/>
    <x v="0"/>
  </r>
  <r>
    <x v="281"/>
    <x v="4"/>
    <x v="2"/>
    <x v="188"/>
    <x v="216"/>
    <d v="1899-12-30T00:25:00"/>
    <x v="0"/>
    <x v="0"/>
  </r>
  <r>
    <x v="281"/>
    <x v="4"/>
    <x v="2"/>
    <x v="257"/>
    <x v="422"/>
    <d v="1899-12-30T00:20:00"/>
    <x v="0"/>
    <x v="0"/>
  </r>
  <r>
    <x v="281"/>
    <x v="4"/>
    <x v="2"/>
    <x v="139"/>
    <x v="358"/>
    <d v="1899-12-30T00:15:00"/>
    <x v="4"/>
    <x v="0"/>
  </r>
  <r>
    <x v="281"/>
    <x v="4"/>
    <x v="2"/>
    <x v="133"/>
    <x v="134"/>
    <d v="1899-12-30T00:20:00"/>
    <x v="0"/>
    <x v="0"/>
  </r>
  <r>
    <x v="282"/>
    <x v="4"/>
    <x v="2"/>
    <x v="597"/>
    <x v="483"/>
    <d v="1899-12-30T00:30:00"/>
    <x v="0"/>
    <x v="0"/>
  </r>
  <r>
    <x v="283"/>
    <x v="4"/>
    <x v="2"/>
    <x v="0"/>
    <x v="0"/>
    <d v="1899-12-30T02:00:00"/>
    <x v="0"/>
    <x v="0"/>
  </r>
  <r>
    <x v="283"/>
    <x v="4"/>
    <x v="2"/>
    <x v="181"/>
    <x v="136"/>
    <d v="1899-12-30T01:00:00"/>
    <x v="0"/>
    <x v="0"/>
  </r>
  <r>
    <x v="283"/>
    <x v="4"/>
    <x v="2"/>
    <x v="598"/>
    <x v="595"/>
    <d v="1899-12-30T00:25:00"/>
    <x v="0"/>
    <x v="0"/>
  </r>
  <r>
    <x v="283"/>
    <x v="4"/>
    <x v="2"/>
    <x v="137"/>
    <x v="138"/>
    <d v="1899-12-30T00:25:00"/>
    <x v="0"/>
    <x v="0"/>
  </r>
  <r>
    <x v="283"/>
    <x v="4"/>
    <x v="2"/>
    <x v="599"/>
    <x v="596"/>
    <d v="1899-12-30T00:25:00"/>
    <x v="0"/>
    <x v="0"/>
  </r>
  <r>
    <x v="284"/>
    <x v="4"/>
    <x v="2"/>
    <x v="600"/>
    <x v="597"/>
    <d v="1899-12-30T01:54:00"/>
    <x v="5"/>
    <x v="0"/>
  </r>
  <r>
    <x v="284"/>
    <x v="4"/>
    <x v="2"/>
    <x v="2"/>
    <x v="345"/>
    <d v="1899-12-30T00:50:00"/>
    <x v="0"/>
    <x v="0"/>
  </r>
  <r>
    <x v="284"/>
    <x v="4"/>
    <x v="2"/>
    <x v="350"/>
    <x v="131"/>
    <d v="1899-12-30T00:25:00"/>
    <x v="0"/>
    <x v="0"/>
  </r>
  <r>
    <x v="284"/>
    <x v="4"/>
    <x v="2"/>
    <x v="340"/>
    <x v="347"/>
    <d v="1899-12-30T00:20:00"/>
    <x v="0"/>
    <x v="0"/>
  </r>
  <r>
    <x v="284"/>
    <x v="4"/>
    <x v="2"/>
    <x v="351"/>
    <x v="358"/>
    <d v="1899-12-30T00:27:00"/>
    <x v="0"/>
    <x v="0"/>
  </r>
  <r>
    <x v="285"/>
    <x v="4"/>
    <x v="2"/>
    <x v="287"/>
    <x v="139"/>
    <d v="1899-12-30T00:15:00"/>
    <x v="2"/>
    <x v="0"/>
  </r>
  <r>
    <x v="285"/>
    <x v="4"/>
    <x v="2"/>
    <x v="447"/>
    <x v="598"/>
    <d v="1899-12-30T00:50:00"/>
    <x v="0"/>
    <x v="0"/>
  </r>
  <r>
    <x v="285"/>
    <x v="4"/>
    <x v="2"/>
    <x v="99"/>
    <x v="99"/>
    <d v="1899-12-30T00:25:00"/>
    <x v="0"/>
    <x v="0"/>
  </r>
  <r>
    <x v="285"/>
    <x v="4"/>
    <x v="2"/>
    <x v="100"/>
    <x v="100"/>
    <d v="1899-12-30T00:13:00"/>
    <x v="0"/>
    <x v="0"/>
  </r>
  <r>
    <x v="286"/>
    <x v="4"/>
    <x v="2"/>
    <x v="126"/>
    <x v="109"/>
    <d v="1899-12-30T00:56:00"/>
    <x v="0"/>
    <x v="0"/>
  </r>
  <r>
    <x v="286"/>
    <x v="4"/>
    <x v="2"/>
    <x v="431"/>
    <x v="240"/>
    <d v="1899-12-30T00:25:00"/>
    <x v="0"/>
    <x v="0"/>
  </r>
  <r>
    <x v="286"/>
    <x v="4"/>
    <x v="2"/>
    <x v="323"/>
    <x v="436"/>
    <d v="1899-12-30T00:15:00"/>
    <x v="0"/>
    <x v="0"/>
  </r>
  <r>
    <x v="287"/>
    <x v="4"/>
    <x v="2"/>
    <x v="601"/>
    <x v="599"/>
    <d v="1899-12-30T00:28:00"/>
    <x v="0"/>
    <x v="0"/>
  </r>
  <r>
    <x v="287"/>
    <x v="4"/>
    <x v="2"/>
    <x v="602"/>
    <x v="227"/>
    <d v="1899-12-30T00:18:00"/>
    <x v="0"/>
    <x v="0"/>
  </r>
  <r>
    <x v="287"/>
    <x v="4"/>
    <x v="2"/>
    <x v="600"/>
    <x v="594"/>
    <d v="1899-12-30T00:52:00"/>
    <x v="0"/>
    <x v="0"/>
  </r>
  <r>
    <x v="287"/>
    <x v="4"/>
    <x v="2"/>
    <x v="200"/>
    <x v="600"/>
    <d v="1899-12-30T00:36:00"/>
    <x v="0"/>
    <x v="0"/>
  </r>
  <r>
    <x v="288"/>
    <x v="5"/>
    <x v="2"/>
    <x v="603"/>
    <x v="601"/>
    <d v="1899-12-30T01:01:00"/>
    <x v="0"/>
    <x v="0"/>
  </r>
  <r>
    <x v="288"/>
    <x v="5"/>
    <x v="2"/>
    <x v="56"/>
    <x v="56"/>
    <d v="1899-12-30T00:25:00"/>
    <x v="0"/>
    <x v="0"/>
  </r>
  <r>
    <x v="288"/>
    <x v="5"/>
    <x v="2"/>
    <x v="109"/>
    <x v="109"/>
    <d v="1899-12-30T00:25:00"/>
    <x v="0"/>
    <x v="0"/>
  </r>
  <r>
    <x v="288"/>
    <x v="5"/>
    <x v="2"/>
    <x v="2"/>
    <x v="2"/>
    <d v="1899-12-30T00:25:00"/>
    <x v="0"/>
    <x v="0"/>
  </r>
  <r>
    <x v="288"/>
    <x v="5"/>
    <x v="2"/>
    <x v="323"/>
    <x v="436"/>
    <d v="1899-12-30T00:30:00"/>
    <x v="0"/>
    <x v="0"/>
  </r>
  <r>
    <x v="288"/>
    <x v="5"/>
    <x v="2"/>
    <x v="350"/>
    <x v="323"/>
    <d v="1899-12-30T00:15:00"/>
    <x v="4"/>
    <x v="0"/>
  </r>
  <r>
    <x v="288"/>
    <x v="5"/>
    <x v="2"/>
    <x v="331"/>
    <x v="327"/>
    <d v="1899-12-30T00:31:00"/>
    <x v="0"/>
    <x v="0"/>
  </r>
  <r>
    <x v="288"/>
    <x v="5"/>
    <x v="2"/>
    <x v="257"/>
    <x v="422"/>
    <d v="1899-12-30T00:25:00"/>
    <x v="0"/>
    <x v="1"/>
  </r>
  <r>
    <x v="288"/>
    <x v="5"/>
    <x v="2"/>
    <x v="271"/>
    <x v="550"/>
    <d v="1899-12-30T00:25:00"/>
    <x v="0"/>
    <x v="0"/>
  </r>
  <r>
    <x v="288"/>
    <x v="5"/>
    <x v="2"/>
    <x v="219"/>
    <x v="602"/>
    <d v="1899-12-30T00:25:00"/>
    <x v="0"/>
    <x v="0"/>
  </r>
  <r>
    <x v="288"/>
    <x v="5"/>
    <x v="2"/>
    <x v="346"/>
    <x v="603"/>
    <d v="1899-12-30T00:15:00"/>
    <x v="4"/>
    <x v="0"/>
  </r>
  <r>
    <x v="288"/>
    <x v="5"/>
    <x v="2"/>
    <x v="513"/>
    <x v="355"/>
    <d v="1899-12-30T00:25:00"/>
    <x v="0"/>
    <x v="0"/>
  </r>
  <r>
    <x v="288"/>
    <x v="5"/>
    <x v="2"/>
    <x v="352"/>
    <x v="592"/>
    <d v="1899-12-30T00:32:00"/>
    <x v="0"/>
    <x v="0"/>
  </r>
  <r>
    <x v="289"/>
    <x v="5"/>
    <x v="2"/>
    <x v="114"/>
    <x v="390"/>
    <d v="1899-12-30T00:15:00"/>
    <x v="2"/>
    <x v="0"/>
  </r>
  <r>
    <x v="289"/>
    <x v="5"/>
    <x v="2"/>
    <x v="604"/>
    <x v="529"/>
    <d v="1899-12-30T00:25:00"/>
    <x v="0"/>
    <x v="0"/>
  </r>
  <r>
    <x v="289"/>
    <x v="5"/>
    <x v="2"/>
    <x v="605"/>
    <x v="604"/>
    <d v="1899-12-30T00:25:00"/>
    <x v="0"/>
    <x v="0"/>
  </r>
  <r>
    <x v="289"/>
    <x v="5"/>
    <x v="2"/>
    <x v="606"/>
    <x v="605"/>
    <d v="1899-12-30T00:25:00"/>
    <x v="0"/>
    <x v="0"/>
  </r>
  <r>
    <x v="289"/>
    <x v="5"/>
    <x v="2"/>
    <x v="145"/>
    <x v="146"/>
    <d v="1899-12-30T00:28:00"/>
    <x v="0"/>
    <x v="0"/>
  </r>
  <r>
    <x v="289"/>
    <x v="5"/>
    <x v="2"/>
    <x v="14"/>
    <x v="109"/>
    <d v="1899-12-30T00:15:00"/>
    <x v="4"/>
    <x v="0"/>
  </r>
  <r>
    <x v="289"/>
    <x v="5"/>
    <x v="2"/>
    <x v="128"/>
    <x v="129"/>
    <d v="1899-12-30T00:25:00"/>
    <x v="0"/>
    <x v="1"/>
  </r>
  <r>
    <x v="289"/>
    <x v="5"/>
    <x v="2"/>
    <x v="339"/>
    <x v="345"/>
    <d v="1899-12-30T00:30:00"/>
    <x v="0"/>
    <x v="0"/>
  </r>
  <r>
    <x v="289"/>
    <x v="5"/>
    <x v="2"/>
    <x v="148"/>
    <x v="346"/>
    <d v="1899-12-30T00:25:00"/>
    <x v="0"/>
    <x v="0"/>
  </r>
  <r>
    <x v="289"/>
    <x v="5"/>
    <x v="2"/>
    <x v="340"/>
    <x v="347"/>
    <d v="1899-12-30T00:25:00"/>
    <x v="0"/>
    <x v="0"/>
  </r>
  <r>
    <x v="290"/>
    <x v="5"/>
    <x v="2"/>
    <x v="607"/>
    <x v="606"/>
    <d v="1899-12-30T00:57:00"/>
    <x v="0"/>
    <x v="0"/>
  </r>
  <r>
    <x v="291"/>
    <x v="5"/>
    <x v="2"/>
    <x v="331"/>
    <x v="235"/>
    <d v="1899-12-30T00:14:00"/>
    <x v="0"/>
    <x v="0"/>
  </r>
  <r>
    <x v="291"/>
    <x v="5"/>
    <x v="2"/>
    <x v="340"/>
    <x v="607"/>
    <d v="1899-12-30T01:24:00"/>
    <x v="0"/>
    <x v="0"/>
  </r>
  <r>
    <x v="292"/>
    <x v="5"/>
    <x v="2"/>
    <x v="574"/>
    <x v="575"/>
    <d v="1899-12-30T00:25:00"/>
    <x v="0"/>
    <x v="0"/>
  </r>
  <r>
    <x v="292"/>
    <x v="5"/>
    <x v="2"/>
    <x v="575"/>
    <x v="576"/>
    <d v="1899-12-30T00:28:00"/>
    <x v="0"/>
    <x v="0"/>
  </r>
  <r>
    <x v="293"/>
    <x v="5"/>
    <x v="2"/>
    <x v="608"/>
    <x v="6"/>
    <d v="1899-12-30T00:21:00"/>
    <x v="3"/>
    <x v="0"/>
  </r>
  <r>
    <x v="293"/>
    <x v="5"/>
    <x v="2"/>
    <x v="609"/>
    <x v="594"/>
    <d v="1899-12-30T00:27:00"/>
    <x v="5"/>
    <x v="0"/>
  </r>
  <r>
    <x v="293"/>
    <x v="5"/>
    <x v="2"/>
    <x v="56"/>
    <x v="118"/>
    <d v="1899-12-30T00:18:00"/>
    <x v="2"/>
    <x v="0"/>
  </r>
  <r>
    <x v="294"/>
    <x v="5"/>
    <x v="2"/>
    <x v="84"/>
    <x v="92"/>
    <d v="1899-12-30T01:52:00"/>
    <x v="5"/>
    <x v="0"/>
  </r>
  <r>
    <x v="294"/>
    <x v="5"/>
    <x v="2"/>
    <x v="153"/>
    <x v="305"/>
    <d v="1899-12-30T01:10:00"/>
    <x v="5"/>
    <x v="0"/>
  </r>
  <r>
    <x v="295"/>
    <x v="5"/>
    <x v="2"/>
    <x v="60"/>
    <x v="51"/>
    <d v="1899-12-30T01:30:00"/>
    <x v="5"/>
    <x v="0"/>
  </r>
  <r>
    <x v="295"/>
    <x v="5"/>
    <x v="2"/>
    <x v="610"/>
    <x v="239"/>
    <d v="1899-12-30T01:00:00"/>
    <x v="5"/>
    <x v="0"/>
  </r>
  <r>
    <x v="296"/>
    <x v="5"/>
    <x v="2"/>
    <x v="218"/>
    <x v="293"/>
    <d v="1899-12-30T00:50:00"/>
    <x v="0"/>
    <x v="0"/>
  </r>
  <r>
    <x v="296"/>
    <x v="5"/>
    <x v="2"/>
    <x v="288"/>
    <x v="294"/>
    <d v="1899-12-30T00:20:00"/>
    <x v="0"/>
    <x v="0"/>
  </r>
  <r>
    <x v="296"/>
    <x v="5"/>
    <x v="2"/>
    <x v="611"/>
    <x v="608"/>
    <d v="1899-12-30T00:25:00"/>
    <x v="0"/>
    <x v="0"/>
  </r>
  <r>
    <x v="296"/>
    <x v="5"/>
    <x v="2"/>
    <x v="612"/>
    <x v="200"/>
    <d v="1899-12-30T00:25:00"/>
    <x v="0"/>
    <x v="0"/>
  </r>
  <r>
    <x v="297"/>
    <x v="5"/>
    <x v="2"/>
    <x v="3"/>
    <x v="58"/>
    <d v="1899-12-30T00:55:00"/>
    <x v="0"/>
    <x v="0"/>
  </r>
  <r>
    <x v="297"/>
    <x v="5"/>
    <x v="2"/>
    <x v="332"/>
    <x v="354"/>
    <d v="1899-12-30T00:28:00"/>
    <x v="0"/>
    <x v="0"/>
  </r>
  <r>
    <x v="297"/>
    <x v="5"/>
    <x v="2"/>
    <x v="139"/>
    <x v="140"/>
    <d v="1899-12-30T00:25:00"/>
    <x v="0"/>
    <x v="0"/>
  </r>
  <r>
    <x v="297"/>
    <x v="5"/>
    <x v="2"/>
    <x v="345"/>
    <x v="212"/>
    <d v="1899-12-30T00:31:00"/>
    <x v="0"/>
    <x v="0"/>
  </r>
  <r>
    <x v="298"/>
    <x v="5"/>
    <x v="2"/>
    <x v="26"/>
    <x v="26"/>
    <d v="1899-12-30T00:25:00"/>
    <x v="0"/>
    <x v="0"/>
  </r>
  <r>
    <x v="298"/>
    <x v="5"/>
    <x v="2"/>
    <x v="27"/>
    <x v="27"/>
    <d v="1899-12-30T00:25:00"/>
    <x v="0"/>
    <x v="0"/>
  </r>
  <r>
    <x v="298"/>
    <x v="5"/>
    <x v="2"/>
    <x v="613"/>
    <x v="570"/>
    <d v="1899-12-30T01:10:00"/>
    <x v="0"/>
    <x v="0"/>
  </r>
  <r>
    <x v="298"/>
    <x v="5"/>
    <x v="2"/>
    <x v="109"/>
    <x v="292"/>
    <d v="1899-12-30T01:10:00"/>
    <x v="0"/>
    <x v="0"/>
  </r>
  <r>
    <x v="298"/>
    <x v="5"/>
    <x v="2"/>
    <x v="121"/>
    <x v="323"/>
    <d v="1899-12-30T00:25:00"/>
    <x v="0"/>
    <x v="0"/>
  </r>
  <r>
    <x v="298"/>
    <x v="5"/>
    <x v="2"/>
    <x v="288"/>
    <x v="294"/>
    <d v="1899-12-30T00:27:00"/>
    <x v="0"/>
    <x v="0"/>
  </r>
  <r>
    <x v="298"/>
    <x v="5"/>
    <x v="2"/>
    <x v="611"/>
    <x v="608"/>
    <d v="1899-12-30T00:25:00"/>
    <x v="0"/>
    <x v="1"/>
  </r>
  <r>
    <x v="299"/>
    <x v="5"/>
    <x v="2"/>
    <x v="351"/>
    <x v="358"/>
    <d v="1899-12-30T00:29:00"/>
    <x v="2"/>
    <x v="0"/>
  </r>
  <r>
    <x v="299"/>
    <x v="5"/>
    <x v="2"/>
    <x v="89"/>
    <x v="88"/>
    <d v="1899-12-30T00:26:00"/>
    <x v="0"/>
    <x v="0"/>
  </r>
  <r>
    <x v="299"/>
    <x v="5"/>
    <x v="2"/>
    <x v="50"/>
    <x v="51"/>
    <d v="1899-12-30T00:14:00"/>
    <x v="0"/>
    <x v="0"/>
  </r>
  <r>
    <x v="299"/>
    <x v="5"/>
    <x v="2"/>
    <x v="51"/>
    <x v="52"/>
    <d v="1899-12-30T00:25:00"/>
    <x v="0"/>
    <x v="0"/>
  </r>
  <r>
    <x v="299"/>
    <x v="5"/>
    <x v="2"/>
    <x v="107"/>
    <x v="107"/>
    <d v="1899-12-30T00:35:00"/>
    <x v="0"/>
    <x v="0"/>
  </r>
  <r>
    <x v="300"/>
    <x v="5"/>
    <x v="2"/>
    <x v="446"/>
    <x v="14"/>
    <d v="1899-12-30T00:31:00"/>
    <x v="0"/>
    <x v="0"/>
  </r>
  <r>
    <x v="301"/>
    <x v="5"/>
    <x v="2"/>
    <x v="416"/>
    <x v="355"/>
    <d v="1899-12-30T00:36:00"/>
    <x v="0"/>
    <x v="0"/>
  </r>
  <r>
    <x v="302"/>
    <x v="5"/>
    <x v="2"/>
    <x v="117"/>
    <x v="113"/>
    <d v="1899-12-30T01:30:00"/>
    <x v="0"/>
    <x v="0"/>
  </r>
  <r>
    <x v="302"/>
    <x v="5"/>
    <x v="2"/>
    <x v="286"/>
    <x v="292"/>
    <d v="1899-12-30T00:25:00"/>
    <x v="0"/>
    <x v="1"/>
  </r>
  <r>
    <x v="302"/>
    <x v="5"/>
    <x v="2"/>
    <x v="287"/>
    <x v="293"/>
    <d v="1899-12-30T00:25:00"/>
    <x v="0"/>
    <x v="1"/>
  </r>
  <r>
    <x v="302"/>
    <x v="5"/>
    <x v="2"/>
    <x v="502"/>
    <x v="148"/>
    <d v="1899-12-30T00:27:00"/>
    <x v="0"/>
    <x v="0"/>
  </r>
  <r>
    <x v="303"/>
    <x v="5"/>
    <x v="2"/>
    <x v="373"/>
    <x v="609"/>
    <d v="1899-12-30T00:22:00"/>
    <x v="0"/>
    <x v="0"/>
  </r>
  <r>
    <x v="304"/>
    <x v="5"/>
    <x v="2"/>
    <x v="445"/>
    <x v="434"/>
    <d v="1899-12-30T00:20:00"/>
    <x v="2"/>
    <x v="0"/>
  </r>
  <r>
    <x v="304"/>
    <x v="5"/>
    <x v="2"/>
    <x v="376"/>
    <x v="334"/>
    <d v="1899-12-30T01:00:00"/>
    <x v="0"/>
    <x v="0"/>
  </r>
  <r>
    <x v="304"/>
    <x v="5"/>
    <x v="2"/>
    <x v="128"/>
    <x v="129"/>
    <d v="1899-12-30T00:22:00"/>
    <x v="0"/>
    <x v="0"/>
  </r>
  <r>
    <x v="304"/>
    <x v="5"/>
    <x v="2"/>
    <x v="339"/>
    <x v="345"/>
    <d v="1899-12-30T00:25:00"/>
    <x v="0"/>
    <x v="0"/>
  </r>
  <r>
    <x v="304"/>
    <x v="5"/>
    <x v="2"/>
    <x v="148"/>
    <x v="346"/>
    <d v="1899-12-30T00:25:00"/>
    <x v="0"/>
    <x v="0"/>
  </r>
  <r>
    <x v="304"/>
    <x v="5"/>
    <x v="2"/>
    <x v="59"/>
    <x v="59"/>
    <d v="1899-12-30T00:10:00"/>
    <x v="0"/>
    <x v="0"/>
  </r>
  <r>
    <x v="304"/>
    <x v="5"/>
    <x v="2"/>
    <x v="60"/>
    <x v="60"/>
    <d v="1899-12-30T00:30:00"/>
    <x v="0"/>
    <x v="0"/>
  </r>
  <r>
    <x v="304"/>
    <x v="5"/>
    <x v="2"/>
    <x v="471"/>
    <x v="259"/>
    <d v="1899-12-30T00:25:00"/>
    <x v="0"/>
    <x v="0"/>
  </r>
  <r>
    <x v="305"/>
    <x v="5"/>
    <x v="2"/>
    <x v="614"/>
    <x v="263"/>
    <d v="1899-12-30T00:39:00"/>
    <x v="0"/>
    <x v="0"/>
  </r>
  <r>
    <x v="306"/>
    <x v="5"/>
    <x v="2"/>
    <x v="116"/>
    <x v="72"/>
    <d v="1899-12-30T01:20:00"/>
    <x v="0"/>
    <x v="0"/>
  </r>
  <r>
    <x v="306"/>
    <x v="5"/>
    <x v="2"/>
    <x v="73"/>
    <x v="73"/>
    <d v="1899-12-30T00:15:00"/>
    <x v="2"/>
    <x v="0"/>
  </r>
  <r>
    <x v="306"/>
    <x v="5"/>
    <x v="2"/>
    <x v="362"/>
    <x v="610"/>
    <d v="1899-12-30T00:25:00"/>
    <x v="0"/>
    <x v="0"/>
  </r>
  <r>
    <x v="306"/>
    <x v="5"/>
    <x v="2"/>
    <x v="515"/>
    <x v="329"/>
    <d v="1899-12-30T00:25:00"/>
    <x v="0"/>
    <x v="0"/>
  </r>
  <r>
    <x v="306"/>
    <x v="5"/>
    <x v="2"/>
    <x v="288"/>
    <x v="294"/>
    <d v="1899-12-30T00:25:00"/>
    <x v="0"/>
    <x v="0"/>
  </r>
  <r>
    <x v="306"/>
    <x v="5"/>
    <x v="2"/>
    <x v="611"/>
    <x v="608"/>
    <d v="1899-12-30T00:16:00"/>
    <x v="0"/>
    <x v="0"/>
  </r>
  <r>
    <x v="306"/>
    <x v="5"/>
    <x v="2"/>
    <x v="612"/>
    <x v="200"/>
    <d v="1899-12-30T00:25:00"/>
    <x v="0"/>
    <x v="0"/>
  </r>
  <r>
    <x v="306"/>
    <x v="5"/>
    <x v="2"/>
    <x v="281"/>
    <x v="368"/>
    <d v="1899-12-30T00:32:00"/>
    <x v="0"/>
    <x v="0"/>
  </r>
  <r>
    <x v="307"/>
    <x v="5"/>
    <x v="2"/>
    <x v="14"/>
    <x v="292"/>
    <d v="1899-12-30T01:00:00"/>
    <x v="0"/>
    <x v="0"/>
  </r>
  <r>
    <x v="307"/>
    <x v="5"/>
    <x v="2"/>
    <x v="121"/>
    <x v="323"/>
    <d v="1899-12-30T00:25:00"/>
    <x v="0"/>
    <x v="0"/>
  </r>
  <r>
    <x v="308"/>
    <x v="6"/>
    <x v="2"/>
    <x v="293"/>
    <x v="80"/>
    <d v="1899-12-30T01:10:00"/>
    <x v="0"/>
    <x v="0"/>
  </r>
  <r>
    <x v="308"/>
    <x v="6"/>
    <x v="2"/>
    <x v="383"/>
    <x v="385"/>
    <d v="1899-12-30T00:25:00"/>
    <x v="0"/>
    <x v="0"/>
  </r>
  <r>
    <x v="308"/>
    <x v="6"/>
    <x v="2"/>
    <x v="310"/>
    <x v="386"/>
    <d v="1899-12-30T00:25:00"/>
    <x v="0"/>
    <x v="0"/>
  </r>
  <r>
    <x v="308"/>
    <x v="6"/>
    <x v="2"/>
    <x v="83"/>
    <x v="82"/>
    <d v="1899-12-30T00:25:00"/>
    <x v="0"/>
    <x v="0"/>
  </r>
  <r>
    <x v="308"/>
    <x v="6"/>
    <x v="2"/>
    <x v="404"/>
    <x v="365"/>
    <d v="1899-12-30T00:25:00"/>
    <x v="0"/>
    <x v="1"/>
  </r>
  <r>
    <x v="308"/>
    <x v="6"/>
    <x v="2"/>
    <x v="129"/>
    <x v="130"/>
    <d v="1899-12-30T00:30:00"/>
    <x v="0"/>
    <x v="0"/>
  </r>
  <r>
    <x v="308"/>
    <x v="6"/>
    <x v="2"/>
    <x v="350"/>
    <x v="131"/>
    <d v="1899-12-30T00:47:00"/>
    <x v="0"/>
    <x v="0"/>
  </r>
  <r>
    <x v="309"/>
    <x v="6"/>
    <x v="2"/>
    <x v="524"/>
    <x v="335"/>
    <d v="1899-12-30T00:35:00"/>
    <x v="0"/>
    <x v="0"/>
  </r>
  <r>
    <x v="309"/>
    <x v="6"/>
    <x v="2"/>
    <x v="495"/>
    <x v="98"/>
    <d v="1899-12-30T00:17:00"/>
    <x v="0"/>
    <x v="0"/>
  </r>
  <r>
    <x v="310"/>
    <x v="6"/>
    <x v="2"/>
    <x v="307"/>
    <x v="251"/>
    <d v="1899-12-30T00:28:00"/>
    <x v="0"/>
    <x v="0"/>
  </r>
  <r>
    <x v="311"/>
    <x v="6"/>
    <x v="2"/>
    <x v="615"/>
    <x v="611"/>
    <d v="1899-12-30T00:45:00"/>
    <x v="0"/>
    <x v="0"/>
  </r>
  <r>
    <x v="311"/>
    <x v="6"/>
    <x v="2"/>
    <x v="360"/>
    <x v="146"/>
    <d v="1899-12-30T00:30:00"/>
    <x v="0"/>
    <x v="0"/>
  </r>
  <r>
    <x v="311"/>
    <x v="6"/>
    <x v="2"/>
    <x v="176"/>
    <x v="556"/>
    <d v="1899-12-30T00:25:00"/>
    <x v="0"/>
    <x v="0"/>
  </r>
  <r>
    <x v="311"/>
    <x v="6"/>
    <x v="2"/>
    <x v="147"/>
    <x v="322"/>
    <d v="1899-12-30T00:25:00"/>
    <x v="0"/>
    <x v="0"/>
  </r>
  <r>
    <x v="311"/>
    <x v="6"/>
    <x v="2"/>
    <x v="616"/>
    <x v="612"/>
    <d v="1899-12-30T00:17:00"/>
    <x v="0"/>
    <x v="0"/>
  </r>
  <r>
    <x v="312"/>
    <x v="6"/>
    <x v="2"/>
    <x v="617"/>
    <x v="613"/>
    <d v="1899-12-30T00:28:00"/>
    <x v="0"/>
    <x v="0"/>
  </r>
  <r>
    <x v="312"/>
    <x v="6"/>
    <x v="2"/>
    <x v="127"/>
    <x v="2"/>
    <d v="1899-12-30T00:55:00"/>
    <x v="0"/>
    <x v="0"/>
  </r>
  <r>
    <x v="313"/>
    <x v="6"/>
    <x v="2"/>
    <x v="128"/>
    <x v="345"/>
    <d v="1899-12-30T00:55:00"/>
    <x v="0"/>
    <x v="0"/>
  </r>
  <r>
    <x v="314"/>
    <x v="6"/>
    <x v="2"/>
    <x v="40"/>
    <x v="12"/>
    <d v="1899-12-30T00:57:00"/>
    <x v="0"/>
    <x v="0"/>
  </r>
  <r>
    <x v="314"/>
    <x v="6"/>
    <x v="2"/>
    <x v="83"/>
    <x v="82"/>
    <d v="1899-12-30T00:25:00"/>
    <x v="0"/>
    <x v="0"/>
  </r>
  <r>
    <x v="314"/>
    <x v="6"/>
    <x v="2"/>
    <x v="146"/>
    <x v="147"/>
    <d v="1899-12-30T00:25:00"/>
    <x v="0"/>
    <x v="0"/>
  </r>
  <r>
    <x v="314"/>
    <x v="6"/>
    <x v="2"/>
    <x v="302"/>
    <x v="456"/>
    <d v="1899-12-30T00:25:00"/>
    <x v="0"/>
    <x v="0"/>
  </r>
  <r>
    <x v="314"/>
    <x v="6"/>
    <x v="2"/>
    <x v="305"/>
    <x v="216"/>
    <d v="1899-12-30T00:37:00"/>
    <x v="0"/>
    <x v="0"/>
  </r>
  <r>
    <x v="314"/>
    <x v="6"/>
    <x v="2"/>
    <x v="86"/>
    <x v="104"/>
    <d v="1899-12-30T00:34:00"/>
    <x v="0"/>
    <x v="0"/>
  </r>
  <r>
    <x v="315"/>
    <x v="6"/>
    <x v="2"/>
    <x v="46"/>
    <x v="123"/>
    <d v="1899-12-30T01:12:00"/>
    <x v="0"/>
    <x v="0"/>
  </r>
  <r>
    <x v="315"/>
    <x v="6"/>
    <x v="2"/>
    <x v="189"/>
    <x v="600"/>
    <d v="1899-12-30T00:25:00"/>
    <x v="0"/>
    <x v="0"/>
  </r>
  <r>
    <x v="315"/>
    <x v="6"/>
    <x v="2"/>
    <x v="618"/>
    <x v="614"/>
    <d v="1899-12-30T00:25:00"/>
    <x v="0"/>
    <x v="0"/>
  </r>
  <r>
    <x v="315"/>
    <x v="6"/>
    <x v="2"/>
    <x v="619"/>
    <x v="551"/>
    <d v="1899-12-30T00:25:00"/>
    <x v="0"/>
    <x v="0"/>
  </r>
  <r>
    <x v="315"/>
    <x v="6"/>
    <x v="2"/>
    <x v="380"/>
    <x v="31"/>
    <d v="1899-12-30T00:27:00"/>
    <x v="0"/>
    <x v="0"/>
  </r>
  <r>
    <x v="316"/>
    <x v="6"/>
    <x v="2"/>
    <x v="25"/>
    <x v="599"/>
    <d v="1899-12-30T00:17:00"/>
    <x v="0"/>
    <x v="0"/>
  </r>
  <r>
    <x v="316"/>
    <x v="6"/>
    <x v="2"/>
    <x v="518"/>
    <x v="615"/>
    <d v="1899-12-30T00:11:00"/>
    <x v="0"/>
    <x v="0"/>
  </r>
  <r>
    <x v="316"/>
    <x v="6"/>
    <x v="2"/>
    <x v="274"/>
    <x v="12"/>
    <d v="1899-12-30T01:20:00"/>
    <x v="0"/>
    <x v="0"/>
  </r>
  <r>
    <x v="316"/>
    <x v="6"/>
    <x v="2"/>
    <x v="83"/>
    <x v="82"/>
    <d v="1899-12-30T00:31:00"/>
    <x v="0"/>
    <x v="0"/>
  </r>
  <r>
    <x v="316"/>
    <x v="6"/>
    <x v="2"/>
    <x v="15"/>
    <x v="15"/>
    <d v="1899-12-30T00:19:00"/>
    <x v="0"/>
    <x v="0"/>
  </r>
  <r>
    <x v="316"/>
    <x v="6"/>
    <x v="2"/>
    <x v="210"/>
    <x v="215"/>
    <d v="1899-12-30T00:25:00"/>
    <x v="0"/>
    <x v="0"/>
  </r>
  <r>
    <x v="316"/>
    <x v="6"/>
    <x v="2"/>
    <x v="188"/>
    <x v="216"/>
    <d v="1899-12-30T00:25:00"/>
    <x v="0"/>
    <x v="0"/>
  </r>
  <r>
    <x v="317"/>
    <x v="6"/>
    <x v="2"/>
    <x v="0"/>
    <x v="616"/>
    <d v="1899-12-30T01:52:00"/>
    <x v="0"/>
    <x v="0"/>
  </r>
  <r>
    <x v="318"/>
    <x v="6"/>
    <x v="2"/>
    <x v="197"/>
    <x v="617"/>
    <d v="1899-12-30T01:05:00"/>
    <x v="0"/>
    <x v="0"/>
  </r>
  <r>
    <x v="318"/>
    <x v="6"/>
    <x v="2"/>
    <x v="452"/>
    <x v="242"/>
    <d v="1899-12-30T00:32:00"/>
    <x v="0"/>
    <x v="0"/>
  </r>
  <r>
    <x v="319"/>
    <x v="6"/>
    <x v="2"/>
    <x v="220"/>
    <x v="618"/>
    <d v="1899-12-30T00:50:00"/>
    <x v="0"/>
    <x v="0"/>
  </r>
  <r>
    <x v="319"/>
    <x v="6"/>
    <x v="2"/>
    <x v="596"/>
    <x v="619"/>
    <d v="1899-12-30T00:39:00"/>
    <x v="0"/>
    <x v="0"/>
  </r>
  <r>
    <x v="319"/>
    <x v="6"/>
    <x v="2"/>
    <x v="383"/>
    <x v="620"/>
    <d v="1899-12-30T01:00:00"/>
    <x v="0"/>
    <x v="0"/>
  </r>
  <r>
    <x v="320"/>
    <x v="6"/>
    <x v="2"/>
    <x v="82"/>
    <x v="109"/>
    <d v="1899-12-30T00:55:00"/>
    <x v="0"/>
    <x v="0"/>
  </r>
  <r>
    <x v="320"/>
    <x v="6"/>
    <x v="2"/>
    <x v="431"/>
    <x v="240"/>
    <d v="1899-12-30T00:25:00"/>
    <x v="0"/>
    <x v="0"/>
  </r>
  <r>
    <x v="320"/>
    <x v="6"/>
    <x v="2"/>
    <x v="323"/>
    <x v="436"/>
    <d v="1899-12-30T00:19:00"/>
    <x v="0"/>
    <x v="0"/>
  </r>
  <r>
    <x v="321"/>
    <x v="6"/>
    <x v="2"/>
    <x v="115"/>
    <x v="338"/>
    <d v="1899-12-30T01:07:00"/>
    <x v="0"/>
    <x v="0"/>
  </r>
  <r>
    <x v="321"/>
    <x v="6"/>
    <x v="2"/>
    <x v="620"/>
    <x v="621"/>
    <d v="1899-12-30T00:17:00"/>
    <x v="0"/>
    <x v="0"/>
  </r>
  <r>
    <x v="322"/>
    <x v="6"/>
    <x v="2"/>
    <x v="263"/>
    <x v="3"/>
    <d v="1899-12-30T01:10:00"/>
    <x v="0"/>
    <x v="0"/>
  </r>
  <r>
    <x v="323"/>
    <x v="6"/>
    <x v="2"/>
    <x v="430"/>
    <x v="377"/>
    <d v="1899-12-30T00:20:00"/>
    <x v="2"/>
    <x v="0"/>
  </r>
  <r>
    <x v="323"/>
    <x v="6"/>
    <x v="2"/>
    <x v="116"/>
    <x v="434"/>
    <d v="1899-12-30T00:25:00"/>
    <x v="0"/>
    <x v="0"/>
  </r>
  <r>
    <x v="323"/>
    <x v="6"/>
    <x v="2"/>
    <x v="117"/>
    <x v="118"/>
    <d v="1899-12-30T00:18:00"/>
    <x v="0"/>
    <x v="0"/>
  </r>
  <r>
    <x v="323"/>
    <x v="6"/>
    <x v="2"/>
    <x v="621"/>
    <x v="622"/>
    <d v="1899-12-30T00:25:00"/>
    <x v="0"/>
    <x v="0"/>
  </r>
  <r>
    <x v="323"/>
    <x v="6"/>
    <x v="2"/>
    <x v="622"/>
    <x v="623"/>
    <d v="1899-12-30T00:25:00"/>
    <x v="0"/>
    <x v="0"/>
  </r>
  <r>
    <x v="323"/>
    <x v="6"/>
    <x v="2"/>
    <x v="338"/>
    <x v="481"/>
    <d v="1899-12-30T00:29:00"/>
    <x v="0"/>
    <x v="0"/>
  </r>
  <r>
    <x v="323"/>
    <x v="6"/>
    <x v="2"/>
    <x v="122"/>
    <x v="122"/>
    <d v="1899-12-30T00:25:00"/>
    <x v="0"/>
    <x v="0"/>
  </r>
  <r>
    <x v="323"/>
    <x v="6"/>
    <x v="2"/>
    <x v="123"/>
    <x v="123"/>
    <d v="1899-12-30T00:25:00"/>
    <x v="0"/>
    <x v="0"/>
  </r>
  <r>
    <x v="323"/>
    <x v="6"/>
    <x v="2"/>
    <x v="90"/>
    <x v="141"/>
    <d v="1899-12-30T00:33:00"/>
    <x v="0"/>
    <x v="0"/>
  </r>
  <r>
    <x v="324"/>
    <x v="6"/>
    <x v="2"/>
    <x v="360"/>
    <x v="338"/>
    <d v="1899-12-30T00:25:00"/>
    <x v="2"/>
    <x v="0"/>
  </r>
  <r>
    <x v="324"/>
    <x v="6"/>
    <x v="2"/>
    <x v="13"/>
    <x v="13"/>
    <d v="1899-12-30T00:25:00"/>
    <x v="0"/>
    <x v="0"/>
  </r>
  <r>
    <x v="324"/>
    <x v="6"/>
    <x v="2"/>
    <x v="14"/>
    <x v="14"/>
    <d v="1899-12-30T00:25:00"/>
    <x v="0"/>
    <x v="0"/>
  </r>
  <r>
    <x v="324"/>
    <x v="6"/>
    <x v="2"/>
    <x v="405"/>
    <x v="405"/>
    <d v="1899-12-30T00:25:00"/>
    <x v="0"/>
    <x v="0"/>
  </r>
  <r>
    <x v="325"/>
    <x v="6"/>
    <x v="2"/>
    <x v="360"/>
    <x v="338"/>
    <d v="1899-12-30T00:25:00"/>
    <x v="2"/>
    <x v="0"/>
  </r>
  <r>
    <x v="325"/>
    <x v="6"/>
    <x v="2"/>
    <x v="13"/>
    <x v="13"/>
    <d v="1899-12-30T00:25:00"/>
    <x v="0"/>
    <x v="0"/>
  </r>
  <r>
    <x v="325"/>
    <x v="6"/>
    <x v="2"/>
    <x v="14"/>
    <x v="14"/>
    <d v="1899-12-30T00:25:00"/>
    <x v="0"/>
    <x v="0"/>
  </r>
  <r>
    <x v="325"/>
    <x v="6"/>
    <x v="2"/>
    <x v="405"/>
    <x v="345"/>
    <d v="1899-12-30T00:38:00"/>
    <x v="0"/>
    <x v="0"/>
  </r>
  <r>
    <x v="325"/>
    <x v="6"/>
    <x v="2"/>
    <x v="216"/>
    <x v="179"/>
    <d v="1899-12-30T00:25:00"/>
    <x v="0"/>
    <x v="0"/>
  </r>
  <r>
    <x v="325"/>
    <x v="6"/>
    <x v="2"/>
    <x v="481"/>
    <x v="214"/>
    <d v="1899-12-30T00:25:00"/>
    <x v="0"/>
    <x v="0"/>
  </r>
  <r>
    <x v="326"/>
    <x v="7"/>
    <x v="2"/>
    <x v="392"/>
    <x v="624"/>
    <d v="1899-12-30T00:17:00"/>
    <x v="0"/>
    <x v="0"/>
  </r>
  <r>
    <x v="326"/>
    <x v="7"/>
    <x v="2"/>
    <x v="294"/>
    <x v="625"/>
    <d v="1899-12-30T01:05:00"/>
    <x v="0"/>
    <x v="0"/>
  </r>
  <r>
    <x v="326"/>
    <x v="7"/>
    <x v="2"/>
    <x v="227"/>
    <x v="488"/>
    <d v="1899-12-30T01:09:00"/>
    <x v="0"/>
    <x v="0"/>
  </r>
  <r>
    <x v="327"/>
    <x v="7"/>
    <x v="2"/>
    <x v="360"/>
    <x v="464"/>
    <d v="1899-12-30T00:23:00"/>
    <x v="0"/>
    <x v="0"/>
  </r>
  <r>
    <x v="328"/>
    <x v="7"/>
    <x v="2"/>
    <x v="116"/>
    <x v="81"/>
    <d v="1899-12-30T00:22:00"/>
    <x v="2"/>
    <x v="0"/>
  </r>
  <r>
    <x v="328"/>
    <x v="7"/>
    <x v="2"/>
    <x v="606"/>
    <x v="605"/>
    <d v="1899-12-30T00:25:00"/>
    <x v="0"/>
    <x v="0"/>
  </r>
  <r>
    <x v="328"/>
    <x v="7"/>
    <x v="2"/>
    <x v="623"/>
    <x v="526"/>
    <d v="1899-12-30T00:25:00"/>
    <x v="0"/>
    <x v="0"/>
  </r>
  <r>
    <x v="328"/>
    <x v="7"/>
    <x v="2"/>
    <x v="24"/>
    <x v="2"/>
    <d v="1899-12-30T00:40:00"/>
    <x v="0"/>
    <x v="0"/>
  </r>
  <r>
    <x v="329"/>
    <x v="7"/>
    <x v="2"/>
    <x v="416"/>
    <x v="141"/>
    <d v="1899-12-30T00:17:00"/>
    <x v="0"/>
    <x v="0"/>
  </r>
  <r>
    <x v="330"/>
    <x v="7"/>
    <x v="2"/>
    <x v="473"/>
    <x v="470"/>
    <d v="1899-12-30T00:25:00"/>
    <x v="0"/>
    <x v="0"/>
  </r>
  <r>
    <x v="330"/>
    <x v="7"/>
    <x v="2"/>
    <x v="150"/>
    <x v="349"/>
    <d v="1899-12-30T00:21:00"/>
    <x v="0"/>
    <x v="0"/>
  </r>
  <r>
    <x v="331"/>
    <x v="7"/>
    <x v="2"/>
    <x v="445"/>
    <x v="626"/>
    <d v="1899-12-30T01:04:00"/>
    <x v="0"/>
    <x v="0"/>
  </r>
  <r>
    <x v="331"/>
    <x v="7"/>
    <x v="2"/>
    <x v="263"/>
    <x v="376"/>
    <d v="1899-12-30T00:23:00"/>
    <x v="0"/>
    <x v="0"/>
  </r>
  <r>
    <x v="332"/>
    <x v="7"/>
    <x v="2"/>
    <x v="501"/>
    <x v="434"/>
    <d v="1899-12-30T00:37:00"/>
    <x v="0"/>
    <x v="0"/>
  </r>
  <r>
    <x v="332"/>
    <x v="7"/>
    <x v="2"/>
    <x v="109"/>
    <x v="622"/>
    <d v="1899-12-30T00:17:00"/>
    <x v="0"/>
    <x v="0"/>
  </r>
  <r>
    <x v="332"/>
    <x v="7"/>
    <x v="2"/>
    <x v="317"/>
    <x v="556"/>
    <d v="1899-12-30T00:21:00"/>
    <x v="0"/>
    <x v="0"/>
  </r>
  <r>
    <x v="333"/>
    <x v="7"/>
    <x v="2"/>
    <x v="624"/>
    <x v="627"/>
    <d v="1899-12-30T01:10:00"/>
    <x v="0"/>
    <x v="0"/>
  </r>
  <r>
    <x v="334"/>
    <x v="7"/>
    <x v="2"/>
    <x v="339"/>
    <x v="345"/>
    <d v="1899-12-30T00:25:00"/>
    <x v="0"/>
    <x v="0"/>
  </r>
  <r>
    <x v="334"/>
    <x v="7"/>
    <x v="2"/>
    <x v="148"/>
    <x v="346"/>
    <d v="1899-12-30T00:25:00"/>
    <x v="0"/>
    <x v="0"/>
  </r>
  <r>
    <x v="334"/>
    <x v="7"/>
    <x v="2"/>
    <x v="338"/>
    <x v="608"/>
    <d v="1899-12-30T00:47:00"/>
    <x v="0"/>
    <x v="0"/>
  </r>
  <r>
    <x v="335"/>
    <x v="7"/>
    <x v="2"/>
    <x v="55"/>
    <x v="55"/>
    <d v="1899-12-30T00:18:00"/>
    <x v="0"/>
    <x v="0"/>
  </r>
  <r>
    <x v="335"/>
    <x v="7"/>
    <x v="2"/>
    <x v="56"/>
    <x v="56"/>
    <d v="1899-12-30T00:20:00"/>
    <x v="0"/>
    <x v="0"/>
  </r>
  <r>
    <x v="335"/>
    <x v="7"/>
    <x v="2"/>
    <x v="109"/>
    <x v="109"/>
    <d v="1899-12-30T00:30:00"/>
    <x v="0"/>
    <x v="0"/>
  </r>
  <r>
    <x v="335"/>
    <x v="7"/>
    <x v="2"/>
    <x v="431"/>
    <x v="240"/>
    <d v="1899-12-30T00:27:00"/>
    <x v="0"/>
    <x v="0"/>
  </r>
  <r>
    <x v="335"/>
    <x v="7"/>
    <x v="2"/>
    <x v="30"/>
    <x v="31"/>
    <d v="1899-12-30T00:21:00"/>
    <x v="0"/>
    <x v="0"/>
  </r>
  <r>
    <x v="335"/>
    <x v="7"/>
    <x v="2"/>
    <x v="31"/>
    <x v="138"/>
    <d v="1899-12-30T00:12:00"/>
    <x v="0"/>
    <x v="0"/>
  </r>
  <r>
    <x v="336"/>
    <x v="7"/>
    <x v="2"/>
    <x v="251"/>
    <x v="188"/>
    <d v="1899-12-30T00:18:00"/>
    <x v="0"/>
    <x v="0"/>
  </r>
  <r>
    <x v="336"/>
    <x v="7"/>
    <x v="2"/>
    <x v="264"/>
    <x v="271"/>
    <d v="1899-12-30T00:25:00"/>
    <x v="0"/>
    <x v="0"/>
  </r>
  <r>
    <x v="336"/>
    <x v="7"/>
    <x v="2"/>
    <x v="265"/>
    <x v="272"/>
    <d v="1899-12-30T01:00:00"/>
    <x v="0"/>
    <x v="0"/>
  </r>
  <r>
    <x v="337"/>
    <x v="7"/>
    <x v="2"/>
    <x v="625"/>
    <x v="313"/>
    <d v="1899-12-30T01:14:00"/>
    <x v="0"/>
    <x v="0"/>
  </r>
  <r>
    <x v="337"/>
    <x v="7"/>
    <x v="2"/>
    <x v="162"/>
    <x v="151"/>
    <d v="1899-12-30T00:18:00"/>
    <x v="0"/>
    <x v="0"/>
  </r>
  <r>
    <x v="338"/>
    <x v="7"/>
    <x v="2"/>
    <x v="71"/>
    <x v="23"/>
    <d v="1899-12-30T00:25:00"/>
    <x v="0"/>
    <x v="0"/>
  </r>
  <r>
    <x v="338"/>
    <x v="7"/>
    <x v="2"/>
    <x v="72"/>
    <x v="72"/>
    <d v="1899-12-30T00:25:00"/>
    <x v="0"/>
    <x v="0"/>
  </r>
  <r>
    <x v="338"/>
    <x v="7"/>
    <x v="2"/>
    <x v="112"/>
    <x v="113"/>
    <d v="1899-12-30T00:25:00"/>
    <x v="0"/>
    <x v="0"/>
  </r>
  <r>
    <x v="338"/>
    <x v="7"/>
    <x v="2"/>
    <x v="362"/>
    <x v="610"/>
    <d v="1899-12-30T00:32:00"/>
    <x v="0"/>
    <x v="0"/>
  </r>
  <r>
    <x v="338"/>
    <x v="7"/>
    <x v="2"/>
    <x v="626"/>
    <x v="221"/>
    <d v="1899-12-30T00:50:00"/>
    <x v="0"/>
    <x v="0"/>
  </r>
  <r>
    <x v="339"/>
    <x v="7"/>
    <x v="2"/>
    <x v="197"/>
    <x v="621"/>
    <d v="1899-12-30T00:56:00"/>
    <x v="0"/>
    <x v="0"/>
  </r>
  <r>
    <x v="339"/>
    <x v="7"/>
    <x v="2"/>
    <x v="269"/>
    <x v="14"/>
    <d v="1899-12-30T00:17:00"/>
    <x v="0"/>
    <x v="0"/>
  </r>
  <r>
    <x v="339"/>
    <x v="7"/>
    <x v="2"/>
    <x v="15"/>
    <x v="341"/>
    <d v="1899-12-30T00:36:00"/>
    <x v="0"/>
    <x v="0"/>
  </r>
  <r>
    <x v="340"/>
    <x v="7"/>
    <x v="2"/>
    <x v="520"/>
    <x v="129"/>
    <d v="1899-12-30T00:57:00"/>
    <x v="0"/>
    <x v="0"/>
  </r>
  <r>
    <x v="340"/>
    <x v="7"/>
    <x v="2"/>
    <x v="198"/>
    <x v="628"/>
    <d v="1899-12-30T00:16:00"/>
    <x v="0"/>
    <x v="0"/>
  </r>
  <r>
    <x v="341"/>
    <x v="7"/>
    <x v="2"/>
    <x v="477"/>
    <x v="629"/>
    <d v="1899-12-30T01:17:00"/>
    <x v="0"/>
    <x v="0"/>
  </r>
  <r>
    <x v="342"/>
    <x v="8"/>
    <x v="2"/>
    <x v="126"/>
    <x v="127"/>
    <d v="1899-12-30T00:10:00"/>
    <x v="0"/>
    <x v="0"/>
  </r>
  <r>
    <x v="342"/>
    <x v="8"/>
    <x v="2"/>
    <x v="127"/>
    <x v="128"/>
    <d v="1899-12-30T00:25:00"/>
    <x v="0"/>
    <x v="0"/>
  </r>
  <r>
    <x v="342"/>
    <x v="8"/>
    <x v="2"/>
    <x v="128"/>
    <x v="129"/>
    <d v="1899-12-30T00:25:00"/>
    <x v="0"/>
    <x v="0"/>
  </r>
  <r>
    <x v="342"/>
    <x v="8"/>
    <x v="2"/>
    <x v="129"/>
    <x v="130"/>
    <d v="1899-12-30T00:25:00"/>
    <x v="0"/>
    <x v="0"/>
  </r>
  <r>
    <x v="342"/>
    <x v="8"/>
    <x v="2"/>
    <x v="455"/>
    <x v="304"/>
    <d v="1899-12-30T00:12:00"/>
    <x v="0"/>
    <x v="0"/>
  </r>
  <r>
    <x v="342"/>
    <x v="8"/>
    <x v="2"/>
    <x v="327"/>
    <x v="295"/>
    <d v="1899-12-30T00:25:00"/>
    <x v="0"/>
    <x v="0"/>
  </r>
  <r>
    <x v="342"/>
    <x v="8"/>
    <x v="2"/>
    <x v="251"/>
    <x v="188"/>
    <d v="1899-12-30T00:27:00"/>
    <x v="0"/>
    <x v="0"/>
  </r>
  <r>
    <x v="342"/>
    <x v="8"/>
    <x v="2"/>
    <x v="309"/>
    <x v="287"/>
    <d v="1899-12-30T00:25:00"/>
    <x v="0"/>
    <x v="0"/>
  </r>
  <r>
    <x v="342"/>
    <x v="8"/>
    <x v="2"/>
    <x v="51"/>
    <x v="52"/>
    <d v="1899-12-30T00:25:00"/>
    <x v="0"/>
    <x v="1"/>
  </r>
  <r>
    <x v="342"/>
    <x v="8"/>
    <x v="2"/>
    <x v="107"/>
    <x v="107"/>
    <d v="1899-12-30T00:22:00"/>
    <x v="0"/>
    <x v="0"/>
  </r>
  <r>
    <x v="343"/>
    <x v="8"/>
    <x v="2"/>
    <x v="583"/>
    <x v="238"/>
    <d v="1899-12-30T00:25:00"/>
    <x v="0"/>
    <x v="0"/>
  </r>
  <r>
    <x v="343"/>
    <x v="8"/>
    <x v="2"/>
    <x v="333"/>
    <x v="183"/>
    <d v="1899-12-30T00:25:00"/>
    <x v="0"/>
    <x v="0"/>
  </r>
  <r>
    <x v="343"/>
    <x v="8"/>
    <x v="2"/>
    <x v="164"/>
    <x v="163"/>
    <d v="1899-12-30T00:25:00"/>
    <x v="0"/>
    <x v="0"/>
  </r>
  <r>
    <x v="343"/>
    <x v="8"/>
    <x v="2"/>
    <x v="627"/>
    <x v="75"/>
    <d v="1899-12-30T00:25:00"/>
    <x v="0"/>
    <x v="0"/>
  </r>
  <r>
    <x v="343"/>
    <x v="8"/>
    <x v="2"/>
    <x v="182"/>
    <x v="630"/>
    <d v="1899-12-30T00:40:00"/>
    <x v="0"/>
    <x v="0"/>
  </r>
  <r>
    <x v="344"/>
    <x v="8"/>
    <x v="2"/>
    <x v="13"/>
    <x v="13"/>
    <d v="1899-12-30T00:25:00"/>
    <x v="0"/>
    <x v="0"/>
  </r>
  <r>
    <x v="344"/>
    <x v="8"/>
    <x v="2"/>
    <x v="14"/>
    <x v="14"/>
    <d v="1899-12-30T00:25:00"/>
    <x v="0"/>
    <x v="0"/>
  </r>
  <r>
    <x v="344"/>
    <x v="8"/>
    <x v="2"/>
    <x v="15"/>
    <x v="15"/>
    <d v="1899-12-30T00:25:00"/>
    <x v="0"/>
    <x v="0"/>
  </r>
  <r>
    <x v="344"/>
    <x v="8"/>
    <x v="2"/>
    <x v="16"/>
    <x v="16"/>
    <d v="1899-12-30T00:30:00"/>
    <x v="0"/>
    <x v="0"/>
  </r>
  <r>
    <x v="345"/>
    <x v="8"/>
    <x v="2"/>
    <x v="194"/>
    <x v="627"/>
    <d v="1899-12-30T01:02:00"/>
    <x v="0"/>
    <x v="0"/>
  </r>
  <r>
    <x v="345"/>
    <x v="8"/>
    <x v="2"/>
    <x v="628"/>
    <x v="631"/>
    <d v="1899-12-30T00:30:00"/>
    <x v="0"/>
    <x v="0"/>
  </r>
  <r>
    <x v="345"/>
    <x v="8"/>
    <x v="2"/>
    <x v="227"/>
    <x v="2"/>
    <d v="1899-12-30T01:33:00"/>
    <x v="0"/>
    <x v="0"/>
  </r>
  <r>
    <x v="345"/>
    <x v="8"/>
    <x v="2"/>
    <x v="306"/>
    <x v="341"/>
    <d v="1899-12-30T00:20:00"/>
    <x v="0"/>
    <x v="0"/>
  </r>
  <r>
    <x v="346"/>
    <x v="8"/>
    <x v="2"/>
    <x v="82"/>
    <x v="12"/>
    <d v="1899-12-30T00:30:00"/>
    <x v="0"/>
    <x v="0"/>
  </r>
  <r>
    <x v="346"/>
    <x v="8"/>
    <x v="2"/>
    <x v="145"/>
    <x v="146"/>
    <d v="1899-12-30T00:25:00"/>
    <x v="0"/>
    <x v="0"/>
  </r>
  <r>
    <x v="346"/>
    <x v="8"/>
    <x v="2"/>
    <x v="125"/>
    <x v="125"/>
    <d v="1899-12-30T00:23:00"/>
    <x v="0"/>
    <x v="0"/>
  </r>
  <r>
    <x v="346"/>
    <x v="8"/>
    <x v="2"/>
    <x v="222"/>
    <x v="267"/>
    <d v="1899-12-30T00:25:00"/>
    <x v="0"/>
    <x v="0"/>
  </r>
  <r>
    <x v="346"/>
    <x v="8"/>
    <x v="2"/>
    <x v="444"/>
    <x v="91"/>
    <d v="1899-12-30T00:42:00"/>
    <x v="0"/>
    <x v="0"/>
  </r>
  <r>
    <x v="347"/>
    <x v="8"/>
    <x v="2"/>
    <x v="54"/>
    <x v="23"/>
    <d v="1899-12-30T01:00:00"/>
    <x v="0"/>
    <x v="0"/>
  </r>
  <r>
    <x v="347"/>
    <x v="8"/>
    <x v="2"/>
    <x v="72"/>
    <x v="72"/>
    <d v="1899-12-30T00:25:00"/>
    <x v="0"/>
    <x v="0"/>
  </r>
  <r>
    <x v="347"/>
    <x v="8"/>
    <x v="2"/>
    <x v="112"/>
    <x v="113"/>
    <d v="1899-12-30T00:27:00"/>
    <x v="0"/>
    <x v="0"/>
  </r>
  <r>
    <x v="348"/>
    <x v="8"/>
    <x v="2"/>
    <x v="449"/>
    <x v="632"/>
    <d v="1899-12-30T00:25:00"/>
    <x v="0"/>
    <x v="0"/>
  </r>
  <r>
    <x v="348"/>
    <x v="8"/>
    <x v="2"/>
    <x v="629"/>
    <x v="633"/>
    <d v="1899-12-30T00:25:00"/>
    <x v="0"/>
    <x v="0"/>
  </r>
  <r>
    <x v="348"/>
    <x v="8"/>
    <x v="2"/>
    <x v="630"/>
    <x v="634"/>
    <d v="1899-12-30T00:27:00"/>
    <x v="0"/>
    <x v="0"/>
  </r>
  <r>
    <x v="348"/>
    <x v="8"/>
    <x v="2"/>
    <x v="531"/>
    <x v="353"/>
    <d v="1899-12-30T00:32:00"/>
    <x v="0"/>
    <x v="0"/>
  </r>
  <r>
    <x v="348"/>
    <x v="8"/>
    <x v="2"/>
    <x v="403"/>
    <x v="93"/>
    <d v="1899-12-30T00:26:00"/>
    <x v="0"/>
    <x v="0"/>
  </r>
  <r>
    <x v="348"/>
    <x v="8"/>
    <x v="2"/>
    <x v="204"/>
    <x v="100"/>
    <d v="1899-12-30T00:45:00"/>
    <x v="0"/>
    <x v="0"/>
  </r>
  <r>
    <x v="349"/>
    <x v="8"/>
    <x v="2"/>
    <x v="216"/>
    <x v="179"/>
    <d v="1899-12-30T00:25:00"/>
    <x v="3"/>
    <x v="0"/>
  </r>
  <r>
    <x v="349"/>
    <x v="8"/>
    <x v="2"/>
    <x v="481"/>
    <x v="214"/>
    <d v="1899-12-30T00:25:00"/>
    <x v="3"/>
    <x v="0"/>
  </r>
  <r>
    <x v="350"/>
    <x v="8"/>
    <x v="2"/>
    <x v="128"/>
    <x v="129"/>
    <d v="1899-12-30T00:30:00"/>
    <x v="0"/>
    <x v="0"/>
  </r>
  <r>
    <x v="350"/>
    <x v="8"/>
    <x v="2"/>
    <x v="339"/>
    <x v="345"/>
    <d v="1899-12-30T00:27:00"/>
    <x v="0"/>
    <x v="0"/>
  </r>
  <r>
    <x v="350"/>
    <x v="8"/>
    <x v="2"/>
    <x v="148"/>
    <x v="346"/>
    <d v="1899-12-30T00:25:00"/>
    <x v="0"/>
    <x v="0"/>
  </r>
  <r>
    <x v="350"/>
    <x v="8"/>
    <x v="2"/>
    <x v="340"/>
    <x v="347"/>
    <d v="1899-12-30T00:59:00"/>
    <x v="0"/>
    <x v="0"/>
  </r>
  <r>
    <x v="350"/>
    <x v="8"/>
    <x v="2"/>
    <x v="626"/>
    <x v="635"/>
    <d v="1899-12-30T00:08:00"/>
    <x v="0"/>
    <x v="0"/>
  </r>
  <r>
    <x v="351"/>
    <x v="8"/>
    <x v="2"/>
    <x v="218"/>
    <x v="344"/>
    <d v="1899-12-30T00:30:00"/>
    <x v="0"/>
    <x v="0"/>
  </r>
  <r>
    <x v="351"/>
    <x v="8"/>
    <x v="2"/>
    <x v="305"/>
    <x v="423"/>
    <d v="1899-12-30T00:25:00"/>
    <x v="0"/>
    <x v="0"/>
  </r>
  <r>
    <x v="351"/>
    <x v="8"/>
    <x v="2"/>
    <x v="455"/>
    <x v="304"/>
    <d v="1899-12-30T00:29:00"/>
    <x v="0"/>
    <x v="0"/>
  </r>
  <r>
    <x v="352"/>
    <x v="8"/>
    <x v="2"/>
    <x v="631"/>
    <x v="636"/>
    <d v="1899-12-30T00:29:00"/>
    <x v="0"/>
    <x v="0"/>
  </r>
  <r>
    <x v="352"/>
    <x v="8"/>
    <x v="2"/>
    <x v="105"/>
    <x v="105"/>
    <d v="1899-12-30T00:27:00"/>
    <x v="0"/>
    <x v="0"/>
  </r>
  <r>
    <x v="352"/>
    <x v="8"/>
    <x v="2"/>
    <x v="181"/>
    <x v="371"/>
    <d v="1899-12-30T00:25:00"/>
    <x v="0"/>
    <x v="0"/>
  </r>
  <r>
    <x v="352"/>
    <x v="8"/>
    <x v="2"/>
    <x v="378"/>
    <x v="524"/>
    <d v="1899-12-30T00:25:00"/>
    <x v="0"/>
    <x v="0"/>
  </r>
  <r>
    <x v="352"/>
    <x v="8"/>
    <x v="2"/>
    <x v="504"/>
    <x v="496"/>
    <d v="1899-12-30T00:25:00"/>
    <x v="0"/>
    <x v="0"/>
  </r>
  <r>
    <x v="352"/>
    <x v="8"/>
    <x v="2"/>
    <x v="632"/>
    <x v="429"/>
    <d v="1899-12-30T00:36:00"/>
    <x v="0"/>
    <x v="0"/>
  </r>
  <r>
    <x v="353"/>
    <x v="8"/>
    <x v="2"/>
    <x v="527"/>
    <x v="390"/>
    <d v="1899-12-30T01:08:00"/>
    <x v="0"/>
    <x v="0"/>
  </r>
  <r>
    <x v="354"/>
    <x v="8"/>
    <x v="2"/>
    <x v="144"/>
    <x v="145"/>
    <d v="1899-12-30T00:25:00"/>
    <x v="0"/>
    <x v="0"/>
  </r>
  <r>
    <x v="354"/>
    <x v="8"/>
    <x v="2"/>
    <x v="633"/>
    <x v="637"/>
    <d v="1899-12-30T01:03:00"/>
    <x v="0"/>
    <x v="0"/>
  </r>
  <r>
    <x v="355"/>
    <x v="8"/>
    <x v="2"/>
    <x v="386"/>
    <x v="409"/>
    <d v="1899-12-30T00:30:00"/>
    <x v="3"/>
    <x v="0"/>
  </r>
  <r>
    <x v="355"/>
    <x v="8"/>
    <x v="2"/>
    <x v="175"/>
    <x v="620"/>
    <d v="1899-12-30T00:25:00"/>
    <x v="3"/>
    <x v="0"/>
  </r>
  <r>
    <x v="355"/>
    <x v="8"/>
    <x v="2"/>
    <x v="57"/>
    <x v="57"/>
    <d v="1899-12-30T00:13:00"/>
    <x v="3"/>
    <x v="0"/>
  </r>
  <r>
    <x v="355"/>
    <x v="8"/>
    <x v="2"/>
    <x v="541"/>
    <x v="510"/>
    <d v="1899-12-30T00:37:0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61">
  <r>
    <x v="0"/>
    <x v="0"/>
    <s v="2021"/>
    <x v="0"/>
    <x v="0"/>
    <x v="0"/>
    <x v="0"/>
    <x v="0"/>
  </r>
  <r>
    <x v="0"/>
    <x v="0"/>
    <s v="2021"/>
    <x v="1"/>
    <x v="1"/>
    <x v="1"/>
    <x v="1"/>
    <x v="0"/>
  </r>
  <r>
    <x v="0"/>
    <x v="0"/>
    <s v="2021"/>
    <x v="2"/>
    <x v="2"/>
    <x v="2"/>
    <x v="1"/>
    <x v="0"/>
  </r>
  <r>
    <x v="0"/>
    <x v="0"/>
    <s v="2021"/>
    <x v="3"/>
    <x v="3"/>
    <x v="2"/>
    <x v="1"/>
    <x v="0"/>
  </r>
  <r>
    <x v="0"/>
    <x v="0"/>
    <s v="2021"/>
    <x v="4"/>
    <x v="4"/>
    <x v="2"/>
    <x v="1"/>
    <x v="0"/>
  </r>
  <r>
    <x v="0"/>
    <x v="0"/>
    <s v="2021"/>
    <x v="5"/>
    <x v="5"/>
    <x v="3"/>
    <x v="2"/>
    <x v="0"/>
  </r>
  <r>
    <x v="0"/>
    <x v="0"/>
    <s v="2021"/>
    <x v="6"/>
    <x v="6"/>
    <x v="4"/>
    <x v="2"/>
    <x v="0"/>
  </r>
  <r>
    <x v="1"/>
    <x v="0"/>
    <s v="2021"/>
    <x v="7"/>
    <x v="7"/>
    <x v="2"/>
    <x v="3"/>
    <x v="0"/>
  </r>
  <r>
    <x v="1"/>
    <x v="0"/>
    <s v="2021"/>
    <x v="8"/>
    <x v="8"/>
    <x v="2"/>
    <x v="3"/>
    <x v="0"/>
  </r>
  <r>
    <x v="1"/>
    <x v="0"/>
    <s v="2021"/>
    <x v="9"/>
    <x v="9"/>
    <x v="2"/>
    <x v="2"/>
    <x v="0"/>
  </r>
  <r>
    <x v="1"/>
    <x v="0"/>
    <s v="2021"/>
    <x v="10"/>
    <x v="10"/>
    <x v="3"/>
    <x v="2"/>
    <x v="0"/>
  </r>
  <r>
    <x v="1"/>
    <x v="0"/>
    <s v="2021"/>
    <x v="11"/>
    <x v="11"/>
    <x v="2"/>
    <x v="2"/>
    <x v="0"/>
  </r>
  <r>
    <x v="1"/>
    <x v="0"/>
    <s v="2021"/>
    <x v="12"/>
    <x v="12"/>
    <x v="5"/>
    <x v="4"/>
    <x v="0"/>
  </r>
  <r>
    <x v="1"/>
    <x v="0"/>
    <s v="2021"/>
    <x v="13"/>
    <x v="13"/>
    <x v="2"/>
    <x v="0"/>
    <x v="0"/>
  </r>
  <r>
    <x v="1"/>
    <x v="0"/>
    <s v="2021"/>
    <x v="14"/>
    <x v="14"/>
    <x v="2"/>
    <x v="0"/>
    <x v="0"/>
  </r>
  <r>
    <x v="1"/>
    <x v="0"/>
    <s v="2021"/>
    <x v="15"/>
    <x v="15"/>
    <x v="6"/>
    <x v="0"/>
    <x v="0"/>
  </r>
  <r>
    <x v="1"/>
    <x v="0"/>
    <s v="2021"/>
    <x v="16"/>
    <x v="16"/>
    <x v="2"/>
    <x v="1"/>
    <x v="0"/>
  </r>
  <r>
    <x v="1"/>
    <x v="0"/>
    <s v="2021"/>
    <x v="17"/>
    <x v="17"/>
    <x v="7"/>
    <x v="1"/>
    <x v="0"/>
  </r>
  <r>
    <x v="2"/>
    <x v="1"/>
    <s v="2021"/>
    <x v="18"/>
    <x v="18"/>
    <x v="2"/>
    <x v="0"/>
    <x v="0"/>
  </r>
  <r>
    <x v="2"/>
    <x v="1"/>
    <s v="2021"/>
    <x v="19"/>
    <x v="19"/>
    <x v="2"/>
    <x v="0"/>
    <x v="0"/>
  </r>
  <r>
    <x v="2"/>
    <x v="1"/>
    <s v="2021"/>
    <x v="20"/>
    <x v="20"/>
    <x v="3"/>
    <x v="0"/>
    <x v="0"/>
  </r>
  <r>
    <x v="2"/>
    <x v="1"/>
    <s v="2021"/>
    <x v="21"/>
    <x v="21"/>
    <x v="8"/>
    <x v="0"/>
    <x v="0"/>
  </r>
  <r>
    <x v="2"/>
    <x v="1"/>
    <s v="2021"/>
    <x v="22"/>
    <x v="22"/>
    <x v="2"/>
    <x v="2"/>
    <x v="1"/>
  </r>
  <r>
    <x v="2"/>
    <x v="1"/>
    <s v="2021"/>
    <x v="23"/>
    <x v="23"/>
    <x v="9"/>
    <x v="4"/>
    <x v="0"/>
  </r>
  <r>
    <x v="2"/>
    <x v="1"/>
    <s v="2021"/>
    <x v="24"/>
    <x v="24"/>
    <x v="8"/>
    <x v="5"/>
    <x v="0"/>
  </r>
  <r>
    <x v="3"/>
    <x v="1"/>
    <s v="2021"/>
    <x v="25"/>
    <x v="25"/>
    <x v="10"/>
    <x v="1"/>
    <x v="0"/>
  </r>
  <r>
    <x v="3"/>
    <x v="1"/>
    <s v="2021"/>
    <x v="26"/>
    <x v="26"/>
    <x v="2"/>
    <x v="1"/>
    <x v="1"/>
  </r>
  <r>
    <x v="3"/>
    <x v="1"/>
    <s v="2021"/>
    <x v="27"/>
    <x v="27"/>
    <x v="2"/>
    <x v="1"/>
    <x v="1"/>
  </r>
  <r>
    <x v="3"/>
    <x v="1"/>
    <s v="2021"/>
    <x v="28"/>
    <x v="28"/>
    <x v="2"/>
    <x v="1"/>
    <x v="1"/>
  </r>
  <r>
    <x v="3"/>
    <x v="1"/>
    <s v="2021"/>
    <x v="0"/>
    <x v="29"/>
    <x v="11"/>
    <x v="2"/>
    <x v="0"/>
  </r>
  <r>
    <x v="4"/>
    <x v="1"/>
    <s v="2021"/>
    <x v="29"/>
    <x v="30"/>
    <x v="2"/>
    <x v="1"/>
    <x v="0"/>
  </r>
  <r>
    <x v="4"/>
    <x v="1"/>
    <s v="2021"/>
    <x v="30"/>
    <x v="31"/>
    <x v="2"/>
    <x v="1"/>
    <x v="0"/>
  </r>
  <r>
    <x v="5"/>
    <x v="1"/>
    <s v="2021"/>
    <x v="31"/>
    <x v="32"/>
    <x v="2"/>
    <x v="1"/>
    <x v="0"/>
  </r>
  <r>
    <x v="5"/>
    <x v="1"/>
    <s v="2021"/>
    <x v="32"/>
    <x v="33"/>
    <x v="12"/>
    <x v="2"/>
    <x v="0"/>
  </r>
  <r>
    <x v="6"/>
    <x v="1"/>
    <s v="2021"/>
    <x v="33"/>
    <x v="34"/>
    <x v="2"/>
    <x v="1"/>
    <x v="0"/>
  </r>
  <r>
    <x v="6"/>
    <x v="1"/>
    <s v="2021"/>
    <x v="34"/>
    <x v="35"/>
    <x v="2"/>
    <x v="1"/>
    <x v="0"/>
  </r>
  <r>
    <x v="6"/>
    <x v="1"/>
    <s v="2021"/>
    <x v="35"/>
    <x v="36"/>
    <x v="2"/>
    <x v="1"/>
    <x v="0"/>
  </r>
  <r>
    <x v="6"/>
    <x v="1"/>
    <s v="2021"/>
    <x v="36"/>
    <x v="37"/>
    <x v="2"/>
    <x v="1"/>
    <x v="0"/>
  </r>
  <r>
    <x v="6"/>
    <x v="1"/>
    <s v="2021"/>
    <x v="37"/>
    <x v="38"/>
    <x v="13"/>
    <x v="2"/>
    <x v="0"/>
  </r>
  <r>
    <x v="7"/>
    <x v="1"/>
    <s v="2021"/>
    <x v="38"/>
    <x v="39"/>
    <x v="2"/>
    <x v="1"/>
    <x v="0"/>
  </r>
  <r>
    <x v="7"/>
    <x v="1"/>
    <s v="2021"/>
    <x v="39"/>
    <x v="40"/>
    <x v="2"/>
    <x v="1"/>
    <x v="0"/>
  </r>
  <r>
    <x v="7"/>
    <x v="1"/>
    <s v="2021"/>
    <x v="40"/>
    <x v="41"/>
    <x v="14"/>
    <x v="1"/>
    <x v="0"/>
  </r>
  <r>
    <x v="7"/>
    <x v="1"/>
    <s v="2021"/>
    <x v="0"/>
    <x v="42"/>
    <x v="15"/>
    <x v="2"/>
    <x v="0"/>
  </r>
  <r>
    <x v="8"/>
    <x v="1"/>
    <s v="2021"/>
    <x v="41"/>
    <x v="43"/>
    <x v="2"/>
    <x v="1"/>
    <x v="0"/>
  </r>
  <r>
    <x v="8"/>
    <x v="1"/>
    <s v="2021"/>
    <x v="42"/>
    <x v="44"/>
    <x v="2"/>
    <x v="1"/>
    <x v="0"/>
  </r>
  <r>
    <x v="8"/>
    <x v="1"/>
    <s v="2021"/>
    <x v="43"/>
    <x v="45"/>
    <x v="2"/>
    <x v="1"/>
    <x v="0"/>
  </r>
  <r>
    <x v="8"/>
    <x v="1"/>
    <s v="2021"/>
    <x v="44"/>
    <x v="46"/>
    <x v="16"/>
    <x v="1"/>
    <x v="0"/>
  </r>
  <r>
    <x v="8"/>
    <x v="1"/>
    <s v="2021"/>
    <x v="45"/>
    <x v="12"/>
    <x v="17"/>
    <x v="4"/>
    <x v="0"/>
  </r>
  <r>
    <x v="8"/>
    <x v="1"/>
    <s v="2021"/>
    <x v="13"/>
    <x v="13"/>
    <x v="10"/>
    <x v="3"/>
    <x v="0"/>
  </r>
  <r>
    <x v="8"/>
    <x v="1"/>
    <s v="2021"/>
    <x v="14"/>
    <x v="14"/>
    <x v="2"/>
    <x v="3"/>
    <x v="0"/>
  </r>
  <r>
    <x v="8"/>
    <x v="1"/>
    <s v="2021"/>
    <x v="15"/>
    <x v="15"/>
    <x v="2"/>
    <x v="1"/>
    <x v="0"/>
  </r>
  <r>
    <x v="8"/>
    <x v="1"/>
    <s v="2021"/>
    <x v="16"/>
    <x v="16"/>
    <x v="2"/>
    <x v="1"/>
    <x v="0"/>
  </r>
  <r>
    <x v="8"/>
    <x v="1"/>
    <s v="2021"/>
    <x v="46"/>
    <x v="47"/>
    <x v="2"/>
    <x v="1"/>
    <x v="0"/>
  </r>
  <r>
    <x v="8"/>
    <x v="1"/>
    <s v="2021"/>
    <x v="47"/>
    <x v="48"/>
    <x v="6"/>
    <x v="1"/>
    <x v="0"/>
  </r>
  <r>
    <x v="8"/>
    <x v="1"/>
    <s v="2021"/>
    <x v="48"/>
    <x v="49"/>
    <x v="2"/>
    <x v="2"/>
    <x v="0"/>
  </r>
  <r>
    <x v="8"/>
    <x v="1"/>
    <s v="2021"/>
    <x v="49"/>
    <x v="50"/>
    <x v="7"/>
    <x v="2"/>
    <x v="0"/>
  </r>
  <r>
    <x v="9"/>
    <x v="1"/>
    <s v="2021"/>
    <x v="48"/>
    <x v="49"/>
    <x v="18"/>
    <x v="1"/>
    <x v="0"/>
  </r>
  <r>
    <x v="9"/>
    <x v="1"/>
    <s v="2021"/>
    <x v="50"/>
    <x v="51"/>
    <x v="19"/>
    <x v="1"/>
    <x v="0"/>
  </r>
  <r>
    <x v="9"/>
    <x v="1"/>
    <s v="2021"/>
    <x v="51"/>
    <x v="52"/>
    <x v="2"/>
    <x v="2"/>
    <x v="0"/>
  </r>
  <r>
    <x v="10"/>
    <x v="1"/>
    <s v="2021"/>
    <x v="52"/>
    <x v="23"/>
    <x v="20"/>
    <x v="2"/>
    <x v="0"/>
  </r>
  <r>
    <x v="10"/>
    <x v="1"/>
    <s v="2021"/>
    <x v="53"/>
    <x v="53"/>
    <x v="21"/>
    <x v="2"/>
    <x v="0"/>
  </r>
  <r>
    <x v="11"/>
    <x v="1"/>
    <s v="2021"/>
    <x v="54"/>
    <x v="54"/>
    <x v="2"/>
    <x v="1"/>
    <x v="0"/>
  </r>
  <r>
    <x v="11"/>
    <x v="1"/>
    <s v="2021"/>
    <x v="55"/>
    <x v="55"/>
    <x v="3"/>
    <x v="1"/>
    <x v="0"/>
  </r>
  <r>
    <x v="11"/>
    <x v="1"/>
    <s v="2021"/>
    <x v="56"/>
    <x v="56"/>
    <x v="2"/>
    <x v="1"/>
    <x v="0"/>
  </r>
  <r>
    <x v="11"/>
    <x v="1"/>
    <s v="2021"/>
    <x v="57"/>
    <x v="57"/>
    <x v="21"/>
    <x v="1"/>
    <x v="0"/>
  </r>
  <r>
    <x v="11"/>
    <x v="1"/>
    <s v="2021"/>
    <x v="58"/>
    <x v="58"/>
    <x v="2"/>
    <x v="2"/>
    <x v="0"/>
  </r>
  <r>
    <x v="11"/>
    <x v="1"/>
    <s v="2021"/>
    <x v="59"/>
    <x v="59"/>
    <x v="2"/>
    <x v="2"/>
    <x v="0"/>
  </r>
  <r>
    <x v="11"/>
    <x v="1"/>
    <s v="2021"/>
    <x v="60"/>
    <x v="60"/>
    <x v="6"/>
    <x v="2"/>
    <x v="0"/>
  </r>
  <r>
    <x v="12"/>
    <x v="1"/>
    <s v="2021"/>
    <x v="1"/>
    <x v="61"/>
    <x v="22"/>
    <x v="2"/>
    <x v="0"/>
  </r>
  <r>
    <x v="13"/>
    <x v="1"/>
    <s v="2021"/>
    <x v="61"/>
    <x v="62"/>
    <x v="2"/>
    <x v="2"/>
    <x v="0"/>
  </r>
  <r>
    <x v="13"/>
    <x v="1"/>
    <s v="2021"/>
    <x v="62"/>
    <x v="63"/>
    <x v="14"/>
    <x v="2"/>
    <x v="0"/>
  </r>
  <r>
    <x v="13"/>
    <x v="1"/>
    <s v="2021"/>
    <x v="63"/>
    <x v="64"/>
    <x v="8"/>
    <x v="1"/>
    <x v="0"/>
  </r>
  <r>
    <x v="13"/>
    <x v="1"/>
    <s v="2021"/>
    <x v="38"/>
    <x v="39"/>
    <x v="23"/>
    <x v="1"/>
    <x v="0"/>
  </r>
  <r>
    <x v="14"/>
    <x v="1"/>
    <s v="2021"/>
    <x v="64"/>
    <x v="65"/>
    <x v="24"/>
    <x v="3"/>
    <x v="0"/>
  </r>
  <r>
    <x v="14"/>
    <x v="1"/>
    <s v="2021"/>
    <x v="1"/>
    <x v="61"/>
    <x v="25"/>
    <x v="3"/>
    <x v="0"/>
  </r>
  <r>
    <x v="14"/>
    <x v="1"/>
    <s v="2021"/>
    <x v="1"/>
    <x v="61"/>
    <x v="26"/>
    <x v="2"/>
    <x v="0"/>
  </r>
  <r>
    <x v="15"/>
    <x v="1"/>
    <s v="2021"/>
    <x v="65"/>
    <x v="66"/>
    <x v="27"/>
    <x v="1"/>
    <x v="0"/>
  </r>
  <r>
    <x v="15"/>
    <x v="1"/>
    <s v="2021"/>
    <x v="66"/>
    <x v="67"/>
    <x v="2"/>
    <x v="1"/>
    <x v="0"/>
  </r>
  <r>
    <x v="15"/>
    <x v="1"/>
    <s v="2021"/>
    <x v="67"/>
    <x v="68"/>
    <x v="6"/>
    <x v="1"/>
    <x v="0"/>
  </r>
  <r>
    <x v="15"/>
    <x v="1"/>
    <s v="2021"/>
    <x v="68"/>
    <x v="69"/>
    <x v="27"/>
    <x v="1"/>
    <x v="0"/>
  </r>
  <r>
    <x v="15"/>
    <x v="1"/>
    <s v="2021"/>
    <x v="69"/>
    <x v="70"/>
    <x v="28"/>
    <x v="1"/>
    <x v="0"/>
  </r>
  <r>
    <x v="16"/>
    <x v="1"/>
    <s v="2021"/>
    <x v="70"/>
    <x v="71"/>
    <x v="12"/>
    <x v="1"/>
    <x v="0"/>
  </r>
  <r>
    <x v="16"/>
    <x v="1"/>
    <s v="2021"/>
    <x v="40"/>
    <x v="41"/>
    <x v="8"/>
    <x v="1"/>
    <x v="0"/>
  </r>
  <r>
    <x v="16"/>
    <x v="1"/>
    <s v="2021"/>
    <x v="71"/>
    <x v="23"/>
    <x v="19"/>
    <x v="1"/>
    <x v="0"/>
  </r>
  <r>
    <x v="16"/>
    <x v="1"/>
    <s v="2021"/>
    <x v="72"/>
    <x v="72"/>
    <x v="2"/>
    <x v="1"/>
    <x v="0"/>
  </r>
  <r>
    <x v="16"/>
    <x v="1"/>
    <s v="2021"/>
    <x v="73"/>
    <x v="73"/>
    <x v="2"/>
    <x v="1"/>
    <x v="0"/>
  </r>
  <r>
    <x v="16"/>
    <x v="1"/>
    <s v="2021"/>
    <x v="74"/>
    <x v="74"/>
    <x v="29"/>
    <x v="1"/>
    <x v="0"/>
  </r>
  <r>
    <x v="17"/>
    <x v="1"/>
    <s v="2021"/>
    <x v="75"/>
    <x v="75"/>
    <x v="11"/>
    <x v="3"/>
    <x v="0"/>
  </r>
  <r>
    <x v="18"/>
    <x v="1"/>
    <s v="2021"/>
    <x v="76"/>
    <x v="76"/>
    <x v="3"/>
    <x v="1"/>
    <x v="0"/>
  </r>
  <r>
    <x v="18"/>
    <x v="1"/>
    <s v="2021"/>
    <x v="77"/>
    <x v="77"/>
    <x v="2"/>
    <x v="1"/>
    <x v="0"/>
  </r>
  <r>
    <x v="18"/>
    <x v="1"/>
    <s v="2021"/>
    <x v="78"/>
    <x v="78"/>
    <x v="2"/>
    <x v="3"/>
    <x v="0"/>
  </r>
  <r>
    <x v="18"/>
    <x v="1"/>
    <s v="2021"/>
    <x v="79"/>
    <x v="79"/>
    <x v="30"/>
    <x v="3"/>
    <x v="0"/>
  </r>
  <r>
    <x v="19"/>
    <x v="1"/>
    <s v="2021"/>
    <x v="80"/>
    <x v="80"/>
    <x v="2"/>
    <x v="1"/>
    <x v="0"/>
  </r>
  <r>
    <x v="19"/>
    <x v="1"/>
    <s v="2021"/>
    <x v="81"/>
    <x v="81"/>
    <x v="2"/>
    <x v="1"/>
    <x v="0"/>
  </r>
  <r>
    <x v="19"/>
    <x v="1"/>
    <s v="2021"/>
    <x v="82"/>
    <x v="12"/>
    <x v="2"/>
    <x v="1"/>
    <x v="0"/>
  </r>
  <r>
    <x v="19"/>
    <x v="1"/>
    <s v="2021"/>
    <x v="83"/>
    <x v="82"/>
    <x v="2"/>
    <x v="3"/>
    <x v="0"/>
  </r>
  <r>
    <x v="19"/>
    <x v="1"/>
    <s v="2021"/>
    <x v="84"/>
    <x v="83"/>
    <x v="1"/>
    <x v="3"/>
    <x v="0"/>
  </r>
  <r>
    <x v="19"/>
    <x v="1"/>
    <s v="2021"/>
    <x v="85"/>
    <x v="84"/>
    <x v="19"/>
    <x v="3"/>
    <x v="0"/>
  </r>
  <r>
    <x v="19"/>
    <x v="1"/>
    <s v="2021"/>
    <x v="86"/>
    <x v="85"/>
    <x v="3"/>
    <x v="3"/>
    <x v="0"/>
  </r>
  <r>
    <x v="20"/>
    <x v="1"/>
    <s v="2021"/>
    <x v="87"/>
    <x v="86"/>
    <x v="2"/>
    <x v="1"/>
    <x v="0"/>
  </r>
  <r>
    <x v="20"/>
    <x v="1"/>
    <s v="2021"/>
    <x v="88"/>
    <x v="87"/>
    <x v="2"/>
    <x v="1"/>
    <x v="0"/>
  </r>
  <r>
    <x v="20"/>
    <x v="1"/>
    <s v="2021"/>
    <x v="0"/>
    <x v="61"/>
    <x v="31"/>
    <x v="1"/>
    <x v="0"/>
  </r>
  <r>
    <x v="20"/>
    <x v="1"/>
    <s v="2021"/>
    <x v="89"/>
    <x v="88"/>
    <x v="2"/>
    <x v="1"/>
    <x v="0"/>
  </r>
  <r>
    <x v="20"/>
    <x v="1"/>
    <s v="2021"/>
    <x v="90"/>
    <x v="89"/>
    <x v="2"/>
    <x v="1"/>
    <x v="0"/>
  </r>
  <r>
    <x v="20"/>
    <x v="1"/>
    <s v="2021"/>
    <x v="91"/>
    <x v="90"/>
    <x v="2"/>
    <x v="1"/>
    <x v="0"/>
  </r>
  <r>
    <x v="20"/>
    <x v="1"/>
    <s v="2021"/>
    <x v="92"/>
    <x v="91"/>
    <x v="26"/>
    <x v="1"/>
    <x v="0"/>
  </r>
  <r>
    <x v="20"/>
    <x v="1"/>
    <s v="2021"/>
    <x v="1"/>
    <x v="61"/>
    <x v="0"/>
    <x v="3"/>
    <x v="0"/>
  </r>
  <r>
    <x v="20"/>
    <x v="1"/>
    <s v="2021"/>
    <x v="1"/>
    <x v="61"/>
    <x v="32"/>
    <x v="2"/>
    <x v="0"/>
  </r>
  <r>
    <x v="21"/>
    <x v="1"/>
    <s v="2021"/>
    <x v="1"/>
    <x v="61"/>
    <x v="33"/>
    <x v="1"/>
    <x v="0"/>
  </r>
  <r>
    <x v="22"/>
    <x v="1"/>
    <s v="2021"/>
    <x v="1"/>
    <x v="61"/>
    <x v="34"/>
    <x v="2"/>
    <x v="0"/>
  </r>
  <r>
    <x v="23"/>
    <x v="1"/>
    <s v="2021"/>
    <x v="13"/>
    <x v="13"/>
    <x v="2"/>
    <x v="1"/>
    <x v="0"/>
  </r>
  <r>
    <x v="23"/>
    <x v="1"/>
    <s v="2021"/>
    <x v="14"/>
    <x v="14"/>
    <x v="2"/>
    <x v="1"/>
    <x v="0"/>
  </r>
  <r>
    <x v="23"/>
    <x v="1"/>
    <s v="2021"/>
    <x v="15"/>
    <x v="15"/>
    <x v="2"/>
    <x v="1"/>
    <x v="0"/>
  </r>
  <r>
    <x v="23"/>
    <x v="1"/>
    <s v="2021"/>
    <x v="16"/>
    <x v="16"/>
    <x v="28"/>
    <x v="1"/>
    <x v="0"/>
  </r>
  <r>
    <x v="23"/>
    <x v="1"/>
    <s v="2021"/>
    <x v="17"/>
    <x v="92"/>
    <x v="2"/>
    <x v="1"/>
    <x v="0"/>
  </r>
  <r>
    <x v="23"/>
    <x v="1"/>
    <s v="2021"/>
    <x v="93"/>
    <x v="93"/>
    <x v="8"/>
    <x v="4"/>
    <x v="0"/>
  </r>
  <r>
    <x v="23"/>
    <x v="1"/>
    <s v="2021"/>
    <x v="47"/>
    <x v="48"/>
    <x v="2"/>
    <x v="1"/>
    <x v="0"/>
  </r>
  <r>
    <x v="23"/>
    <x v="1"/>
    <s v="2021"/>
    <x v="48"/>
    <x v="49"/>
    <x v="2"/>
    <x v="1"/>
    <x v="0"/>
  </r>
  <r>
    <x v="23"/>
    <x v="1"/>
    <s v="2021"/>
    <x v="50"/>
    <x v="51"/>
    <x v="2"/>
    <x v="1"/>
    <x v="0"/>
  </r>
  <r>
    <x v="23"/>
    <x v="1"/>
    <s v="2021"/>
    <x v="94"/>
    <x v="94"/>
    <x v="35"/>
    <x v="1"/>
    <x v="0"/>
  </r>
  <r>
    <x v="24"/>
    <x v="2"/>
    <s v="2021"/>
    <x v="95"/>
    <x v="95"/>
    <x v="36"/>
    <x v="1"/>
    <x v="0"/>
  </r>
  <r>
    <x v="24"/>
    <x v="2"/>
    <s v="2021"/>
    <x v="96"/>
    <x v="96"/>
    <x v="18"/>
    <x v="1"/>
    <x v="0"/>
  </r>
  <r>
    <x v="24"/>
    <x v="2"/>
    <s v="2021"/>
    <x v="97"/>
    <x v="97"/>
    <x v="14"/>
    <x v="1"/>
    <x v="0"/>
  </r>
  <r>
    <x v="25"/>
    <x v="2"/>
    <s v="2021"/>
    <x v="1"/>
    <x v="61"/>
    <x v="2"/>
    <x v="1"/>
    <x v="0"/>
  </r>
  <r>
    <x v="26"/>
    <x v="2"/>
    <s v="2021"/>
    <x v="1"/>
    <x v="61"/>
    <x v="37"/>
    <x v="2"/>
    <x v="0"/>
  </r>
  <r>
    <x v="27"/>
    <x v="2"/>
    <s v="2021"/>
    <x v="98"/>
    <x v="98"/>
    <x v="2"/>
    <x v="1"/>
    <x v="0"/>
  </r>
  <r>
    <x v="27"/>
    <x v="2"/>
    <s v="2021"/>
    <x v="99"/>
    <x v="99"/>
    <x v="10"/>
    <x v="1"/>
    <x v="0"/>
  </r>
  <r>
    <x v="27"/>
    <x v="2"/>
    <s v="2021"/>
    <x v="100"/>
    <x v="100"/>
    <x v="2"/>
    <x v="3"/>
    <x v="0"/>
  </r>
  <r>
    <x v="27"/>
    <x v="2"/>
    <s v="2021"/>
    <x v="101"/>
    <x v="101"/>
    <x v="2"/>
    <x v="1"/>
    <x v="0"/>
  </r>
  <r>
    <x v="27"/>
    <x v="2"/>
    <s v="2021"/>
    <x v="102"/>
    <x v="102"/>
    <x v="2"/>
    <x v="1"/>
    <x v="0"/>
  </r>
  <r>
    <x v="27"/>
    <x v="2"/>
    <s v="2021"/>
    <x v="103"/>
    <x v="103"/>
    <x v="38"/>
    <x v="4"/>
    <x v="0"/>
  </r>
  <r>
    <x v="27"/>
    <x v="2"/>
    <s v="2021"/>
    <x v="104"/>
    <x v="104"/>
    <x v="7"/>
    <x v="1"/>
    <x v="0"/>
  </r>
  <r>
    <x v="27"/>
    <x v="2"/>
    <s v="2021"/>
    <x v="105"/>
    <x v="105"/>
    <x v="2"/>
    <x v="1"/>
    <x v="0"/>
  </r>
  <r>
    <x v="27"/>
    <x v="2"/>
    <s v="2021"/>
    <x v="1"/>
    <x v="61"/>
    <x v="32"/>
    <x v="1"/>
    <x v="0"/>
  </r>
  <r>
    <x v="27"/>
    <x v="2"/>
    <s v="2021"/>
    <x v="1"/>
    <x v="61"/>
    <x v="39"/>
    <x v="3"/>
    <x v="0"/>
  </r>
  <r>
    <x v="27"/>
    <x v="2"/>
    <s v="2021"/>
    <x v="106"/>
    <x v="106"/>
    <x v="40"/>
    <x v="3"/>
    <x v="0"/>
  </r>
  <r>
    <x v="27"/>
    <x v="2"/>
    <s v="2021"/>
    <x v="1"/>
    <x v="61"/>
    <x v="18"/>
    <x v="3"/>
    <x v="0"/>
  </r>
  <r>
    <x v="28"/>
    <x v="2"/>
    <s v="2021"/>
    <x v="51"/>
    <x v="52"/>
    <x v="2"/>
    <x v="1"/>
    <x v="0"/>
  </r>
  <r>
    <x v="28"/>
    <x v="2"/>
    <s v="2021"/>
    <x v="107"/>
    <x v="107"/>
    <x v="2"/>
    <x v="1"/>
    <x v="0"/>
  </r>
  <r>
    <x v="28"/>
    <x v="2"/>
    <s v="2021"/>
    <x v="108"/>
    <x v="108"/>
    <x v="10"/>
    <x v="1"/>
    <x v="0"/>
  </r>
  <r>
    <x v="29"/>
    <x v="2"/>
    <s v="2021"/>
    <x v="56"/>
    <x v="56"/>
    <x v="2"/>
    <x v="1"/>
    <x v="0"/>
  </r>
  <r>
    <x v="29"/>
    <x v="2"/>
    <s v="2021"/>
    <x v="109"/>
    <x v="109"/>
    <x v="2"/>
    <x v="1"/>
    <x v="0"/>
  </r>
  <r>
    <x v="29"/>
    <x v="2"/>
    <s v="2021"/>
    <x v="2"/>
    <x v="2"/>
    <x v="2"/>
    <x v="3"/>
    <x v="0"/>
  </r>
  <r>
    <x v="30"/>
    <x v="2"/>
    <s v="2021"/>
    <x v="110"/>
    <x v="110"/>
    <x v="20"/>
    <x v="1"/>
    <x v="0"/>
  </r>
  <r>
    <x v="30"/>
    <x v="2"/>
    <s v="2021"/>
    <x v="111"/>
    <x v="111"/>
    <x v="15"/>
    <x v="1"/>
    <x v="0"/>
  </r>
  <r>
    <x v="30"/>
    <x v="2"/>
    <s v="2021"/>
    <x v="107"/>
    <x v="112"/>
    <x v="31"/>
    <x v="0"/>
    <x v="0"/>
  </r>
  <r>
    <x v="31"/>
    <x v="2"/>
    <s v="2021"/>
    <x v="71"/>
    <x v="23"/>
    <x v="2"/>
    <x v="1"/>
    <x v="0"/>
  </r>
  <r>
    <x v="31"/>
    <x v="2"/>
    <s v="2021"/>
    <x v="72"/>
    <x v="72"/>
    <x v="39"/>
    <x v="1"/>
    <x v="0"/>
  </r>
  <r>
    <x v="31"/>
    <x v="2"/>
    <s v="2021"/>
    <x v="112"/>
    <x v="113"/>
    <x v="2"/>
    <x v="3"/>
    <x v="0"/>
  </r>
  <r>
    <x v="31"/>
    <x v="2"/>
    <s v="2021"/>
    <x v="1"/>
    <x v="61"/>
    <x v="41"/>
    <x v="2"/>
    <x v="0"/>
  </r>
  <r>
    <x v="32"/>
    <x v="2"/>
    <s v="2021"/>
    <x v="113"/>
    <x v="114"/>
    <x v="2"/>
    <x v="1"/>
    <x v="0"/>
  </r>
  <r>
    <x v="32"/>
    <x v="2"/>
    <s v="2021"/>
    <x v="114"/>
    <x v="115"/>
    <x v="2"/>
    <x v="1"/>
    <x v="0"/>
  </r>
  <r>
    <x v="32"/>
    <x v="2"/>
    <s v="2021"/>
    <x v="115"/>
    <x v="116"/>
    <x v="2"/>
    <x v="1"/>
    <x v="0"/>
  </r>
  <r>
    <x v="32"/>
    <x v="2"/>
    <s v="2021"/>
    <x v="116"/>
    <x v="117"/>
    <x v="39"/>
    <x v="4"/>
    <x v="0"/>
  </r>
  <r>
    <x v="32"/>
    <x v="2"/>
    <s v="2021"/>
    <x v="117"/>
    <x v="118"/>
    <x v="2"/>
    <x v="1"/>
    <x v="0"/>
  </r>
  <r>
    <x v="32"/>
    <x v="2"/>
    <s v="2021"/>
    <x v="118"/>
    <x v="119"/>
    <x v="2"/>
    <x v="1"/>
    <x v="0"/>
  </r>
  <r>
    <x v="32"/>
    <x v="2"/>
    <s v="2021"/>
    <x v="119"/>
    <x v="120"/>
    <x v="2"/>
    <x v="3"/>
    <x v="0"/>
  </r>
  <r>
    <x v="32"/>
    <x v="2"/>
    <s v="2021"/>
    <x v="120"/>
    <x v="121"/>
    <x v="42"/>
    <x v="3"/>
    <x v="0"/>
  </r>
  <r>
    <x v="32"/>
    <x v="2"/>
    <s v="2021"/>
    <x v="121"/>
    <x v="98"/>
    <x v="43"/>
    <x v="4"/>
    <x v="0"/>
  </r>
  <r>
    <x v="32"/>
    <x v="2"/>
    <s v="2021"/>
    <x v="122"/>
    <x v="122"/>
    <x v="2"/>
    <x v="3"/>
    <x v="0"/>
  </r>
  <r>
    <x v="32"/>
    <x v="2"/>
    <s v="2021"/>
    <x v="123"/>
    <x v="123"/>
    <x v="2"/>
    <x v="1"/>
    <x v="0"/>
  </r>
  <r>
    <x v="32"/>
    <x v="2"/>
    <s v="2021"/>
    <x v="124"/>
    <x v="124"/>
    <x v="2"/>
    <x v="1"/>
    <x v="0"/>
  </r>
  <r>
    <x v="32"/>
    <x v="2"/>
    <s v="2021"/>
    <x v="125"/>
    <x v="125"/>
    <x v="2"/>
    <x v="1"/>
    <x v="0"/>
  </r>
  <r>
    <x v="32"/>
    <x v="2"/>
    <s v="2021"/>
    <x v="103"/>
    <x v="126"/>
    <x v="39"/>
    <x v="1"/>
    <x v="0"/>
  </r>
  <r>
    <x v="33"/>
    <x v="2"/>
    <s v="2021"/>
    <x v="1"/>
    <x v="1"/>
    <x v="34"/>
    <x v="1"/>
    <x v="0"/>
  </r>
  <r>
    <x v="34"/>
    <x v="2"/>
    <s v="2021"/>
    <x v="126"/>
    <x v="127"/>
    <x v="2"/>
    <x v="1"/>
    <x v="0"/>
  </r>
  <r>
    <x v="34"/>
    <x v="2"/>
    <s v="2021"/>
    <x v="127"/>
    <x v="128"/>
    <x v="2"/>
    <x v="1"/>
    <x v="0"/>
  </r>
  <r>
    <x v="34"/>
    <x v="2"/>
    <s v="2021"/>
    <x v="128"/>
    <x v="129"/>
    <x v="2"/>
    <x v="1"/>
    <x v="0"/>
  </r>
  <r>
    <x v="34"/>
    <x v="2"/>
    <s v="2021"/>
    <x v="129"/>
    <x v="130"/>
    <x v="27"/>
    <x v="1"/>
    <x v="0"/>
  </r>
  <r>
    <x v="34"/>
    <x v="2"/>
    <s v="2021"/>
    <x v="130"/>
    <x v="131"/>
    <x v="20"/>
    <x v="4"/>
    <x v="0"/>
  </r>
  <r>
    <x v="34"/>
    <x v="2"/>
    <s v="2021"/>
    <x v="131"/>
    <x v="132"/>
    <x v="2"/>
    <x v="1"/>
    <x v="0"/>
  </r>
  <r>
    <x v="34"/>
    <x v="2"/>
    <s v="2021"/>
    <x v="132"/>
    <x v="133"/>
    <x v="2"/>
    <x v="1"/>
    <x v="0"/>
  </r>
  <r>
    <x v="34"/>
    <x v="2"/>
    <s v="2021"/>
    <x v="133"/>
    <x v="134"/>
    <x v="2"/>
    <x v="1"/>
    <x v="0"/>
  </r>
  <r>
    <x v="35"/>
    <x v="2"/>
    <s v="2021"/>
    <x v="134"/>
    <x v="135"/>
    <x v="2"/>
    <x v="1"/>
    <x v="0"/>
  </r>
  <r>
    <x v="35"/>
    <x v="2"/>
    <s v="2021"/>
    <x v="135"/>
    <x v="136"/>
    <x v="2"/>
    <x v="1"/>
    <x v="0"/>
  </r>
  <r>
    <x v="35"/>
    <x v="2"/>
    <s v="2021"/>
    <x v="136"/>
    <x v="137"/>
    <x v="2"/>
    <x v="1"/>
    <x v="0"/>
  </r>
  <r>
    <x v="35"/>
    <x v="2"/>
    <s v="2021"/>
    <x v="137"/>
    <x v="138"/>
    <x v="44"/>
    <x v="1"/>
    <x v="0"/>
  </r>
  <r>
    <x v="36"/>
    <x v="2"/>
    <s v="2021"/>
    <x v="138"/>
    <x v="139"/>
    <x v="2"/>
    <x v="1"/>
    <x v="0"/>
  </r>
  <r>
    <x v="36"/>
    <x v="2"/>
    <s v="2021"/>
    <x v="58"/>
    <x v="58"/>
    <x v="2"/>
    <x v="1"/>
    <x v="0"/>
  </r>
  <r>
    <x v="36"/>
    <x v="2"/>
    <s v="2021"/>
    <x v="59"/>
    <x v="59"/>
    <x v="2"/>
    <x v="1"/>
    <x v="0"/>
  </r>
  <r>
    <x v="36"/>
    <x v="2"/>
    <s v="2021"/>
    <x v="139"/>
    <x v="140"/>
    <x v="2"/>
    <x v="1"/>
    <x v="0"/>
  </r>
  <r>
    <x v="36"/>
    <x v="2"/>
    <s v="2021"/>
    <x v="140"/>
    <x v="49"/>
    <x v="27"/>
    <x v="4"/>
    <x v="0"/>
  </r>
  <r>
    <x v="36"/>
    <x v="2"/>
    <s v="2021"/>
    <x v="111"/>
    <x v="141"/>
    <x v="2"/>
    <x v="1"/>
    <x v="0"/>
  </r>
  <r>
    <x v="36"/>
    <x v="2"/>
    <s v="2021"/>
    <x v="141"/>
    <x v="142"/>
    <x v="2"/>
    <x v="1"/>
    <x v="0"/>
  </r>
  <r>
    <x v="36"/>
    <x v="2"/>
    <s v="2021"/>
    <x v="142"/>
    <x v="143"/>
    <x v="39"/>
    <x v="1"/>
    <x v="0"/>
  </r>
  <r>
    <x v="36"/>
    <x v="2"/>
    <s v="2021"/>
    <x v="143"/>
    <x v="144"/>
    <x v="2"/>
    <x v="1"/>
    <x v="0"/>
  </r>
  <r>
    <x v="36"/>
    <x v="2"/>
    <s v="2021"/>
    <x v="144"/>
    <x v="145"/>
    <x v="2"/>
    <x v="1"/>
    <x v="0"/>
  </r>
  <r>
    <x v="37"/>
    <x v="2"/>
    <s v="2021"/>
    <x v="81"/>
    <x v="81"/>
    <x v="2"/>
    <x v="1"/>
    <x v="0"/>
  </r>
  <r>
    <x v="37"/>
    <x v="2"/>
    <s v="2021"/>
    <x v="82"/>
    <x v="12"/>
    <x v="2"/>
    <x v="1"/>
    <x v="0"/>
  </r>
  <r>
    <x v="37"/>
    <x v="2"/>
    <s v="2021"/>
    <x v="145"/>
    <x v="146"/>
    <x v="2"/>
    <x v="1"/>
    <x v="0"/>
  </r>
  <r>
    <x v="37"/>
    <x v="2"/>
    <s v="2021"/>
    <x v="146"/>
    <x v="147"/>
    <x v="2"/>
    <x v="1"/>
    <x v="0"/>
  </r>
  <r>
    <x v="37"/>
    <x v="2"/>
    <s v="2021"/>
    <x v="147"/>
    <x v="3"/>
    <x v="11"/>
    <x v="1"/>
    <x v="0"/>
  </r>
  <r>
    <x v="37"/>
    <x v="2"/>
    <s v="2021"/>
    <x v="148"/>
    <x v="148"/>
    <x v="18"/>
    <x v="4"/>
    <x v="0"/>
  </r>
  <r>
    <x v="37"/>
    <x v="2"/>
    <s v="2021"/>
    <x v="46"/>
    <x v="47"/>
    <x v="2"/>
    <x v="1"/>
    <x v="0"/>
  </r>
  <r>
    <x v="37"/>
    <x v="2"/>
    <s v="2021"/>
    <x v="47"/>
    <x v="48"/>
    <x v="2"/>
    <x v="1"/>
    <x v="0"/>
  </r>
  <r>
    <x v="37"/>
    <x v="2"/>
    <s v="2021"/>
    <x v="48"/>
    <x v="49"/>
    <x v="6"/>
    <x v="1"/>
    <x v="0"/>
  </r>
  <r>
    <x v="37"/>
    <x v="2"/>
    <s v="2021"/>
    <x v="49"/>
    <x v="50"/>
    <x v="2"/>
    <x v="1"/>
    <x v="0"/>
  </r>
  <r>
    <x v="37"/>
    <x v="2"/>
    <s v="2021"/>
    <x v="149"/>
    <x v="149"/>
    <x v="2"/>
    <x v="1"/>
    <x v="0"/>
  </r>
  <r>
    <x v="37"/>
    <x v="2"/>
    <s v="2021"/>
    <x v="150"/>
    <x v="150"/>
    <x v="45"/>
    <x v="4"/>
    <x v="0"/>
  </r>
  <r>
    <x v="37"/>
    <x v="2"/>
    <s v="2021"/>
    <x v="151"/>
    <x v="151"/>
    <x v="46"/>
    <x v="1"/>
    <x v="0"/>
  </r>
  <r>
    <x v="37"/>
    <x v="2"/>
    <s v="2021"/>
    <x v="152"/>
    <x v="152"/>
    <x v="2"/>
    <x v="1"/>
    <x v="0"/>
  </r>
  <r>
    <x v="37"/>
    <x v="2"/>
    <s v="2021"/>
    <x v="134"/>
    <x v="135"/>
    <x v="10"/>
    <x v="1"/>
    <x v="0"/>
  </r>
  <r>
    <x v="37"/>
    <x v="2"/>
    <s v="2021"/>
    <x v="153"/>
    <x v="153"/>
    <x v="47"/>
    <x v="1"/>
    <x v="0"/>
  </r>
  <r>
    <x v="37"/>
    <x v="2"/>
    <s v="2021"/>
    <x v="154"/>
    <x v="154"/>
    <x v="47"/>
    <x v="1"/>
    <x v="0"/>
  </r>
  <r>
    <x v="37"/>
    <x v="2"/>
    <s v="2021"/>
    <x v="0"/>
    <x v="61"/>
    <x v="2"/>
    <x v="1"/>
    <x v="0"/>
  </r>
  <r>
    <x v="37"/>
    <x v="2"/>
    <s v="2021"/>
    <x v="155"/>
    <x v="155"/>
    <x v="2"/>
    <x v="1"/>
    <x v="0"/>
  </r>
  <r>
    <x v="37"/>
    <x v="2"/>
    <s v="2021"/>
    <x v="156"/>
    <x v="156"/>
    <x v="2"/>
    <x v="1"/>
    <x v="0"/>
  </r>
  <r>
    <x v="37"/>
    <x v="2"/>
    <s v="2021"/>
    <x v="157"/>
    <x v="157"/>
    <x v="48"/>
    <x v="1"/>
    <x v="0"/>
  </r>
  <r>
    <x v="37"/>
    <x v="2"/>
    <s v="2021"/>
    <x v="158"/>
    <x v="158"/>
    <x v="19"/>
    <x v="1"/>
    <x v="0"/>
  </r>
  <r>
    <x v="38"/>
    <x v="2"/>
    <s v="2021"/>
    <x v="159"/>
    <x v="159"/>
    <x v="2"/>
    <x v="1"/>
    <x v="0"/>
  </r>
  <r>
    <x v="38"/>
    <x v="2"/>
    <s v="2021"/>
    <x v="160"/>
    <x v="160"/>
    <x v="2"/>
    <x v="1"/>
    <x v="0"/>
  </r>
  <r>
    <x v="38"/>
    <x v="2"/>
    <s v="2021"/>
    <x v="161"/>
    <x v="150"/>
    <x v="2"/>
    <x v="1"/>
    <x v="0"/>
  </r>
  <r>
    <x v="38"/>
    <x v="2"/>
    <s v="2021"/>
    <x v="162"/>
    <x v="161"/>
    <x v="2"/>
    <x v="1"/>
    <x v="0"/>
  </r>
  <r>
    <x v="38"/>
    <x v="2"/>
    <s v="2021"/>
    <x v="163"/>
    <x v="162"/>
    <x v="49"/>
    <x v="4"/>
    <x v="0"/>
  </r>
  <r>
    <x v="38"/>
    <x v="2"/>
    <s v="2021"/>
    <x v="164"/>
    <x v="163"/>
    <x v="2"/>
    <x v="1"/>
    <x v="0"/>
  </r>
  <r>
    <x v="38"/>
    <x v="2"/>
    <s v="2021"/>
    <x v="165"/>
    <x v="164"/>
    <x v="2"/>
    <x v="1"/>
    <x v="0"/>
  </r>
  <r>
    <x v="38"/>
    <x v="2"/>
    <s v="2021"/>
    <x v="166"/>
    <x v="165"/>
    <x v="2"/>
    <x v="1"/>
    <x v="1"/>
  </r>
  <r>
    <x v="39"/>
    <x v="2"/>
    <s v="2021"/>
    <x v="167"/>
    <x v="90"/>
    <x v="50"/>
    <x v="1"/>
    <x v="0"/>
  </r>
  <r>
    <x v="39"/>
    <x v="2"/>
    <s v="2021"/>
    <x v="168"/>
    <x v="166"/>
    <x v="51"/>
    <x v="1"/>
    <x v="0"/>
  </r>
  <r>
    <x v="39"/>
    <x v="2"/>
    <s v="2021"/>
    <x v="152"/>
    <x v="167"/>
    <x v="46"/>
    <x v="1"/>
    <x v="0"/>
  </r>
  <r>
    <x v="40"/>
    <x v="2"/>
    <s v="2021"/>
    <x v="123"/>
    <x v="168"/>
    <x v="52"/>
    <x v="1"/>
    <x v="0"/>
  </r>
  <r>
    <x v="40"/>
    <x v="2"/>
    <s v="2021"/>
    <x v="169"/>
    <x v="169"/>
    <x v="30"/>
    <x v="1"/>
    <x v="0"/>
  </r>
  <r>
    <x v="40"/>
    <x v="2"/>
    <s v="2021"/>
    <x v="170"/>
    <x v="162"/>
    <x v="53"/>
    <x v="1"/>
    <x v="0"/>
  </r>
  <r>
    <x v="40"/>
    <x v="2"/>
    <s v="2021"/>
    <x v="171"/>
    <x v="79"/>
    <x v="11"/>
    <x v="1"/>
    <x v="0"/>
  </r>
  <r>
    <x v="41"/>
    <x v="2"/>
    <s v="2021"/>
    <x v="123"/>
    <x v="170"/>
    <x v="22"/>
    <x v="1"/>
    <x v="0"/>
  </r>
  <r>
    <x v="41"/>
    <x v="2"/>
    <s v="2021"/>
    <x v="169"/>
    <x v="84"/>
    <x v="54"/>
    <x v="1"/>
    <x v="0"/>
  </r>
  <r>
    <x v="41"/>
    <x v="2"/>
    <s v="2021"/>
    <x v="172"/>
    <x v="171"/>
    <x v="11"/>
    <x v="1"/>
    <x v="0"/>
  </r>
  <r>
    <x v="41"/>
    <x v="2"/>
    <s v="2021"/>
    <x v="173"/>
    <x v="172"/>
    <x v="20"/>
    <x v="1"/>
    <x v="0"/>
  </r>
  <r>
    <x v="42"/>
    <x v="2"/>
    <s v="2021"/>
    <x v="148"/>
    <x v="173"/>
    <x v="55"/>
    <x v="1"/>
    <x v="0"/>
  </r>
  <r>
    <x v="42"/>
    <x v="2"/>
    <s v="2021"/>
    <x v="48"/>
    <x v="174"/>
    <x v="8"/>
    <x v="1"/>
    <x v="0"/>
  </r>
  <r>
    <x v="42"/>
    <x v="2"/>
    <s v="2021"/>
    <x v="174"/>
    <x v="175"/>
    <x v="56"/>
    <x v="1"/>
    <x v="0"/>
  </r>
  <r>
    <x v="43"/>
    <x v="3"/>
    <s v="2021"/>
    <x v="175"/>
    <x v="72"/>
    <x v="7"/>
    <x v="1"/>
    <x v="0"/>
  </r>
  <r>
    <x v="43"/>
    <x v="3"/>
    <s v="2021"/>
    <x v="176"/>
    <x v="176"/>
    <x v="13"/>
    <x v="1"/>
    <x v="0"/>
  </r>
  <r>
    <x v="43"/>
    <x v="3"/>
    <s v="2021"/>
    <x v="177"/>
    <x v="85"/>
    <x v="25"/>
    <x v="1"/>
    <x v="0"/>
  </r>
  <r>
    <x v="43"/>
    <x v="3"/>
    <s v="2021"/>
    <x v="178"/>
    <x v="177"/>
    <x v="43"/>
    <x v="1"/>
    <x v="0"/>
  </r>
  <r>
    <x v="44"/>
    <x v="3"/>
    <s v="2021"/>
    <x v="133"/>
    <x v="178"/>
    <x v="50"/>
    <x v="1"/>
    <x v="0"/>
  </r>
  <r>
    <x v="44"/>
    <x v="3"/>
    <s v="2021"/>
    <x v="179"/>
    <x v="125"/>
    <x v="19"/>
    <x v="1"/>
    <x v="0"/>
  </r>
  <r>
    <x v="44"/>
    <x v="3"/>
    <s v="2021"/>
    <x v="103"/>
    <x v="179"/>
    <x v="57"/>
    <x v="1"/>
    <x v="0"/>
  </r>
  <r>
    <x v="44"/>
    <x v="3"/>
    <s v="2021"/>
    <x v="180"/>
    <x v="180"/>
    <x v="58"/>
    <x v="1"/>
    <x v="0"/>
  </r>
  <r>
    <x v="44"/>
    <x v="3"/>
    <s v="2021"/>
    <x v="181"/>
    <x v="181"/>
    <x v="31"/>
    <x v="1"/>
    <x v="0"/>
  </r>
  <r>
    <x v="44"/>
    <x v="3"/>
    <s v="2021"/>
    <x v="182"/>
    <x v="182"/>
    <x v="24"/>
    <x v="1"/>
    <x v="0"/>
  </r>
  <r>
    <x v="45"/>
    <x v="3"/>
    <s v="2021"/>
    <x v="183"/>
    <x v="183"/>
    <x v="59"/>
    <x v="1"/>
    <x v="0"/>
  </r>
  <r>
    <x v="45"/>
    <x v="3"/>
    <s v="2021"/>
    <x v="184"/>
    <x v="184"/>
    <x v="19"/>
    <x v="1"/>
    <x v="0"/>
  </r>
  <r>
    <x v="45"/>
    <x v="3"/>
    <s v="2021"/>
    <x v="185"/>
    <x v="185"/>
    <x v="8"/>
    <x v="1"/>
    <x v="0"/>
  </r>
  <r>
    <x v="45"/>
    <x v="3"/>
    <s v="2021"/>
    <x v="186"/>
    <x v="186"/>
    <x v="60"/>
    <x v="1"/>
    <x v="0"/>
  </r>
  <r>
    <x v="45"/>
    <x v="3"/>
    <s v="2021"/>
    <x v="187"/>
    <x v="187"/>
    <x v="48"/>
    <x v="1"/>
    <x v="0"/>
  </r>
  <r>
    <x v="46"/>
    <x v="3"/>
    <s v="2021"/>
    <x v="188"/>
    <x v="188"/>
    <x v="61"/>
    <x v="1"/>
    <x v="0"/>
  </r>
  <r>
    <x v="46"/>
    <x v="3"/>
    <s v="2021"/>
    <x v="189"/>
    <x v="189"/>
    <x v="18"/>
    <x v="1"/>
    <x v="0"/>
  </r>
  <r>
    <x v="47"/>
    <x v="3"/>
    <s v="2021"/>
    <x v="190"/>
    <x v="190"/>
    <x v="62"/>
    <x v="1"/>
    <x v="0"/>
  </r>
  <r>
    <x v="47"/>
    <x v="3"/>
    <s v="2021"/>
    <x v="191"/>
    <x v="191"/>
    <x v="32"/>
    <x v="1"/>
    <x v="0"/>
  </r>
  <r>
    <x v="48"/>
    <x v="3"/>
    <s v="2021"/>
    <x v="192"/>
    <x v="192"/>
    <x v="63"/>
    <x v="1"/>
    <x v="0"/>
  </r>
  <r>
    <x v="48"/>
    <x v="3"/>
    <s v="2021"/>
    <x v="193"/>
    <x v="193"/>
    <x v="28"/>
    <x v="1"/>
    <x v="0"/>
  </r>
  <r>
    <x v="48"/>
    <x v="3"/>
    <s v="2021"/>
    <x v="162"/>
    <x v="194"/>
    <x v="7"/>
    <x v="1"/>
    <x v="0"/>
  </r>
  <r>
    <x v="49"/>
    <x v="3"/>
    <s v="2021"/>
    <x v="194"/>
    <x v="65"/>
    <x v="2"/>
    <x v="1"/>
    <x v="0"/>
  </r>
  <r>
    <x v="49"/>
    <x v="3"/>
    <s v="2021"/>
    <x v="195"/>
    <x v="195"/>
    <x v="64"/>
    <x v="1"/>
    <x v="0"/>
  </r>
  <r>
    <x v="49"/>
    <x v="3"/>
    <s v="2021"/>
    <x v="196"/>
    <x v="196"/>
    <x v="43"/>
    <x v="1"/>
    <x v="0"/>
  </r>
  <r>
    <x v="49"/>
    <x v="3"/>
    <s v="2021"/>
    <x v="0"/>
    <x v="0"/>
    <x v="0"/>
    <x v="1"/>
    <x v="0"/>
  </r>
  <r>
    <x v="50"/>
    <x v="3"/>
    <s v="2021"/>
    <x v="197"/>
    <x v="197"/>
    <x v="29"/>
    <x v="1"/>
    <x v="0"/>
  </r>
  <r>
    <x v="50"/>
    <x v="3"/>
    <s v="2021"/>
    <x v="112"/>
    <x v="198"/>
    <x v="65"/>
    <x v="1"/>
    <x v="0"/>
  </r>
  <r>
    <x v="50"/>
    <x v="3"/>
    <s v="2021"/>
    <x v="198"/>
    <x v="199"/>
    <x v="39"/>
    <x v="1"/>
    <x v="0"/>
  </r>
  <r>
    <x v="50"/>
    <x v="3"/>
    <s v="2021"/>
    <x v="199"/>
    <x v="200"/>
    <x v="43"/>
    <x v="1"/>
    <x v="0"/>
  </r>
  <r>
    <x v="50"/>
    <x v="3"/>
    <s v="2021"/>
    <x v="200"/>
    <x v="201"/>
    <x v="66"/>
    <x v="1"/>
    <x v="0"/>
  </r>
  <r>
    <x v="50"/>
    <x v="3"/>
    <s v="2021"/>
    <x v="168"/>
    <x v="202"/>
    <x v="6"/>
    <x v="1"/>
    <x v="0"/>
  </r>
  <r>
    <x v="50"/>
    <x v="3"/>
    <s v="2021"/>
    <x v="201"/>
    <x v="203"/>
    <x v="67"/>
    <x v="1"/>
    <x v="0"/>
  </r>
  <r>
    <x v="50"/>
    <x v="3"/>
    <s v="2021"/>
    <x v="202"/>
    <x v="204"/>
    <x v="68"/>
    <x v="1"/>
    <x v="0"/>
  </r>
  <r>
    <x v="50"/>
    <x v="3"/>
    <s v="2021"/>
    <x v="203"/>
    <x v="205"/>
    <x v="69"/>
    <x v="1"/>
    <x v="0"/>
  </r>
  <r>
    <x v="51"/>
    <x v="3"/>
    <s v="2021"/>
    <x v="1"/>
    <x v="61"/>
    <x v="57"/>
    <x v="2"/>
    <x v="0"/>
  </r>
  <r>
    <x v="52"/>
    <x v="3"/>
    <s v="2021"/>
    <x v="204"/>
    <x v="206"/>
    <x v="70"/>
    <x v="1"/>
    <x v="0"/>
  </r>
  <r>
    <x v="52"/>
    <x v="3"/>
    <s v="2021"/>
    <x v="205"/>
    <x v="207"/>
    <x v="71"/>
    <x v="1"/>
    <x v="0"/>
  </r>
  <r>
    <x v="53"/>
    <x v="3"/>
    <s v="2021"/>
    <x v="206"/>
    <x v="208"/>
    <x v="26"/>
    <x v="2"/>
    <x v="0"/>
  </r>
  <r>
    <x v="53"/>
    <x v="3"/>
    <s v="2021"/>
    <x v="142"/>
    <x v="209"/>
    <x v="52"/>
    <x v="1"/>
    <x v="0"/>
  </r>
  <r>
    <x v="53"/>
    <x v="3"/>
    <s v="2021"/>
    <x v="207"/>
    <x v="79"/>
    <x v="70"/>
    <x v="1"/>
    <x v="0"/>
  </r>
  <r>
    <x v="54"/>
    <x v="3"/>
    <s v="2021"/>
    <x v="1"/>
    <x v="61"/>
    <x v="57"/>
    <x v="2"/>
    <x v="0"/>
  </r>
  <r>
    <x v="55"/>
    <x v="3"/>
    <s v="2021"/>
    <x v="51"/>
    <x v="210"/>
    <x v="54"/>
    <x v="1"/>
    <x v="0"/>
  </r>
  <r>
    <x v="56"/>
    <x v="3"/>
    <s v="2021"/>
    <x v="148"/>
    <x v="211"/>
    <x v="54"/>
    <x v="1"/>
    <x v="0"/>
  </r>
  <r>
    <x v="56"/>
    <x v="3"/>
    <s v="2021"/>
    <x v="89"/>
    <x v="212"/>
    <x v="21"/>
    <x v="3"/>
    <x v="0"/>
  </r>
  <r>
    <x v="56"/>
    <x v="3"/>
    <s v="2021"/>
    <x v="208"/>
    <x v="213"/>
    <x v="30"/>
    <x v="1"/>
    <x v="0"/>
  </r>
  <r>
    <x v="56"/>
    <x v="3"/>
    <s v="2021"/>
    <x v="209"/>
    <x v="214"/>
    <x v="12"/>
    <x v="1"/>
    <x v="0"/>
  </r>
  <r>
    <x v="57"/>
    <x v="3"/>
    <s v="2021"/>
    <x v="1"/>
    <x v="61"/>
    <x v="39"/>
    <x v="2"/>
    <x v="0"/>
  </r>
  <r>
    <x v="57"/>
    <x v="3"/>
    <s v="2021"/>
    <x v="15"/>
    <x v="15"/>
    <x v="2"/>
    <x v="2"/>
    <x v="0"/>
  </r>
  <r>
    <x v="57"/>
    <x v="3"/>
    <s v="2021"/>
    <x v="210"/>
    <x v="215"/>
    <x v="2"/>
    <x v="3"/>
    <x v="0"/>
  </r>
  <r>
    <x v="57"/>
    <x v="3"/>
    <s v="2021"/>
    <x v="188"/>
    <x v="216"/>
    <x v="2"/>
    <x v="3"/>
    <x v="0"/>
  </r>
  <r>
    <x v="57"/>
    <x v="3"/>
    <s v="2021"/>
    <x v="59"/>
    <x v="93"/>
    <x v="21"/>
    <x v="4"/>
    <x v="0"/>
  </r>
  <r>
    <x v="57"/>
    <x v="3"/>
    <s v="2021"/>
    <x v="47"/>
    <x v="48"/>
    <x v="2"/>
    <x v="3"/>
    <x v="0"/>
  </r>
  <r>
    <x v="57"/>
    <x v="3"/>
    <s v="2021"/>
    <x v="48"/>
    <x v="49"/>
    <x v="2"/>
    <x v="3"/>
    <x v="0"/>
  </r>
  <r>
    <x v="57"/>
    <x v="3"/>
    <s v="2021"/>
    <x v="50"/>
    <x v="51"/>
    <x v="2"/>
    <x v="3"/>
    <x v="0"/>
  </r>
  <r>
    <x v="57"/>
    <x v="3"/>
    <s v="2021"/>
    <x v="94"/>
    <x v="94"/>
    <x v="72"/>
    <x v="3"/>
    <x v="0"/>
  </r>
  <r>
    <x v="57"/>
    <x v="3"/>
    <s v="2021"/>
    <x v="211"/>
    <x v="217"/>
    <x v="2"/>
    <x v="1"/>
    <x v="1"/>
  </r>
  <r>
    <x v="57"/>
    <x v="3"/>
    <s v="2021"/>
    <x v="212"/>
    <x v="218"/>
    <x v="50"/>
    <x v="4"/>
    <x v="1"/>
  </r>
  <r>
    <x v="57"/>
    <x v="3"/>
    <s v="2021"/>
    <x v="213"/>
    <x v="219"/>
    <x v="2"/>
    <x v="1"/>
    <x v="1"/>
  </r>
  <r>
    <x v="57"/>
    <x v="3"/>
    <s v="2021"/>
    <x v="214"/>
    <x v="220"/>
    <x v="2"/>
    <x v="1"/>
    <x v="1"/>
  </r>
  <r>
    <x v="57"/>
    <x v="3"/>
    <s v="2021"/>
    <x v="215"/>
    <x v="154"/>
    <x v="70"/>
    <x v="1"/>
    <x v="0"/>
  </r>
  <r>
    <x v="58"/>
    <x v="3"/>
    <s v="2021"/>
    <x v="216"/>
    <x v="221"/>
    <x v="73"/>
    <x v="1"/>
    <x v="0"/>
  </r>
  <r>
    <x v="58"/>
    <x v="3"/>
    <s v="2021"/>
    <x v="207"/>
    <x v="222"/>
    <x v="74"/>
    <x v="1"/>
    <x v="0"/>
  </r>
  <r>
    <x v="59"/>
    <x v="3"/>
    <s v="2021"/>
    <x v="217"/>
    <x v="223"/>
    <x v="59"/>
    <x v="1"/>
    <x v="0"/>
  </r>
  <r>
    <x v="60"/>
    <x v="3"/>
    <s v="2021"/>
    <x v="218"/>
    <x v="17"/>
    <x v="75"/>
    <x v="1"/>
    <x v="0"/>
  </r>
  <r>
    <x v="61"/>
    <x v="4"/>
    <s v="2022"/>
    <x v="219"/>
    <x v="178"/>
    <x v="3"/>
    <x v="1"/>
    <x v="0"/>
  </r>
  <r>
    <x v="61"/>
    <x v="4"/>
    <s v="2022"/>
    <x v="208"/>
    <x v="224"/>
    <x v="11"/>
    <x v="1"/>
    <x v="0"/>
  </r>
  <r>
    <x v="61"/>
    <x v="4"/>
    <s v="2022"/>
    <x v="178"/>
    <x v="225"/>
    <x v="30"/>
    <x v="1"/>
    <x v="0"/>
  </r>
  <r>
    <x v="61"/>
    <x v="4"/>
    <s v="2022"/>
    <x v="30"/>
    <x v="226"/>
    <x v="26"/>
    <x v="1"/>
    <x v="0"/>
  </r>
  <r>
    <x v="61"/>
    <x v="4"/>
    <s v="2022"/>
    <x v="220"/>
    <x v="227"/>
    <x v="76"/>
    <x v="1"/>
    <x v="0"/>
  </r>
  <r>
    <x v="62"/>
    <x v="4"/>
    <s v="2022"/>
    <x v="180"/>
    <x v="228"/>
    <x v="77"/>
    <x v="1"/>
    <x v="0"/>
  </r>
  <r>
    <x v="63"/>
    <x v="4"/>
    <s v="2022"/>
    <x v="221"/>
    <x v="229"/>
    <x v="78"/>
    <x v="1"/>
    <x v="0"/>
  </r>
  <r>
    <x v="63"/>
    <x v="4"/>
    <s v="2022"/>
    <x v="215"/>
    <x v="230"/>
    <x v="32"/>
    <x v="1"/>
    <x v="0"/>
  </r>
  <r>
    <x v="64"/>
    <x v="4"/>
    <s v="2022"/>
    <x v="222"/>
    <x v="103"/>
    <x v="45"/>
    <x v="1"/>
    <x v="0"/>
  </r>
  <r>
    <x v="64"/>
    <x v="4"/>
    <s v="2022"/>
    <x v="223"/>
    <x v="231"/>
    <x v="79"/>
    <x v="1"/>
    <x v="0"/>
  </r>
  <r>
    <x v="65"/>
    <x v="4"/>
    <s v="2022"/>
    <x v="224"/>
    <x v="232"/>
    <x v="45"/>
    <x v="1"/>
    <x v="0"/>
  </r>
  <r>
    <x v="66"/>
    <x v="4"/>
    <s v="2022"/>
    <x v="225"/>
    <x v="233"/>
    <x v="80"/>
    <x v="1"/>
    <x v="0"/>
  </r>
  <r>
    <x v="66"/>
    <x v="4"/>
    <s v="2022"/>
    <x v="134"/>
    <x v="196"/>
    <x v="14"/>
    <x v="1"/>
    <x v="0"/>
  </r>
  <r>
    <x v="67"/>
    <x v="4"/>
    <s v="2022"/>
    <x v="226"/>
    <x v="234"/>
    <x v="14"/>
    <x v="1"/>
    <x v="0"/>
  </r>
  <r>
    <x v="67"/>
    <x v="4"/>
    <s v="2022"/>
    <x v="227"/>
    <x v="235"/>
    <x v="81"/>
    <x v="1"/>
    <x v="0"/>
  </r>
  <r>
    <x v="67"/>
    <x v="4"/>
    <s v="2022"/>
    <x v="161"/>
    <x v="151"/>
    <x v="1"/>
    <x v="1"/>
    <x v="0"/>
  </r>
  <r>
    <x v="67"/>
    <x v="4"/>
    <s v="2022"/>
    <x v="228"/>
    <x v="236"/>
    <x v="31"/>
    <x v="1"/>
    <x v="0"/>
  </r>
  <r>
    <x v="67"/>
    <x v="4"/>
    <s v="2022"/>
    <x v="229"/>
    <x v="230"/>
    <x v="16"/>
    <x v="1"/>
    <x v="0"/>
  </r>
  <r>
    <x v="68"/>
    <x v="4"/>
    <s v="2022"/>
    <x v="50"/>
    <x v="51"/>
    <x v="2"/>
    <x v="1"/>
    <x v="0"/>
  </r>
  <r>
    <x v="68"/>
    <x v="4"/>
    <s v="2022"/>
    <x v="51"/>
    <x v="52"/>
    <x v="2"/>
    <x v="1"/>
    <x v="0"/>
  </r>
  <r>
    <x v="68"/>
    <x v="4"/>
    <s v="2022"/>
    <x v="107"/>
    <x v="107"/>
    <x v="2"/>
    <x v="1"/>
    <x v="0"/>
  </r>
  <r>
    <x v="68"/>
    <x v="4"/>
    <s v="2022"/>
    <x v="230"/>
    <x v="193"/>
    <x v="2"/>
    <x v="1"/>
    <x v="0"/>
  </r>
  <r>
    <x v="68"/>
    <x v="4"/>
    <s v="2022"/>
    <x v="231"/>
    <x v="237"/>
    <x v="2"/>
    <x v="1"/>
    <x v="0"/>
  </r>
  <r>
    <x v="69"/>
    <x v="4"/>
    <s v="2022"/>
    <x v="142"/>
    <x v="238"/>
    <x v="5"/>
    <x v="1"/>
    <x v="0"/>
  </r>
  <r>
    <x v="69"/>
    <x v="4"/>
    <s v="2022"/>
    <x v="163"/>
    <x v="152"/>
    <x v="47"/>
    <x v="1"/>
    <x v="0"/>
  </r>
  <r>
    <x v="69"/>
    <x v="4"/>
    <s v="2022"/>
    <x v="232"/>
    <x v="239"/>
    <x v="64"/>
    <x v="1"/>
    <x v="0"/>
  </r>
  <r>
    <x v="70"/>
    <x v="4"/>
    <s v="2022"/>
    <x v="227"/>
    <x v="240"/>
    <x v="61"/>
    <x v="1"/>
    <x v="0"/>
  </r>
  <r>
    <x v="70"/>
    <x v="4"/>
    <s v="2022"/>
    <x v="233"/>
    <x v="241"/>
    <x v="60"/>
    <x v="1"/>
    <x v="0"/>
  </r>
  <r>
    <x v="70"/>
    <x v="4"/>
    <s v="2022"/>
    <x v="222"/>
    <x v="218"/>
    <x v="82"/>
    <x v="1"/>
    <x v="0"/>
  </r>
  <r>
    <x v="71"/>
    <x v="4"/>
    <s v="2022"/>
    <x v="72"/>
    <x v="72"/>
    <x v="2"/>
    <x v="3"/>
    <x v="0"/>
  </r>
  <r>
    <x v="71"/>
    <x v="4"/>
    <s v="2022"/>
    <x v="112"/>
    <x v="113"/>
    <x v="2"/>
    <x v="3"/>
    <x v="0"/>
  </r>
  <r>
    <x v="71"/>
    <x v="4"/>
    <s v="2022"/>
    <x v="234"/>
    <x v="242"/>
    <x v="2"/>
    <x v="3"/>
    <x v="0"/>
  </r>
  <r>
    <x v="71"/>
    <x v="4"/>
    <s v="2022"/>
    <x v="232"/>
    <x v="243"/>
    <x v="2"/>
    <x v="1"/>
    <x v="0"/>
  </r>
  <r>
    <x v="71"/>
    <x v="4"/>
    <s v="2022"/>
    <x v="235"/>
    <x v="232"/>
    <x v="2"/>
    <x v="1"/>
    <x v="0"/>
  </r>
  <r>
    <x v="71"/>
    <x v="4"/>
    <s v="2022"/>
    <x v="236"/>
    <x v="222"/>
    <x v="2"/>
    <x v="1"/>
    <x v="0"/>
  </r>
  <r>
    <x v="71"/>
    <x v="4"/>
    <s v="2022"/>
    <x v="237"/>
    <x v="244"/>
    <x v="2"/>
    <x v="1"/>
    <x v="0"/>
  </r>
  <r>
    <x v="71"/>
    <x v="4"/>
    <s v="2022"/>
    <x v="220"/>
    <x v="245"/>
    <x v="46"/>
    <x v="4"/>
    <x v="0"/>
  </r>
  <r>
    <x v="71"/>
    <x v="4"/>
    <s v="2022"/>
    <x v="238"/>
    <x v="187"/>
    <x v="6"/>
    <x v="1"/>
    <x v="0"/>
  </r>
  <r>
    <x v="71"/>
    <x v="4"/>
    <s v="2022"/>
    <x v="239"/>
    <x v="246"/>
    <x v="2"/>
    <x v="1"/>
    <x v="0"/>
  </r>
  <r>
    <x v="71"/>
    <x v="4"/>
    <s v="2022"/>
    <x v="240"/>
    <x v="247"/>
    <x v="2"/>
    <x v="1"/>
    <x v="0"/>
  </r>
  <r>
    <x v="71"/>
    <x v="4"/>
    <s v="2022"/>
    <x v="241"/>
    <x v="248"/>
    <x v="14"/>
    <x v="1"/>
    <x v="0"/>
  </r>
  <r>
    <x v="71"/>
    <x v="4"/>
    <s v="2022"/>
    <x v="242"/>
    <x v="249"/>
    <x v="64"/>
    <x v="1"/>
    <x v="0"/>
  </r>
  <r>
    <x v="72"/>
    <x v="4"/>
    <s v="2022"/>
    <x v="109"/>
    <x v="109"/>
    <x v="2"/>
    <x v="1"/>
    <x v="0"/>
  </r>
  <r>
    <x v="72"/>
    <x v="4"/>
    <s v="2022"/>
    <x v="2"/>
    <x v="2"/>
    <x v="2"/>
    <x v="1"/>
    <x v="0"/>
  </r>
  <r>
    <x v="72"/>
    <x v="4"/>
    <s v="2022"/>
    <x v="3"/>
    <x v="3"/>
    <x v="2"/>
    <x v="1"/>
    <x v="0"/>
  </r>
  <r>
    <x v="72"/>
    <x v="4"/>
    <s v="2022"/>
    <x v="243"/>
    <x v="250"/>
    <x v="2"/>
    <x v="1"/>
    <x v="0"/>
  </r>
  <r>
    <x v="72"/>
    <x v="4"/>
    <s v="2022"/>
    <x v="199"/>
    <x v="251"/>
    <x v="2"/>
    <x v="1"/>
    <x v="0"/>
  </r>
  <r>
    <x v="72"/>
    <x v="4"/>
    <s v="2022"/>
    <x v="244"/>
    <x v="60"/>
    <x v="19"/>
    <x v="4"/>
    <x v="0"/>
  </r>
  <r>
    <x v="72"/>
    <x v="4"/>
    <s v="2022"/>
    <x v="100"/>
    <x v="100"/>
    <x v="2"/>
    <x v="1"/>
    <x v="1"/>
  </r>
  <r>
    <x v="72"/>
    <x v="4"/>
    <s v="2022"/>
    <x v="245"/>
    <x v="252"/>
    <x v="39"/>
    <x v="1"/>
    <x v="0"/>
  </r>
  <r>
    <x v="72"/>
    <x v="4"/>
    <s v="2022"/>
    <x v="174"/>
    <x v="224"/>
    <x v="2"/>
    <x v="1"/>
    <x v="0"/>
  </r>
  <r>
    <x v="72"/>
    <x v="4"/>
    <s v="2022"/>
    <x v="92"/>
    <x v="253"/>
    <x v="2"/>
    <x v="1"/>
    <x v="0"/>
  </r>
  <r>
    <x v="72"/>
    <x v="4"/>
    <s v="2022"/>
    <x v="246"/>
    <x v="254"/>
    <x v="83"/>
    <x v="1"/>
    <x v="0"/>
  </r>
  <r>
    <x v="72"/>
    <x v="4"/>
    <s v="2022"/>
    <x v="247"/>
    <x v="194"/>
    <x v="50"/>
    <x v="4"/>
    <x v="0"/>
  </r>
  <r>
    <x v="72"/>
    <x v="4"/>
    <s v="2022"/>
    <x v="248"/>
    <x v="255"/>
    <x v="39"/>
    <x v="1"/>
    <x v="0"/>
  </r>
  <r>
    <x v="72"/>
    <x v="4"/>
    <s v="2022"/>
    <x v="249"/>
    <x v="256"/>
    <x v="2"/>
    <x v="1"/>
    <x v="0"/>
  </r>
  <r>
    <x v="72"/>
    <x v="4"/>
    <s v="2022"/>
    <x v="29"/>
    <x v="30"/>
    <x v="16"/>
    <x v="1"/>
    <x v="0"/>
  </r>
  <r>
    <x v="72"/>
    <x v="4"/>
    <s v="2022"/>
    <x v="250"/>
    <x v="257"/>
    <x v="2"/>
    <x v="1"/>
    <x v="1"/>
  </r>
  <r>
    <x v="72"/>
    <x v="4"/>
    <s v="2022"/>
    <x v="1"/>
    <x v="61"/>
    <x v="9"/>
    <x v="1"/>
    <x v="0"/>
  </r>
  <r>
    <x v="73"/>
    <x v="4"/>
    <s v="2022"/>
    <x v="251"/>
    <x v="188"/>
    <x v="2"/>
    <x v="2"/>
    <x v="0"/>
  </r>
  <r>
    <x v="74"/>
    <x v="4"/>
    <s v="2022"/>
    <x v="3"/>
    <x v="3"/>
    <x v="2"/>
    <x v="1"/>
    <x v="0"/>
  </r>
  <r>
    <x v="74"/>
    <x v="4"/>
    <s v="2022"/>
    <x v="4"/>
    <x v="4"/>
    <x v="2"/>
    <x v="1"/>
    <x v="0"/>
  </r>
  <r>
    <x v="74"/>
    <x v="4"/>
    <s v="2022"/>
    <x v="98"/>
    <x v="98"/>
    <x v="47"/>
    <x v="1"/>
    <x v="0"/>
  </r>
  <r>
    <x v="74"/>
    <x v="4"/>
    <s v="2022"/>
    <x v="252"/>
    <x v="258"/>
    <x v="2"/>
    <x v="1"/>
    <x v="0"/>
  </r>
  <r>
    <x v="74"/>
    <x v="4"/>
    <s v="2022"/>
    <x v="89"/>
    <x v="259"/>
    <x v="27"/>
    <x v="4"/>
    <x v="0"/>
  </r>
  <r>
    <x v="74"/>
    <x v="4"/>
    <s v="2022"/>
    <x v="245"/>
    <x v="252"/>
    <x v="2"/>
    <x v="1"/>
    <x v="0"/>
  </r>
  <r>
    <x v="74"/>
    <x v="4"/>
    <s v="2022"/>
    <x v="174"/>
    <x v="224"/>
    <x v="2"/>
    <x v="1"/>
    <x v="0"/>
  </r>
  <r>
    <x v="74"/>
    <x v="4"/>
    <s v="2022"/>
    <x v="168"/>
    <x v="260"/>
    <x v="2"/>
    <x v="1"/>
    <x v="0"/>
  </r>
  <r>
    <x v="74"/>
    <x v="4"/>
    <s v="2022"/>
    <x v="183"/>
    <x v="261"/>
    <x v="2"/>
    <x v="1"/>
    <x v="0"/>
  </r>
  <r>
    <x v="74"/>
    <x v="4"/>
    <s v="2022"/>
    <x v="253"/>
    <x v="262"/>
    <x v="2"/>
    <x v="1"/>
    <x v="0"/>
  </r>
  <r>
    <x v="74"/>
    <x v="4"/>
    <s v="2022"/>
    <x v="77"/>
    <x v="225"/>
    <x v="44"/>
    <x v="4"/>
    <x v="0"/>
  </r>
  <r>
    <x v="74"/>
    <x v="4"/>
    <s v="2022"/>
    <x v="254"/>
    <x v="263"/>
    <x v="2"/>
    <x v="1"/>
    <x v="1"/>
  </r>
  <r>
    <x v="74"/>
    <x v="4"/>
    <s v="2022"/>
    <x v="255"/>
    <x v="264"/>
    <x v="2"/>
    <x v="1"/>
    <x v="0"/>
  </r>
  <r>
    <x v="74"/>
    <x v="4"/>
    <s v="2022"/>
    <x v="30"/>
    <x v="31"/>
    <x v="2"/>
    <x v="1"/>
    <x v="0"/>
  </r>
  <r>
    <x v="74"/>
    <x v="4"/>
    <s v="2022"/>
    <x v="256"/>
    <x v="265"/>
    <x v="2"/>
    <x v="1"/>
    <x v="1"/>
  </r>
  <r>
    <x v="75"/>
    <x v="4"/>
    <s v="2022"/>
    <x v="15"/>
    <x v="15"/>
    <x v="2"/>
    <x v="1"/>
    <x v="0"/>
  </r>
  <r>
    <x v="75"/>
    <x v="4"/>
    <s v="2022"/>
    <x v="210"/>
    <x v="215"/>
    <x v="2"/>
    <x v="1"/>
    <x v="0"/>
  </r>
  <r>
    <x v="75"/>
    <x v="4"/>
    <s v="2022"/>
    <x v="188"/>
    <x v="216"/>
    <x v="2"/>
    <x v="1"/>
    <x v="0"/>
  </r>
  <r>
    <x v="75"/>
    <x v="4"/>
    <s v="2022"/>
    <x v="257"/>
    <x v="1"/>
    <x v="2"/>
    <x v="1"/>
    <x v="0"/>
  </r>
  <r>
    <x v="75"/>
    <x v="4"/>
    <s v="2022"/>
    <x v="139"/>
    <x v="99"/>
    <x v="46"/>
    <x v="4"/>
    <x v="0"/>
  </r>
  <r>
    <x v="75"/>
    <x v="4"/>
    <s v="2022"/>
    <x v="123"/>
    <x v="123"/>
    <x v="2"/>
    <x v="1"/>
    <x v="0"/>
  </r>
  <r>
    <x v="75"/>
    <x v="4"/>
    <s v="2022"/>
    <x v="124"/>
    <x v="124"/>
    <x v="2"/>
    <x v="1"/>
    <x v="0"/>
  </r>
  <r>
    <x v="75"/>
    <x v="4"/>
    <s v="2022"/>
    <x v="258"/>
    <x v="266"/>
    <x v="13"/>
    <x v="1"/>
    <x v="0"/>
  </r>
  <r>
    <x v="75"/>
    <x v="4"/>
    <s v="2022"/>
    <x v="222"/>
    <x v="267"/>
    <x v="2"/>
    <x v="1"/>
    <x v="1"/>
  </r>
  <r>
    <x v="75"/>
    <x v="4"/>
    <s v="2022"/>
    <x v="259"/>
    <x v="268"/>
    <x v="84"/>
    <x v="4"/>
    <x v="0"/>
  </r>
  <r>
    <x v="75"/>
    <x v="4"/>
    <s v="2022"/>
    <x v="260"/>
    <x v="194"/>
    <x v="79"/>
    <x v="1"/>
    <x v="0"/>
  </r>
  <r>
    <x v="75"/>
    <x v="4"/>
    <s v="2022"/>
    <x v="261"/>
    <x v="269"/>
    <x v="2"/>
    <x v="1"/>
    <x v="1"/>
  </r>
  <r>
    <x v="75"/>
    <x v="4"/>
    <s v="2022"/>
    <x v="202"/>
    <x v="270"/>
    <x v="2"/>
    <x v="1"/>
    <x v="1"/>
  </r>
  <r>
    <x v="75"/>
    <x v="4"/>
    <s v="2022"/>
    <x v="262"/>
    <x v="230"/>
    <x v="2"/>
    <x v="1"/>
    <x v="1"/>
  </r>
  <r>
    <x v="76"/>
    <x v="4"/>
    <s v="2022"/>
    <x v="263"/>
    <x v="129"/>
    <x v="21"/>
    <x v="5"/>
    <x v="0"/>
  </r>
  <r>
    <x v="77"/>
    <x v="4"/>
    <s v="2022"/>
    <x v="138"/>
    <x v="98"/>
    <x v="79"/>
    <x v="1"/>
    <x v="0"/>
  </r>
  <r>
    <x v="77"/>
    <x v="4"/>
    <s v="2022"/>
    <x v="251"/>
    <x v="188"/>
    <x v="2"/>
    <x v="1"/>
    <x v="0"/>
  </r>
  <r>
    <x v="77"/>
    <x v="4"/>
    <s v="2022"/>
    <x v="264"/>
    <x v="271"/>
    <x v="2"/>
    <x v="1"/>
    <x v="0"/>
  </r>
  <r>
    <x v="77"/>
    <x v="4"/>
    <s v="2022"/>
    <x v="265"/>
    <x v="272"/>
    <x v="2"/>
    <x v="1"/>
    <x v="0"/>
  </r>
  <r>
    <x v="77"/>
    <x v="4"/>
    <s v="2022"/>
    <x v="266"/>
    <x v="273"/>
    <x v="7"/>
    <x v="2"/>
    <x v="0"/>
  </r>
  <r>
    <x v="77"/>
    <x v="4"/>
    <s v="2022"/>
    <x v="267"/>
    <x v="274"/>
    <x v="36"/>
    <x v="1"/>
    <x v="0"/>
  </r>
  <r>
    <x v="78"/>
    <x v="5"/>
    <s v="2022"/>
    <x v="268"/>
    <x v="101"/>
    <x v="13"/>
    <x v="1"/>
    <x v="0"/>
  </r>
  <r>
    <x v="79"/>
    <x v="5"/>
    <s v="2022"/>
    <x v="1"/>
    <x v="61"/>
    <x v="18"/>
    <x v="1"/>
    <x v="0"/>
  </r>
  <r>
    <x v="80"/>
    <x v="5"/>
    <s v="2022"/>
    <x v="269"/>
    <x v="15"/>
    <x v="23"/>
    <x v="1"/>
    <x v="0"/>
  </r>
  <r>
    <x v="80"/>
    <x v="5"/>
    <s v="2022"/>
    <x v="270"/>
    <x v="275"/>
    <x v="54"/>
    <x v="1"/>
    <x v="0"/>
  </r>
  <r>
    <x v="81"/>
    <x v="5"/>
    <s v="2022"/>
    <x v="271"/>
    <x v="276"/>
    <x v="61"/>
    <x v="1"/>
    <x v="0"/>
  </r>
  <r>
    <x v="81"/>
    <x v="5"/>
    <s v="2022"/>
    <x v="272"/>
    <x v="193"/>
    <x v="44"/>
    <x v="1"/>
    <x v="0"/>
  </r>
  <r>
    <x v="81"/>
    <x v="5"/>
    <s v="2022"/>
    <x v="1"/>
    <x v="61"/>
    <x v="32"/>
    <x v="1"/>
    <x v="0"/>
  </r>
  <r>
    <x v="82"/>
    <x v="5"/>
    <s v="2022"/>
    <x v="1"/>
    <x v="61"/>
    <x v="79"/>
    <x v="1"/>
    <x v="0"/>
  </r>
  <r>
    <x v="82"/>
    <x v="5"/>
    <s v="2022"/>
    <x v="1"/>
    <x v="61"/>
    <x v="52"/>
    <x v="1"/>
    <x v="0"/>
  </r>
  <r>
    <x v="83"/>
    <x v="5"/>
    <s v="2022"/>
    <x v="273"/>
    <x v="277"/>
    <x v="7"/>
    <x v="1"/>
    <x v="0"/>
  </r>
  <r>
    <x v="83"/>
    <x v="5"/>
    <s v="2022"/>
    <x v="116"/>
    <x v="1"/>
    <x v="39"/>
    <x v="1"/>
    <x v="0"/>
  </r>
  <r>
    <x v="83"/>
    <x v="5"/>
    <s v="2022"/>
    <x v="274"/>
    <x v="81"/>
    <x v="32"/>
    <x v="0"/>
    <x v="0"/>
  </r>
  <r>
    <x v="84"/>
    <x v="5"/>
    <s v="2022"/>
    <x v="264"/>
    <x v="278"/>
    <x v="2"/>
    <x v="1"/>
    <x v="0"/>
  </r>
  <r>
    <x v="84"/>
    <x v="5"/>
    <s v="2022"/>
    <x v="275"/>
    <x v="279"/>
    <x v="69"/>
    <x v="1"/>
    <x v="0"/>
  </r>
  <r>
    <x v="85"/>
    <x v="5"/>
    <s v="2022"/>
    <x v="148"/>
    <x v="280"/>
    <x v="59"/>
    <x v="1"/>
    <x v="0"/>
  </r>
  <r>
    <x v="86"/>
    <x v="5"/>
    <s v="2022"/>
    <x v="276"/>
    <x v="281"/>
    <x v="85"/>
    <x v="1"/>
    <x v="0"/>
  </r>
  <r>
    <x v="87"/>
    <x v="5"/>
    <s v="2022"/>
    <x v="245"/>
    <x v="252"/>
    <x v="2"/>
    <x v="0"/>
    <x v="0"/>
  </r>
  <r>
    <x v="87"/>
    <x v="5"/>
    <s v="2022"/>
    <x v="245"/>
    <x v="252"/>
    <x v="2"/>
    <x v="0"/>
    <x v="0"/>
  </r>
  <r>
    <x v="87"/>
    <x v="5"/>
    <s v="2022"/>
    <x v="174"/>
    <x v="224"/>
    <x v="2"/>
    <x v="0"/>
    <x v="0"/>
  </r>
  <r>
    <x v="88"/>
    <x v="5"/>
    <s v="2022"/>
    <x v="277"/>
    <x v="282"/>
    <x v="37"/>
    <x v="0"/>
    <x v="0"/>
  </r>
  <r>
    <x v="88"/>
    <x v="5"/>
    <s v="2022"/>
    <x v="278"/>
    <x v="119"/>
    <x v="83"/>
    <x v="0"/>
    <x v="0"/>
  </r>
  <r>
    <x v="89"/>
    <x v="5"/>
    <s v="2022"/>
    <x v="279"/>
    <x v="283"/>
    <x v="86"/>
    <x v="0"/>
    <x v="0"/>
  </r>
  <r>
    <x v="89"/>
    <x v="5"/>
    <s v="2022"/>
    <x v="218"/>
    <x v="284"/>
    <x v="32"/>
    <x v="1"/>
    <x v="0"/>
  </r>
  <r>
    <x v="90"/>
    <x v="5"/>
    <s v="2022"/>
    <x v="123"/>
    <x v="285"/>
    <x v="50"/>
    <x v="1"/>
    <x v="0"/>
  </r>
  <r>
    <x v="90"/>
    <x v="5"/>
    <s v="2022"/>
    <x v="280"/>
    <x v="286"/>
    <x v="27"/>
    <x v="0"/>
    <x v="0"/>
  </r>
  <r>
    <x v="90"/>
    <x v="5"/>
    <s v="2022"/>
    <x v="246"/>
    <x v="162"/>
    <x v="87"/>
    <x v="1"/>
    <x v="0"/>
  </r>
  <r>
    <x v="91"/>
    <x v="6"/>
    <s v="2022"/>
    <x v="281"/>
    <x v="287"/>
    <x v="7"/>
    <x v="0"/>
    <x v="0"/>
  </r>
  <r>
    <x v="92"/>
    <x v="6"/>
    <s v="2022"/>
    <x v="159"/>
    <x v="288"/>
    <x v="31"/>
    <x v="1"/>
    <x v="0"/>
  </r>
  <r>
    <x v="93"/>
    <x v="6"/>
    <s v="2022"/>
    <x v="282"/>
    <x v="200"/>
    <x v="19"/>
    <x v="0"/>
    <x v="0"/>
  </r>
  <r>
    <x v="94"/>
    <x v="6"/>
    <s v="2022"/>
    <x v="98"/>
    <x v="289"/>
    <x v="36"/>
    <x v="0"/>
    <x v="0"/>
  </r>
  <r>
    <x v="94"/>
    <x v="6"/>
    <s v="2022"/>
    <x v="283"/>
    <x v="290"/>
    <x v="73"/>
    <x v="1"/>
    <x v="0"/>
  </r>
  <r>
    <x v="94"/>
    <x v="6"/>
    <s v="2022"/>
    <x v="51"/>
    <x v="291"/>
    <x v="30"/>
    <x v="1"/>
    <x v="0"/>
  </r>
  <r>
    <x v="95"/>
    <x v="6"/>
    <s v="2022"/>
    <x v="284"/>
    <x v="63"/>
    <x v="14"/>
    <x v="0"/>
    <x v="0"/>
  </r>
  <r>
    <x v="95"/>
    <x v="6"/>
    <s v="2022"/>
    <x v="285"/>
    <x v="21"/>
    <x v="3"/>
    <x v="0"/>
    <x v="0"/>
  </r>
  <r>
    <x v="96"/>
    <x v="6"/>
    <s v="2022"/>
    <x v="263"/>
    <x v="24"/>
    <x v="2"/>
    <x v="0"/>
    <x v="0"/>
  </r>
  <r>
    <x v="96"/>
    <x v="6"/>
    <s v="2022"/>
    <x v="286"/>
    <x v="292"/>
    <x v="2"/>
    <x v="0"/>
    <x v="0"/>
  </r>
  <r>
    <x v="96"/>
    <x v="6"/>
    <s v="2022"/>
    <x v="287"/>
    <x v="293"/>
    <x v="2"/>
    <x v="0"/>
    <x v="0"/>
  </r>
  <r>
    <x v="96"/>
    <x v="6"/>
    <s v="2022"/>
    <x v="288"/>
    <x v="294"/>
    <x v="7"/>
    <x v="0"/>
    <x v="0"/>
  </r>
  <r>
    <x v="96"/>
    <x v="6"/>
    <s v="2022"/>
    <x v="257"/>
    <x v="295"/>
    <x v="27"/>
    <x v="4"/>
    <x v="0"/>
  </r>
  <r>
    <x v="96"/>
    <x v="6"/>
    <s v="2022"/>
    <x v="204"/>
    <x v="296"/>
    <x v="2"/>
    <x v="0"/>
    <x v="0"/>
  </r>
  <r>
    <x v="96"/>
    <x v="6"/>
    <s v="2022"/>
    <x v="289"/>
    <x v="297"/>
    <x v="2"/>
    <x v="0"/>
    <x v="0"/>
  </r>
  <r>
    <x v="96"/>
    <x v="6"/>
    <s v="2022"/>
    <x v="290"/>
    <x v="168"/>
    <x v="2"/>
    <x v="0"/>
    <x v="0"/>
  </r>
  <r>
    <x v="96"/>
    <x v="6"/>
    <s v="2022"/>
    <x v="169"/>
    <x v="111"/>
    <x v="88"/>
    <x v="0"/>
    <x v="0"/>
  </r>
  <r>
    <x v="96"/>
    <x v="6"/>
    <s v="2022"/>
    <x v="291"/>
    <x v="126"/>
    <x v="37"/>
    <x v="0"/>
    <x v="0"/>
  </r>
  <r>
    <x v="97"/>
    <x v="6"/>
    <s v="2022"/>
    <x v="279"/>
    <x v="298"/>
    <x v="21"/>
    <x v="0"/>
    <x v="0"/>
  </r>
  <r>
    <x v="97"/>
    <x v="6"/>
    <s v="2022"/>
    <x v="292"/>
    <x v="299"/>
    <x v="2"/>
    <x v="0"/>
    <x v="0"/>
  </r>
  <r>
    <x v="97"/>
    <x v="6"/>
    <s v="2022"/>
    <x v="293"/>
    <x v="300"/>
    <x v="2"/>
    <x v="0"/>
    <x v="0"/>
  </r>
  <r>
    <x v="97"/>
    <x v="6"/>
    <s v="2022"/>
    <x v="294"/>
    <x v="301"/>
    <x v="2"/>
    <x v="0"/>
    <x v="0"/>
  </r>
  <r>
    <x v="97"/>
    <x v="6"/>
    <s v="2022"/>
    <x v="295"/>
    <x v="302"/>
    <x v="2"/>
    <x v="0"/>
    <x v="0"/>
  </r>
  <r>
    <x v="97"/>
    <x v="6"/>
    <s v="2022"/>
    <x v="296"/>
    <x v="303"/>
    <x v="6"/>
    <x v="0"/>
    <x v="0"/>
  </r>
  <r>
    <x v="97"/>
    <x v="6"/>
    <s v="2022"/>
    <x v="297"/>
    <x v="13"/>
    <x v="13"/>
    <x v="4"/>
    <x v="0"/>
  </r>
  <r>
    <x v="97"/>
    <x v="6"/>
    <s v="2022"/>
    <x v="112"/>
    <x v="113"/>
    <x v="2"/>
    <x v="0"/>
    <x v="0"/>
  </r>
  <r>
    <x v="97"/>
    <x v="6"/>
    <s v="2022"/>
    <x v="234"/>
    <x v="242"/>
    <x v="2"/>
    <x v="0"/>
    <x v="0"/>
  </r>
  <r>
    <x v="97"/>
    <x v="6"/>
    <s v="2022"/>
    <x v="138"/>
    <x v="215"/>
    <x v="83"/>
    <x v="0"/>
    <x v="0"/>
  </r>
  <r>
    <x v="98"/>
    <x v="6"/>
    <s v="2022"/>
    <x v="130"/>
    <x v="304"/>
    <x v="65"/>
    <x v="0"/>
    <x v="0"/>
  </r>
  <r>
    <x v="99"/>
    <x v="6"/>
    <s v="2022"/>
    <x v="1"/>
    <x v="61"/>
    <x v="89"/>
    <x v="0"/>
    <x v="0"/>
  </r>
  <r>
    <x v="99"/>
    <x v="6"/>
    <s v="2022"/>
    <x v="255"/>
    <x v="305"/>
    <x v="30"/>
    <x v="0"/>
    <x v="0"/>
  </r>
  <r>
    <x v="100"/>
    <x v="6"/>
    <s v="2022"/>
    <x v="18"/>
    <x v="306"/>
    <x v="11"/>
    <x v="0"/>
    <x v="0"/>
  </r>
  <r>
    <x v="100"/>
    <x v="6"/>
    <s v="2022"/>
    <x v="298"/>
    <x v="307"/>
    <x v="59"/>
    <x v="0"/>
    <x v="0"/>
  </r>
  <r>
    <x v="100"/>
    <x v="6"/>
    <s v="2022"/>
    <x v="54"/>
    <x v="308"/>
    <x v="28"/>
    <x v="0"/>
    <x v="0"/>
  </r>
  <r>
    <x v="101"/>
    <x v="6"/>
    <s v="2022"/>
    <x v="299"/>
    <x v="115"/>
    <x v="60"/>
    <x v="0"/>
    <x v="0"/>
  </r>
  <r>
    <x v="101"/>
    <x v="6"/>
    <s v="2022"/>
    <x v="300"/>
    <x v="23"/>
    <x v="26"/>
    <x v="0"/>
    <x v="0"/>
  </r>
  <r>
    <x v="101"/>
    <x v="6"/>
    <s v="2022"/>
    <x v="278"/>
    <x v="240"/>
    <x v="79"/>
    <x v="0"/>
    <x v="0"/>
  </r>
  <r>
    <x v="101"/>
    <x v="6"/>
    <s v="2022"/>
    <x v="4"/>
    <x v="132"/>
    <x v="23"/>
    <x v="0"/>
    <x v="0"/>
  </r>
  <r>
    <x v="102"/>
    <x v="6"/>
    <s v="2022"/>
    <x v="301"/>
    <x v="73"/>
    <x v="38"/>
    <x v="0"/>
    <x v="0"/>
  </r>
  <r>
    <x v="102"/>
    <x v="6"/>
    <s v="2022"/>
    <x v="302"/>
    <x v="309"/>
    <x v="86"/>
    <x v="0"/>
    <x v="0"/>
  </r>
  <r>
    <x v="102"/>
    <x v="6"/>
    <s v="2022"/>
    <x v="132"/>
    <x v="310"/>
    <x v="12"/>
    <x v="0"/>
    <x v="0"/>
  </r>
  <r>
    <x v="102"/>
    <x v="6"/>
    <s v="2022"/>
    <x v="133"/>
    <x v="311"/>
    <x v="60"/>
    <x v="0"/>
    <x v="0"/>
  </r>
  <r>
    <x v="102"/>
    <x v="6"/>
    <s v="2022"/>
    <x v="205"/>
    <x v="312"/>
    <x v="8"/>
    <x v="0"/>
    <x v="0"/>
  </r>
  <r>
    <x v="102"/>
    <x v="6"/>
    <s v="2022"/>
    <x v="303"/>
    <x v="313"/>
    <x v="14"/>
    <x v="0"/>
    <x v="0"/>
  </r>
  <r>
    <x v="103"/>
    <x v="6"/>
    <s v="2022"/>
    <x v="304"/>
    <x v="314"/>
    <x v="45"/>
    <x v="0"/>
    <x v="0"/>
  </r>
  <r>
    <x v="103"/>
    <x v="6"/>
    <s v="2022"/>
    <x v="234"/>
    <x v="315"/>
    <x v="38"/>
    <x v="0"/>
    <x v="0"/>
  </r>
  <r>
    <x v="103"/>
    <x v="6"/>
    <s v="2022"/>
    <x v="199"/>
    <x v="316"/>
    <x v="90"/>
    <x v="0"/>
    <x v="0"/>
  </r>
  <r>
    <x v="104"/>
    <x v="6"/>
    <s v="2022"/>
    <x v="305"/>
    <x v="317"/>
    <x v="26"/>
    <x v="0"/>
    <x v="0"/>
  </r>
  <r>
    <x v="105"/>
    <x v="6"/>
    <s v="2022"/>
    <x v="306"/>
    <x v="318"/>
    <x v="1"/>
    <x v="0"/>
    <x v="0"/>
  </r>
  <r>
    <x v="105"/>
    <x v="6"/>
    <s v="2022"/>
    <x v="307"/>
    <x v="319"/>
    <x v="14"/>
    <x v="0"/>
    <x v="0"/>
  </r>
  <r>
    <x v="105"/>
    <x v="6"/>
    <s v="2022"/>
    <x v="308"/>
    <x v="200"/>
    <x v="42"/>
    <x v="0"/>
    <x v="0"/>
  </r>
  <r>
    <x v="105"/>
    <x v="6"/>
    <s v="2022"/>
    <x v="309"/>
    <x v="174"/>
    <x v="49"/>
    <x v="0"/>
    <x v="0"/>
  </r>
  <r>
    <x v="106"/>
    <x v="6"/>
    <s v="2022"/>
    <x v="310"/>
    <x v="13"/>
    <x v="73"/>
    <x v="5"/>
    <x v="0"/>
  </r>
  <r>
    <x v="107"/>
    <x v="6"/>
    <s v="2022"/>
    <x v="304"/>
    <x v="308"/>
    <x v="31"/>
    <x v="0"/>
    <x v="0"/>
  </r>
  <r>
    <x v="107"/>
    <x v="6"/>
    <s v="2022"/>
    <x v="297"/>
    <x v="147"/>
    <x v="38"/>
    <x v="0"/>
    <x v="0"/>
  </r>
  <r>
    <x v="107"/>
    <x v="6"/>
    <s v="2022"/>
    <x v="287"/>
    <x v="241"/>
    <x v="91"/>
    <x v="0"/>
    <x v="0"/>
  </r>
  <r>
    <x v="107"/>
    <x v="6"/>
    <s v="2022"/>
    <x v="311"/>
    <x v="320"/>
    <x v="68"/>
    <x v="0"/>
    <x v="0"/>
  </r>
  <r>
    <x v="108"/>
    <x v="6"/>
    <s v="2022"/>
    <x v="312"/>
    <x v="321"/>
    <x v="30"/>
    <x v="0"/>
    <x v="0"/>
  </r>
  <r>
    <x v="108"/>
    <x v="6"/>
    <s v="2022"/>
    <x v="313"/>
    <x v="322"/>
    <x v="62"/>
    <x v="0"/>
    <x v="0"/>
  </r>
  <r>
    <x v="108"/>
    <x v="6"/>
    <s v="2022"/>
    <x v="233"/>
    <x v="323"/>
    <x v="40"/>
    <x v="0"/>
    <x v="0"/>
  </r>
  <r>
    <x v="109"/>
    <x v="6"/>
    <s v="2022"/>
    <x v="1"/>
    <x v="61"/>
    <x v="0"/>
    <x v="0"/>
    <x v="0"/>
  </r>
  <r>
    <x v="109"/>
    <x v="6"/>
    <s v="2022"/>
    <x v="314"/>
    <x v="324"/>
    <x v="28"/>
    <x v="0"/>
    <x v="0"/>
  </r>
  <r>
    <x v="110"/>
    <x v="6"/>
    <s v="2022"/>
    <x v="252"/>
    <x v="325"/>
    <x v="92"/>
    <x v="0"/>
    <x v="0"/>
  </r>
  <r>
    <x v="110"/>
    <x v="6"/>
    <s v="2022"/>
    <x v="275"/>
    <x v="326"/>
    <x v="86"/>
    <x v="0"/>
    <x v="0"/>
  </r>
  <r>
    <x v="111"/>
    <x v="6"/>
    <s v="2022"/>
    <x v="315"/>
    <x v="327"/>
    <x v="27"/>
    <x v="0"/>
    <x v="0"/>
  </r>
  <r>
    <x v="111"/>
    <x v="6"/>
    <s v="2022"/>
    <x v="316"/>
    <x v="328"/>
    <x v="31"/>
    <x v="0"/>
    <x v="0"/>
  </r>
  <r>
    <x v="112"/>
    <x v="6"/>
    <s v="2022"/>
    <x v="317"/>
    <x v="329"/>
    <x v="52"/>
    <x v="0"/>
    <x v="0"/>
  </r>
  <r>
    <x v="113"/>
    <x v="6"/>
    <s v="2022"/>
    <x v="318"/>
    <x v="330"/>
    <x v="22"/>
    <x v="0"/>
    <x v="0"/>
  </r>
  <r>
    <x v="113"/>
    <x v="6"/>
    <s v="2022"/>
    <x v="218"/>
    <x v="250"/>
    <x v="22"/>
    <x v="0"/>
    <x v="0"/>
  </r>
  <r>
    <x v="113"/>
    <x v="6"/>
    <s v="2022"/>
    <x v="319"/>
    <x v="241"/>
    <x v="67"/>
    <x v="0"/>
    <x v="0"/>
  </r>
  <r>
    <x v="113"/>
    <x v="6"/>
    <s v="2022"/>
    <x v="100"/>
    <x v="316"/>
    <x v="29"/>
    <x v="0"/>
    <x v="0"/>
  </r>
  <r>
    <x v="113"/>
    <x v="6"/>
    <s v="2022"/>
    <x v="320"/>
    <x v="331"/>
    <x v="11"/>
    <x v="0"/>
    <x v="0"/>
  </r>
  <r>
    <x v="113"/>
    <x v="6"/>
    <s v="2022"/>
    <x v="232"/>
    <x v="270"/>
    <x v="49"/>
    <x v="0"/>
    <x v="0"/>
  </r>
  <r>
    <x v="114"/>
    <x v="7"/>
    <s v="2022"/>
    <x v="214"/>
    <x v="220"/>
    <x v="2"/>
    <x v="3"/>
    <x v="0"/>
  </r>
  <r>
    <x v="114"/>
    <x v="7"/>
    <s v="2022"/>
    <x v="254"/>
    <x v="263"/>
    <x v="2"/>
    <x v="0"/>
    <x v="0"/>
  </r>
  <r>
    <x v="114"/>
    <x v="7"/>
    <s v="2022"/>
    <x v="255"/>
    <x v="264"/>
    <x v="27"/>
    <x v="0"/>
    <x v="0"/>
  </r>
  <r>
    <x v="115"/>
    <x v="7"/>
    <s v="2022"/>
    <x v="13"/>
    <x v="13"/>
    <x v="2"/>
    <x v="0"/>
    <x v="0"/>
  </r>
  <r>
    <x v="115"/>
    <x v="7"/>
    <s v="2022"/>
    <x v="14"/>
    <x v="14"/>
    <x v="2"/>
    <x v="0"/>
    <x v="0"/>
  </r>
  <r>
    <x v="115"/>
    <x v="7"/>
    <s v="2022"/>
    <x v="15"/>
    <x v="15"/>
    <x v="2"/>
    <x v="0"/>
    <x v="0"/>
  </r>
  <r>
    <x v="115"/>
    <x v="7"/>
    <s v="2022"/>
    <x v="16"/>
    <x v="16"/>
    <x v="2"/>
    <x v="0"/>
    <x v="0"/>
  </r>
  <r>
    <x v="115"/>
    <x v="7"/>
    <s v="2022"/>
    <x v="321"/>
    <x v="324"/>
    <x v="27"/>
    <x v="0"/>
    <x v="0"/>
  </r>
  <r>
    <x v="116"/>
    <x v="7"/>
    <s v="2022"/>
    <x v="322"/>
    <x v="2"/>
    <x v="38"/>
    <x v="0"/>
    <x v="0"/>
  </r>
  <r>
    <x v="116"/>
    <x v="7"/>
    <s v="2022"/>
    <x v="323"/>
    <x v="332"/>
    <x v="5"/>
    <x v="0"/>
    <x v="0"/>
  </r>
  <r>
    <x v="117"/>
    <x v="7"/>
    <s v="2022"/>
    <x v="52"/>
    <x v="333"/>
    <x v="57"/>
    <x v="0"/>
    <x v="0"/>
  </r>
  <r>
    <x v="117"/>
    <x v="7"/>
    <s v="2022"/>
    <x v="13"/>
    <x v="334"/>
    <x v="83"/>
    <x v="0"/>
    <x v="0"/>
  </r>
  <r>
    <x v="117"/>
    <x v="7"/>
    <s v="2022"/>
    <x v="317"/>
    <x v="86"/>
    <x v="69"/>
    <x v="0"/>
    <x v="0"/>
  </r>
  <r>
    <x v="117"/>
    <x v="7"/>
    <s v="2022"/>
    <x v="243"/>
    <x v="335"/>
    <x v="93"/>
    <x v="0"/>
    <x v="0"/>
  </r>
  <r>
    <x v="117"/>
    <x v="7"/>
    <s v="2022"/>
    <x v="31"/>
    <x v="32"/>
    <x v="2"/>
    <x v="0"/>
    <x v="0"/>
  </r>
  <r>
    <x v="117"/>
    <x v="7"/>
    <s v="2022"/>
    <x v="25"/>
    <x v="25"/>
    <x v="2"/>
    <x v="0"/>
    <x v="0"/>
  </r>
  <r>
    <x v="118"/>
    <x v="7"/>
    <s v="2022"/>
    <x v="324"/>
    <x v="336"/>
    <x v="8"/>
    <x v="0"/>
    <x v="0"/>
  </r>
  <r>
    <x v="118"/>
    <x v="7"/>
    <s v="2022"/>
    <x v="116"/>
    <x v="337"/>
    <x v="86"/>
    <x v="0"/>
    <x v="0"/>
  </r>
  <r>
    <x v="118"/>
    <x v="7"/>
    <s v="2022"/>
    <x v="325"/>
    <x v="113"/>
    <x v="8"/>
    <x v="0"/>
    <x v="0"/>
  </r>
  <r>
    <x v="118"/>
    <x v="7"/>
    <s v="2022"/>
    <x v="326"/>
    <x v="329"/>
    <x v="50"/>
    <x v="0"/>
    <x v="0"/>
  </r>
  <r>
    <x v="119"/>
    <x v="7"/>
    <s v="2022"/>
    <x v="327"/>
    <x v="48"/>
    <x v="18"/>
    <x v="3"/>
    <x v="0"/>
  </r>
  <r>
    <x v="120"/>
    <x v="7"/>
    <s v="2022"/>
    <x v="328"/>
    <x v="338"/>
    <x v="14"/>
    <x v="0"/>
    <x v="0"/>
  </r>
  <r>
    <x v="120"/>
    <x v="7"/>
    <s v="2022"/>
    <x v="329"/>
    <x v="339"/>
    <x v="47"/>
    <x v="0"/>
    <x v="0"/>
  </r>
  <r>
    <x v="120"/>
    <x v="7"/>
    <s v="2022"/>
    <x v="147"/>
    <x v="329"/>
    <x v="31"/>
    <x v="0"/>
    <x v="0"/>
  </r>
  <r>
    <x v="120"/>
    <x v="7"/>
    <s v="2022"/>
    <x v="330"/>
    <x v="251"/>
    <x v="72"/>
    <x v="0"/>
    <x v="0"/>
  </r>
  <r>
    <x v="121"/>
    <x v="7"/>
    <s v="2022"/>
    <x v="13"/>
    <x v="13"/>
    <x v="2"/>
    <x v="3"/>
    <x v="0"/>
  </r>
  <r>
    <x v="121"/>
    <x v="7"/>
    <s v="2022"/>
    <x v="14"/>
    <x v="120"/>
    <x v="21"/>
    <x v="0"/>
    <x v="0"/>
  </r>
  <r>
    <x v="122"/>
    <x v="7"/>
    <s v="2022"/>
    <x v="14"/>
    <x v="14"/>
    <x v="2"/>
    <x v="0"/>
    <x v="0"/>
  </r>
  <r>
    <x v="122"/>
    <x v="7"/>
    <s v="2022"/>
    <x v="15"/>
    <x v="15"/>
    <x v="2"/>
    <x v="0"/>
    <x v="0"/>
  </r>
  <r>
    <x v="122"/>
    <x v="7"/>
    <s v="2022"/>
    <x v="210"/>
    <x v="215"/>
    <x v="2"/>
    <x v="0"/>
    <x v="0"/>
  </r>
  <r>
    <x v="122"/>
    <x v="7"/>
    <s v="2022"/>
    <x v="331"/>
    <x v="327"/>
    <x v="6"/>
    <x v="0"/>
    <x v="0"/>
  </r>
  <r>
    <x v="122"/>
    <x v="7"/>
    <s v="2022"/>
    <x v="332"/>
    <x v="93"/>
    <x v="27"/>
    <x v="4"/>
    <x v="0"/>
  </r>
  <r>
    <x v="122"/>
    <x v="7"/>
    <s v="2022"/>
    <x v="47"/>
    <x v="48"/>
    <x v="2"/>
    <x v="0"/>
    <x v="0"/>
  </r>
  <r>
    <x v="122"/>
    <x v="7"/>
    <s v="2022"/>
    <x v="48"/>
    <x v="49"/>
    <x v="2"/>
    <x v="0"/>
    <x v="0"/>
  </r>
  <r>
    <x v="122"/>
    <x v="7"/>
    <s v="2022"/>
    <x v="50"/>
    <x v="51"/>
    <x v="2"/>
    <x v="0"/>
    <x v="0"/>
  </r>
  <r>
    <x v="122"/>
    <x v="7"/>
    <s v="2022"/>
    <x v="94"/>
    <x v="94"/>
    <x v="2"/>
    <x v="0"/>
    <x v="0"/>
  </r>
  <r>
    <x v="122"/>
    <x v="7"/>
    <s v="2022"/>
    <x v="291"/>
    <x v="103"/>
    <x v="94"/>
    <x v="4"/>
    <x v="0"/>
  </r>
  <r>
    <x v="122"/>
    <x v="7"/>
    <s v="2022"/>
    <x v="333"/>
    <x v="183"/>
    <x v="2"/>
    <x v="0"/>
    <x v="0"/>
  </r>
  <r>
    <x v="122"/>
    <x v="7"/>
    <s v="2022"/>
    <x v="164"/>
    <x v="163"/>
    <x v="2"/>
    <x v="0"/>
    <x v="0"/>
  </r>
  <r>
    <x v="122"/>
    <x v="7"/>
    <s v="2022"/>
    <x v="165"/>
    <x v="164"/>
    <x v="7"/>
    <x v="0"/>
    <x v="0"/>
  </r>
  <r>
    <x v="123"/>
    <x v="7"/>
    <s v="2022"/>
    <x v="334"/>
    <x v="340"/>
    <x v="15"/>
    <x v="0"/>
    <x v="0"/>
  </r>
  <r>
    <x v="123"/>
    <x v="7"/>
    <s v="2022"/>
    <x v="335"/>
    <x v="341"/>
    <x v="79"/>
    <x v="0"/>
    <x v="0"/>
  </r>
  <r>
    <x v="123"/>
    <x v="7"/>
    <s v="2022"/>
    <x v="336"/>
    <x v="92"/>
    <x v="14"/>
    <x v="0"/>
    <x v="0"/>
  </r>
  <r>
    <x v="123"/>
    <x v="7"/>
    <s v="2022"/>
    <x v="252"/>
    <x v="342"/>
    <x v="19"/>
    <x v="0"/>
    <x v="0"/>
  </r>
  <r>
    <x v="123"/>
    <x v="7"/>
    <s v="2022"/>
    <x v="337"/>
    <x v="343"/>
    <x v="2"/>
    <x v="3"/>
    <x v="0"/>
  </r>
  <r>
    <x v="124"/>
    <x v="7"/>
    <s v="2022"/>
    <x v="218"/>
    <x v="344"/>
    <x v="2"/>
    <x v="0"/>
    <x v="0"/>
  </r>
  <r>
    <x v="124"/>
    <x v="7"/>
    <s v="2022"/>
    <x v="305"/>
    <x v="4"/>
    <x v="48"/>
    <x v="0"/>
    <x v="0"/>
  </r>
  <r>
    <x v="124"/>
    <x v="7"/>
    <s v="2022"/>
    <x v="338"/>
    <x v="295"/>
    <x v="76"/>
    <x v="4"/>
    <x v="0"/>
  </r>
  <r>
    <x v="124"/>
    <x v="7"/>
    <s v="2022"/>
    <x v="204"/>
    <x v="296"/>
    <x v="2"/>
    <x v="0"/>
    <x v="0"/>
  </r>
  <r>
    <x v="124"/>
    <x v="7"/>
    <s v="2022"/>
    <x v="289"/>
    <x v="297"/>
    <x v="3"/>
    <x v="0"/>
    <x v="0"/>
  </r>
  <r>
    <x v="125"/>
    <x v="7"/>
    <s v="2022"/>
    <x v="128"/>
    <x v="129"/>
    <x v="2"/>
    <x v="0"/>
    <x v="0"/>
  </r>
  <r>
    <x v="125"/>
    <x v="7"/>
    <s v="2022"/>
    <x v="339"/>
    <x v="345"/>
    <x v="2"/>
    <x v="0"/>
    <x v="0"/>
  </r>
  <r>
    <x v="125"/>
    <x v="7"/>
    <s v="2022"/>
    <x v="148"/>
    <x v="346"/>
    <x v="2"/>
    <x v="0"/>
    <x v="0"/>
  </r>
  <r>
    <x v="125"/>
    <x v="7"/>
    <s v="2022"/>
    <x v="340"/>
    <x v="347"/>
    <x v="65"/>
    <x v="0"/>
    <x v="0"/>
  </r>
  <r>
    <x v="126"/>
    <x v="7"/>
    <s v="2022"/>
    <x v="205"/>
    <x v="348"/>
    <x v="4"/>
    <x v="0"/>
    <x v="0"/>
  </r>
  <r>
    <x v="126"/>
    <x v="7"/>
    <s v="2022"/>
    <x v="225"/>
    <x v="349"/>
    <x v="2"/>
    <x v="0"/>
    <x v="0"/>
  </r>
  <r>
    <x v="126"/>
    <x v="7"/>
    <s v="2022"/>
    <x v="341"/>
    <x v="103"/>
    <x v="37"/>
    <x v="0"/>
    <x v="0"/>
  </r>
  <r>
    <x v="127"/>
    <x v="7"/>
    <s v="2022"/>
    <x v="15"/>
    <x v="15"/>
    <x v="2"/>
    <x v="0"/>
    <x v="0"/>
  </r>
  <r>
    <x v="127"/>
    <x v="7"/>
    <s v="2022"/>
    <x v="210"/>
    <x v="350"/>
    <x v="14"/>
    <x v="0"/>
    <x v="0"/>
  </r>
  <r>
    <x v="127"/>
    <x v="7"/>
    <s v="2022"/>
    <x v="342"/>
    <x v="351"/>
    <x v="95"/>
    <x v="3"/>
    <x v="0"/>
  </r>
  <r>
    <x v="128"/>
    <x v="7"/>
    <s v="2022"/>
    <x v="343"/>
    <x v="2"/>
    <x v="6"/>
    <x v="2"/>
    <x v="0"/>
  </r>
  <r>
    <x v="129"/>
    <x v="7"/>
    <s v="2022"/>
    <x v="334"/>
    <x v="352"/>
    <x v="41"/>
    <x v="3"/>
    <x v="0"/>
  </r>
  <r>
    <x v="129"/>
    <x v="7"/>
    <s v="2022"/>
    <x v="15"/>
    <x v="353"/>
    <x v="84"/>
    <x v="3"/>
    <x v="0"/>
  </r>
  <r>
    <x v="129"/>
    <x v="7"/>
    <s v="2022"/>
    <x v="344"/>
    <x v="290"/>
    <x v="26"/>
    <x v="3"/>
    <x v="0"/>
  </r>
  <r>
    <x v="130"/>
    <x v="7"/>
    <s v="2022"/>
    <x v="13"/>
    <x v="13"/>
    <x v="2"/>
    <x v="0"/>
    <x v="0"/>
  </r>
  <r>
    <x v="130"/>
    <x v="7"/>
    <s v="2022"/>
    <x v="14"/>
    <x v="14"/>
    <x v="57"/>
    <x v="0"/>
    <x v="0"/>
  </r>
  <r>
    <x v="130"/>
    <x v="7"/>
    <s v="2022"/>
    <x v="15"/>
    <x v="15"/>
    <x v="2"/>
    <x v="0"/>
    <x v="0"/>
  </r>
  <r>
    <x v="130"/>
    <x v="7"/>
    <s v="2022"/>
    <x v="16"/>
    <x v="16"/>
    <x v="8"/>
    <x v="0"/>
    <x v="0"/>
  </r>
  <r>
    <x v="130"/>
    <x v="7"/>
    <s v="2022"/>
    <x v="314"/>
    <x v="327"/>
    <x v="39"/>
    <x v="4"/>
    <x v="0"/>
  </r>
  <r>
    <x v="130"/>
    <x v="7"/>
    <s v="2022"/>
    <x v="332"/>
    <x v="354"/>
    <x v="2"/>
    <x v="0"/>
    <x v="0"/>
  </r>
  <r>
    <x v="130"/>
    <x v="7"/>
    <s v="2022"/>
    <x v="139"/>
    <x v="140"/>
    <x v="2"/>
    <x v="0"/>
    <x v="0"/>
  </r>
  <r>
    <x v="130"/>
    <x v="7"/>
    <s v="2022"/>
    <x v="345"/>
    <x v="212"/>
    <x v="2"/>
    <x v="0"/>
    <x v="0"/>
  </r>
  <r>
    <x v="130"/>
    <x v="7"/>
    <s v="2022"/>
    <x v="346"/>
    <x v="206"/>
    <x v="2"/>
    <x v="0"/>
    <x v="0"/>
  </r>
  <r>
    <x v="130"/>
    <x v="7"/>
    <s v="2022"/>
    <x v="102"/>
    <x v="355"/>
    <x v="49"/>
    <x v="4"/>
    <x v="0"/>
  </r>
  <r>
    <x v="130"/>
    <x v="7"/>
    <s v="2022"/>
    <x v="347"/>
    <x v="356"/>
    <x v="2"/>
    <x v="0"/>
    <x v="0"/>
  </r>
  <r>
    <x v="130"/>
    <x v="7"/>
    <s v="2022"/>
    <x v="348"/>
    <x v="169"/>
    <x v="2"/>
    <x v="0"/>
    <x v="0"/>
  </r>
  <r>
    <x v="130"/>
    <x v="7"/>
    <s v="2022"/>
    <x v="349"/>
    <x v="357"/>
    <x v="6"/>
    <x v="0"/>
    <x v="0"/>
  </r>
  <r>
    <x v="131"/>
    <x v="7"/>
    <s v="2022"/>
    <x v="127"/>
    <x v="128"/>
    <x v="2"/>
    <x v="0"/>
    <x v="0"/>
  </r>
  <r>
    <x v="131"/>
    <x v="7"/>
    <s v="2022"/>
    <x v="128"/>
    <x v="129"/>
    <x v="2"/>
    <x v="0"/>
    <x v="0"/>
  </r>
  <r>
    <x v="131"/>
    <x v="7"/>
    <s v="2022"/>
    <x v="339"/>
    <x v="345"/>
    <x v="2"/>
    <x v="0"/>
    <x v="0"/>
  </r>
  <r>
    <x v="131"/>
    <x v="7"/>
    <s v="2022"/>
    <x v="350"/>
    <x v="131"/>
    <x v="2"/>
    <x v="0"/>
    <x v="0"/>
  </r>
  <r>
    <x v="132"/>
    <x v="7"/>
    <s v="2022"/>
    <x v="127"/>
    <x v="128"/>
    <x v="2"/>
    <x v="0"/>
    <x v="0"/>
  </r>
  <r>
    <x v="132"/>
    <x v="7"/>
    <s v="2022"/>
    <x v="128"/>
    <x v="129"/>
    <x v="2"/>
    <x v="0"/>
    <x v="0"/>
  </r>
  <r>
    <x v="132"/>
    <x v="7"/>
    <s v="2022"/>
    <x v="339"/>
    <x v="345"/>
    <x v="2"/>
    <x v="0"/>
    <x v="0"/>
  </r>
  <r>
    <x v="132"/>
    <x v="7"/>
    <s v="2022"/>
    <x v="350"/>
    <x v="131"/>
    <x v="2"/>
    <x v="0"/>
    <x v="0"/>
  </r>
  <r>
    <x v="132"/>
    <x v="7"/>
    <s v="2022"/>
    <x v="131"/>
    <x v="327"/>
    <x v="49"/>
    <x v="4"/>
    <x v="0"/>
  </r>
  <r>
    <x v="132"/>
    <x v="7"/>
    <s v="2022"/>
    <x v="332"/>
    <x v="354"/>
    <x v="8"/>
    <x v="0"/>
    <x v="0"/>
  </r>
  <r>
    <x v="132"/>
    <x v="7"/>
    <s v="2022"/>
    <x v="139"/>
    <x v="140"/>
    <x v="2"/>
    <x v="0"/>
    <x v="1"/>
  </r>
  <r>
    <x v="132"/>
    <x v="7"/>
    <s v="2022"/>
    <x v="345"/>
    <x v="212"/>
    <x v="2"/>
    <x v="0"/>
    <x v="1"/>
  </r>
  <r>
    <x v="133"/>
    <x v="7"/>
    <s v="2022"/>
    <x v="127"/>
    <x v="128"/>
    <x v="10"/>
    <x v="0"/>
    <x v="0"/>
  </r>
  <r>
    <x v="133"/>
    <x v="7"/>
    <s v="2022"/>
    <x v="128"/>
    <x v="129"/>
    <x v="2"/>
    <x v="0"/>
    <x v="0"/>
  </r>
  <r>
    <x v="133"/>
    <x v="7"/>
    <s v="2022"/>
    <x v="339"/>
    <x v="345"/>
    <x v="2"/>
    <x v="0"/>
    <x v="1"/>
  </r>
  <r>
    <x v="133"/>
    <x v="7"/>
    <s v="2022"/>
    <x v="350"/>
    <x v="131"/>
    <x v="2"/>
    <x v="0"/>
    <x v="1"/>
  </r>
  <r>
    <x v="134"/>
    <x v="7"/>
    <s v="2022"/>
    <x v="31"/>
    <x v="32"/>
    <x v="2"/>
    <x v="0"/>
    <x v="0"/>
  </r>
  <r>
    <x v="135"/>
    <x v="7"/>
    <s v="2022"/>
    <x v="109"/>
    <x v="109"/>
    <x v="40"/>
    <x v="0"/>
    <x v="0"/>
  </r>
  <r>
    <x v="135"/>
    <x v="7"/>
    <s v="2022"/>
    <x v="2"/>
    <x v="2"/>
    <x v="2"/>
    <x v="0"/>
    <x v="0"/>
  </r>
  <r>
    <x v="135"/>
    <x v="7"/>
    <s v="2022"/>
    <x v="3"/>
    <x v="3"/>
    <x v="2"/>
    <x v="0"/>
    <x v="0"/>
  </r>
  <r>
    <x v="135"/>
    <x v="7"/>
    <s v="2022"/>
    <x v="243"/>
    <x v="250"/>
    <x v="2"/>
    <x v="0"/>
    <x v="0"/>
  </r>
  <r>
    <x v="135"/>
    <x v="7"/>
    <s v="2022"/>
    <x v="340"/>
    <x v="241"/>
    <x v="39"/>
    <x v="4"/>
    <x v="0"/>
  </r>
  <r>
    <x v="135"/>
    <x v="7"/>
    <s v="2022"/>
    <x v="351"/>
    <x v="358"/>
    <x v="2"/>
    <x v="0"/>
    <x v="0"/>
  </r>
  <r>
    <x v="135"/>
    <x v="7"/>
    <s v="2022"/>
    <x v="89"/>
    <x v="88"/>
    <x v="2"/>
    <x v="0"/>
    <x v="0"/>
  </r>
  <r>
    <x v="135"/>
    <x v="7"/>
    <s v="2022"/>
    <x v="90"/>
    <x v="89"/>
    <x v="2"/>
    <x v="0"/>
    <x v="0"/>
  </r>
  <r>
    <x v="135"/>
    <x v="7"/>
    <s v="2022"/>
    <x v="91"/>
    <x v="90"/>
    <x v="2"/>
    <x v="0"/>
    <x v="0"/>
  </r>
  <r>
    <x v="135"/>
    <x v="7"/>
    <s v="2022"/>
    <x v="352"/>
    <x v="149"/>
    <x v="49"/>
    <x v="4"/>
    <x v="0"/>
  </r>
  <r>
    <x v="135"/>
    <x v="7"/>
    <s v="2022"/>
    <x v="150"/>
    <x v="359"/>
    <x v="2"/>
    <x v="0"/>
    <x v="0"/>
  </r>
  <r>
    <x v="135"/>
    <x v="7"/>
    <s v="2022"/>
    <x v="212"/>
    <x v="360"/>
    <x v="2"/>
    <x v="0"/>
    <x v="0"/>
  </r>
  <r>
    <x v="135"/>
    <x v="7"/>
    <s v="2022"/>
    <x v="353"/>
    <x v="361"/>
    <x v="6"/>
    <x v="0"/>
    <x v="0"/>
  </r>
  <r>
    <x v="135"/>
    <x v="7"/>
    <s v="2022"/>
    <x v="354"/>
    <x v="233"/>
    <x v="2"/>
    <x v="0"/>
    <x v="1"/>
  </r>
  <r>
    <x v="135"/>
    <x v="7"/>
    <s v="2022"/>
    <x v="202"/>
    <x v="270"/>
    <x v="2"/>
    <x v="0"/>
    <x v="0"/>
  </r>
  <r>
    <x v="135"/>
    <x v="7"/>
    <s v="2022"/>
    <x v="355"/>
    <x v="362"/>
    <x v="2"/>
    <x v="0"/>
    <x v="0"/>
  </r>
  <r>
    <x v="136"/>
    <x v="7"/>
    <s v="2022"/>
    <x v="356"/>
    <x v="25"/>
    <x v="88"/>
    <x v="2"/>
    <x v="0"/>
  </r>
  <r>
    <x v="136"/>
    <x v="7"/>
    <s v="2022"/>
    <x v="357"/>
    <x v="363"/>
    <x v="13"/>
    <x v="0"/>
    <x v="0"/>
  </r>
  <r>
    <x v="136"/>
    <x v="7"/>
    <s v="2022"/>
    <x v="358"/>
    <x v="364"/>
    <x v="26"/>
    <x v="0"/>
    <x v="0"/>
  </r>
  <r>
    <x v="137"/>
    <x v="7"/>
    <s v="2022"/>
    <x v="359"/>
    <x v="282"/>
    <x v="2"/>
    <x v="0"/>
    <x v="0"/>
  </r>
  <r>
    <x v="137"/>
    <x v="7"/>
    <s v="2022"/>
    <x v="360"/>
    <x v="338"/>
    <x v="2"/>
    <x v="0"/>
    <x v="0"/>
  </r>
  <r>
    <x v="137"/>
    <x v="7"/>
    <s v="2022"/>
    <x v="13"/>
    <x v="13"/>
    <x v="2"/>
    <x v="0"/>
    <x v="0"/>
  </r>
  <r>
    <x v="137"/>
    <x v="7"/>
    <s v="2022"/>
    <x v="361"/>
    <x v="339"/>
    <x v="6"/>
    <x v="0"/>
    <x v="0"/>
  </r>
  <r>
    <x v="137"/>
    <x v="7"/>
    <s v="2022"/>
    <x v="362"/>
    <x v="365"/>
    <x v="49"/>
    <x v="4"/>
    <x v="0"/>
  </r>
  <r>
    <x v="137"/>
    <x v="7"/>
    <s v="2022"/>
    <x v="120"/>
    <x v="121"/>
    <x v="2"/>
    <x v="0"/>
    <x v="0"/>
  </r>
  <r>
    <x v="137"/>
    <x v="7"/>
    <s v="2022"/>
    <x v="130"/>
    <x v="350"/>
    <x v="2"/>
    <x v="0"/>
    <x v="0"/>
  </r>
  <r>
    <x v="137"/>
    <x v="7"/>
    <s v="2022"/>
    <x v="131"/>
    <x v="132"/>
    <x v="2"/>
    <x v="0"/>
    <x v="0"/>
  </r>
  <r>
    <x v="137"/>
    <x v="7"/>
    <s v="2022"/>
    <x v="363"/>
    <x v="289"/>
    <x v="2"/>
    <x v="0"/>
    <x v="0"/>
  </r>
  <r>
    <x v="137"/>
    <x v="7"/>
    <s v="2022"/>
    <x v="364"/>
    <x v="366"/>
    <x v="49"/>
    <x v="4"/>
    <x v="0"/>
  </r>
  <r>
    <x v="137"/>
    <x v="7"/>
    <s v="2022"/>
    <x v="337"/>
    <x v="343"/>
    <x v="2"/>
    <x v="0"/>
    <x v="0"/>
  </r>
  <r>
    <x v="137"/>
    <x v="7"/>
    <s v="2022"/>
    <x v="365"/>
    <x v="367"/>
    <x v="7"/>
    <x v="0"/>
    <x v="0"/>
  </r>
  <r>
    <x v="138"/>
    <x v="7"/>
    <s v="2022"/>
    <x v="117"/>
    <x v="118"/>
    <x v="2"/>
    <x v="0"/>
    <x v="0"/>
  </r>
  <r>
    <x v="138"/>
    <x v="7"/>
    <s v="2022"/>
    <x v="118"/>
    <x v="119"/>
    <x v="57"/>
    <x v="0"/>
    <x v="0"/>
  </r>
  <r>
    <x v="138"/>
    <x v="7"/>
    <s v="2022"/>
    <x v="119"/>
    <x v="120"/>
    <x v="2"/>
    <x v="0"/>
    <x v="0"/>
  </r>
  <r>
    <x v="138"/>
    <x v="7"/>
    <s v="2022"/>
    <x v="120"/>
    <x v="121"/>
    <x v="7"/>
    <x v="0"/>
    <x v="0"/>
  </r>
  <r>
    <x v="138"/>
    <x v="7"/>
    <s v="2022"/>
    <x v="121"/>
    <x v="329"/>
    <x v="49"/>
    <x v="4"/>
    <x v="0"/>
  </r>
  <r>
    <x v="138"/>
    <x v="7"/>
    <s v="2022"/>
    <x v="243"/>
    <x v="250"/>
    <x v="2"/>
    <x v="0"/>
    <x v="1"/>
  </r>
  <r>
    <x v="138"/>
    <x v="7"/>
    <s v="2022"/>
    <x v="5"/>
    <x v="241"/>
    <x v="2"/>
    <x v="0"/>
    <x v="1"/>
  </r>
  <r>
    <x v="138"/>
    <x v="7"/>
    <s v="2022"/>
    <x v="252"/>
    <x v="258"/>
    <x v="2"/>
    <x v="0"/>
    <x v="1"/>
  </r>
  <r>
    <x v="138"/>
    <x v="7"/>
    <s v="2022"/>
    <x v="337"/>
    <x v="343"/>
    <x v="2"/>
    <x v="0"/>
    <x v="1"/>
  </r>
  <r>
    <x v="138"/>
    <x v="7"/>
    <s v="2022"/>
    <x v="366"/>
    <x v="368"/>
    <x v="49"/>
    <x v="4"/>
    <x v="1"/>
  </r>
  <r>
    <x v="138"/>
    <x v="7"/>
    <s v="2022"/>
    <x v="367"/>
    <x v="369"/>
    <x v="2"/>
    <x v="0"/>
    <x v="1"/>
  </r>
  <r>
    <x v="138"/>
    <x v="7"/>
    <s v="2022"/>
    <x v="149"/>
    <x v="149"/>
    <x v="2"/>
    <x v="0"/>
    <x v="1"/>
  </r>
  <r>
    <x v="138"/>
    <x v="7"/>
    <s v="2022"/>
    <x v="211"/>
    <x v="217"/>
    <x v="2"/>
    <x v="0"/>
    <x v="1"/>
  </r>
  <r>
    <x v="138"/>
    <x v="7"/>
    <s v="2022"/>
    <x v="368"/>
    <x v="370"/>
    <x v="2"/>
    <x v="0"/>
    <x v="1"/>
  </r>
  <r>
    <x v="139"/>
    <x v="8"/>
    <s v="2022"/>
    <x v="119"/>
    <x v="242"/>
    <x v="29"/>
    <x v="0"/>
    <x v="0"/>
  </r>
  <r>
    <x v="139"/>
    <x v="8"/>
    <s v="2022"/>
    <x v="104"/>
    <x v="104"/>
    <x v="2"/>
    <x v="0"/>
    <x v="1"/>
  </r>
  <r>
    <x v="139"/>
    <x v="8"/>
    <s v="2022"/>
    <x v="105"/>
    <x v="105"/>
    <x v="2"/>
    <x v="0"/>
    <x v="0"/>
  </r>
  <r>
    <x v="139"/>
    <x v="8"/>
    <s v="2022"/>
    <x v="181"/>
    <x v="371"/>
    <x v="2"/>
    <x v="0"/>
    <x v="0"/>
  </r>
  <r>
    <x v="139"/>
    <x v="8"/>
    <s v="2022"/>
    <x v="229"/>
    <x v="372"/>
    <x v="2"/>
    <x v="0"/>
    <x v="0"/>
  </r>
  <r>
    <x v="139"/>
    <x v="8"/>
    <s v="2022"/>
    <x v="369"/>
    <x v="230"/>
    <x v="49"/>
    <x v="4"/>
    <x v="0"/>
  </r>
  <r>
    <x v="139"/>
    <x v="8"/>
    <s v="2022"/>
    <x v="250"/>
    <x v="257"/>
    <x v="2"/>
    <x v="0"/>
    <x v="0"/>
  </r>
  <r>
    <x v="139"/>
    <x v="8"/>
    <s v="2022"/>
    <x v="370"/>
    <x v="373"/>
    <x v="29"/>
    <x v="0"/>
    <x v="0"/>
  </r>
  <r>
    <x v="140"/>
    <x v="8"/>
    <s v="2022"/>
    <x v="13"/>
    <x v="13"/>
    <x v="19"/>
    <x v="0"/>
    <x v="0"/>
  </r>
  <r>
    <x v="140"/>
    <x v="8"/>
    <s v="2022"/>
    <x v="108"/>
    <x v="108"/>
    <x v="2"/>
    <x v="0"/>
    <x v="1"/>
  </r>
  <r>
    <x v="140"/>
    <x v="8"/>
    <s v="2022"/>
    <x v="104"/>
    <x v="104"/>
    <x v="2"/>
    <x v="0"/>
    <x v="0"/>
  </r>
  <r>
    <x v="140"/>
    <x v="8"/>
    <s v="2022"/>
    <x v="105"/>
    <x v="105"/>
    <x v="2"/>
    <x v="0"/>
    <x v="0"/>
  </r>
  <r>
    <x v="140"/>
    <x v="8"/>
    <s v="2022"/>
    <x v="106"/>
    <x v="184"/>
    <x v="2"/>
    <x v="0"/>
    <x v="0"/>
  </r>
  <r>
    <x v="140"/>
    <x v="8"/>
    <s v="2022"/>
    <x v="371"/>
    <x v="196"/>
    <x v="49"/>
    <x v="4"/>
    <x v="0"/>
  </r>
  <r>
    <x v="140"/>
    <x v="8"/>
    <s v="2022"/>
    <x v="372"/>
    <x v="372"/>
    <x v="49"/>
    <x v="2"/>
    <x v="1"/>
  </r>
  <r>
    <x v="140"/>
    <x v="8"/>
    <s v="2022"/>
    <x v="373"/>
    <x v="204"/>
    <x v="2"/>
    <x v="0"/>
    <x v="0"/>
  </r>
  <r>
    <x v="140"/>
    <x v="8"/>
    <s v="2022"/>
    <x v="374"/>
    <x v="374"/>
    <x v="2"/>
    <x v="0"/>
    <x v="0"/>
  </r>
  <r>
    <x v="140"/>
    <x v="8"/>
    <s v="2022"/>
    <x v="375"/>
    <x v="375"/>
    <x v="2"/>
    <x v="0"/>
    <x v="0"/>
  </r>
  <r>
    <x v="141"/>
    <x v="8"/>
    <s v="2022"/>
    <x v="127"/>
    <x v="146"/>
    <x v="49"/>
    <x v="2"/>
    <x v="0"/>
  </r>
  <r>
    <x v="141"/>
    <x v="8"/>
    <s v="2022"/>
    <x v="24"/>
    <x v="376"/>
    <x v="2"/>
    <x v="0"/>
    <x v="0"/>
  </r>
  <r>
    <x v="141"/>
    <x v="8"/>
    <s v="2022"/>
    <x v="74"/>
    <x v="74"/>
    <x v="36"/>
    <x v="3"/>
    <x v="0"/>
  </r>
  <r>
    <x v="142"/>
    <x v="8"/>
    <s v="2022"/>
    <x v="54"/>
    <x v="377"/>
    <x v="49"/>
    <x v="2"/>
    <x v="0"/>
  </r>
  <r>
    <x v="142"/>
    <x v="8"/>
    <s v="2022"/>
    <x v="277"/>
    <x v="378"/>
    <x v="2"/>
    <x v="0"/>
    <x v="0"/>
  </r>
  <r>
    <x v="142"/>
    <x v="8"/>
    <s v="2022"/>
    <x v="376"/>
    <x v="340"/>
    <x v="2"/>
    <x v="0"/>
    <x v="0"/>
  </r>
  <r>
    <x v="142"/>
    <x v="8"/>
    <s v="2022"/>
    <x v="377"/>
    <x v="379"/>
    <x v="2"/>
    <x v="0"/>
    <x v="0"/>
  </r>
  <r>
    <x v="142"/>
    <x v="8"/>
    <s v="2022"/>
    <x v="119"/>
    <x v="120"/>
    <x v="83"/>
    <x v="0"/>
    <x v="0"/>
  </r>
  <r>
    <x v="143"/>
    <x v="8"/>
    <s v="2022"/>
    <x v="341"/>
    <x v="261"/>
    <x v="96"/>
    <x v="0"/>
    <x v="0"/>
  </r>
  <r>
    <x v="143"/>
    <x v="8"/>
    <s v="2022"/>
    <x v="86"/>
    <x v="380"/>
    <x v="50"/>
    <x v="0"/>
    <x v="0"/>
  </r>
  <r>
    <x v="144"/>
    <x v="8"/>
    <s v="2022"/>
    <x v="210"/>
    <x v="215"/>
    <x v="2"/>
    <x v="0"/>
    <x v="0"/>
  </r>
  <r>
    <x v="144"/>
    <x v="8"/>
    <s v="2022"/>
    <x v="188"/>
    <x v="216"/>
    <x v="2"/>
    <x v="0"/>
    <x v="0"/>
  </r>
  <r>
    <x v="144"/>
    <x v="8"/>
    <s v="2022"/>
    <x v="378"/>
    <x v="263"/>
    <x v="37"/>
    <x v="2"/>
    <x v="0"/>
  </r>
  <r>
    <x v="144"/>
    <x v="8"/>
    <s v="2022"/>
    <x v="379"/>
    <x v="381"/>
    <x v="2"/>
    <x v="0"/>
    <x v="0"/>
  </r>
  <r>
    <x v="144"/>
    <x v="8"/>
    <s v="2022"/>
    <x v="380"/>
    <x v="382"/>
    <x v="2"/>
    <x v="0"/>
    <x v="0"/>
  </r>
  <r>
    <x v="144"/>
    <x v="8"/>
    <s v="2022"/>
    <x v="381"/>
    <x v="383"/>
    <x v="2"/>
    <x v="0"/>
    <x v="0"/>
  </r>
  <r>
    <x v="144"/>
    <x v="8"/>
    <s v="2022"/>
    <x v="382"/>
    <x v="384"/>
    <x v="19"/>
    <x v="0"/>
    <x v="0"/>
  </r>
  <r>
    <x v="144"/>
    <x v="8"/>
    <s v="2022"/>
    <x v="383"/>
    <x v="385"/>
    <x v="3"/>
    <x v="0"/>
    <x v="0"/>
  </r>
  <r>
    <x v="144"/>
    <x v="8"/>
    <s v="2022"/>
    <x v="310"/>
    <x v="386"/>
    <x v="7"/>
    <x v="0"/>
    <x v="0"/>
  </r>
  <r>
    <x v="145"/>
    <x v="8"/>
    <s v="2022"/>
    <x v="355"/>
    <x v="362"/>
    <x v="27"/>
    <x v="0"/>
    <x v="0"/>
  </r>
  <r>
    <x v="145"/>
    <x v="8"/>
    <s v="2022"/>
    <x v="143"/>
    <x v="144"/>
    <x v="39"/>
    <x v="0"/>
    <x v="0"/>
  </r>
  <r>
    <x v="145"/>
    <x v="8"/>
    <s v="2022"/>
    <x v="144"/>
    <x v="145"/>
    <x v="21"/>
    <x v="0"/>
    <x v="0"/>
  </r>
  <r>
    <x v="146"/>
    <x v="8"/>
    <s v="2022"/>
    <x v="138"/>
    <x v="139"/>
    <x v="2"/>
    <x v="3"/>
    <x v="0"/>
  </r>
  <r>
    <x v="146"/>
    <x v="8"/>
    <s v="2022"/>
    <x v="58"/>
    <x v="58"/>
    <x v="2"/>
    <x v="3"/>
    <x v="0"/>
  </r>
  <r>
    <x v="146"/>
    <x v="8"/>
    <s v="2022"/>
    <x v="59"/>
    <x v="59"/>
    <x v="2"/>
    <x v="0"/>
    <x v="0"/>
  </r>
  <r>
    <x v="146"/>
    <x v="8"/>
    <s v="2022"/>
    <x v="139"/>
    <x v="140"/>
    <x v="2"/>
    <x v="0"/>
    <x v="0"/>
  </r>
  <r>
    <x v="146"/>
    <x v="8"/>
    <s v="2022"/>
    <x v="140"/>
    <x v="134"/>
    <x v="49"/>
    <x v="4"/>
    <x v="0"/>
  </r>
  <r>
    <x v="146"/>
    <x v="8"/>
    <s v="2022"/>
    <x v="200"/>
    <x v="316"/>
    <x v="2"/>
    <x v="0"/>
    <x v="0"/>
  </r>
  <r>
    <x v="146"/>
    <x v="8"/>
    <s v="2022"/>
    <x v="384"/>
    <x v="276"/>
    <x v="37"/>
    <x v="0"/>
    <x v="0"/>
  </r>
  <r>
    <x v="146"/>
    <x v="8"/>
    <s v="2022"/>
    <x v="169"/>
    <x v="312"/>
    <x v="2"/>
    <x v="0"/>
    <x v="1"/>
  </r>
  <r>
    <x v="146"/>
    <x v="8"/>
    <s v="2022"/>
    <x v="348"/>
    <x v="169"/>
    <x v="2"/>
    <x v="0"/>
    <x v="1"/>
  </r>
  <r>
    <x v="146"/>
    <x v="8"/>
    <s v="2022"/>
    <x v="385"/>
    <x v="209"/>
    <x v="11"/>
    <x v="4"/>
    <x v="1"/>
  </r>
  <r>
    <x v="146"/>
    <x v="8"/>
    <s v="2022"/>
    <x v="180"/>
    <x v="387"/>
    <x v="2"/>
    <x v="0"/>
    <x v="1"/>
  </r>
  <r>
    <x v="146"/>
    <x v="8"/>
    <s v="2022"/>
    <x v="248"/>
    <x v="255"/>
    <x v="2"/>
    <x v="0"/>
    <x v="1"/>
  </r>
  <r>
    <x v="146"/>
    <x v="8"/>
    <s v="2022"/>
    <x v="249"/>
    <x v="256"/>
    <x v="2"/>
    <x v="0"/>
    <x v="1"/>
  </r>
  <r>
    <x v="147"/>
    <x v="8"/>
    <s v="2022"/>
    <x v="386"/>
    <x v="127"/>
    <x v="73"/>
    <x v="0"/>
    <x v="0"/>
  </r>
  <r>
    <x v="147"/>
    <x v="8"/>
    <s v="2022"/>
    <x v="325"/>
    <x v="176"/>
    <x v="1"/>
    <x v="0"/>
    <x v="0"/>
  </r>
  <r>
    <x v="148"/>
    <x v="8"/>
    <s v="2022"/>
    <x v="327"/>
    <x v="295"/>
    <x v="2"/>
    <x v="0"/>
    <x v="0"/>
  </r>
  <r>
    <x v="148"/>
    <x v="8"/>
    <s v="2022"/>
    <x v="251"/>
    <x v="188"/>
    <x v="2"/>
    <x v="0"/>
    <x v="0"/>
  </r>
  <r>
    <x v="148"/>
    <x v="8"/>
    <s v="2022"/>
    <x v="264"/>
    <x v="271"/>
    <x v="2"/>
    <x v="0"/>
    <x v="0"/>
  </r>
  <r>
    <x v="148"/>
    <x v="8"/>
    <s v="2022"/>
    <x v="387"/>
    <x v="388"/>
    <x v="37"/>
    <x v="0"/>
    <x v="0"/>
  </r>
  <r>
    <x v="148"/>
    <x v="8"/>
    <s v="2022"/>
    <x v="169"/>
    <x v="389"/>
    <x v="49"/>
    <x v="4"/>
    <x v="0"/>
  </r>
  <r>
    <x v="148"/>
    <x v="8"/>
    <s v="2022"/>
    <x v="92"/>
    <x v="253"/>
    <x v="2"/>
    <x v="0"/>
    <x v="0"/>
  </r>
  <r>
    <x v="148"/>
    <x v="8"/>
    <s v="2022"/>
    <x v="183"/>
    <x v="261"/>
    <x v="39"/>
    <x v="0"/>
    <x v="0"/>
  </r>
  <r>
    <x v="148"/>
    <x v="8"/>
    <s v="2022"/>
    <x v="388"/>
    <x v="218"/>
    <x v="27"/>
    <x v="4"/>
    <x v="0"/>
  </r>
  <r>
    <x v="148"/>
    <x v="8"/>
    <s v="2022"/>
    <x v="213"/>
    <x v="219"/>
    <x v="2"/>
    <x v="0"/>
    <x v="0"/>
  </r>
  <r>
    <x v="148"/>
    <x v="8"/>
    <s v="2022"/>
    <x v="214"/>
    <x v="163"/>
    <x v="8"/>
    <x v="0"/>
    <x v="0"/>
  </r>
  <r>
    <x v="149"/>
    <x v="8"/>
    <s v="2022"/>
    <x v="9"/>
    <x v="9"/>
    <x v="2"/>
    <x v="0"/>
    <x v="0"/>
  </r>
  <r>
    <x v="149"/>
    <x v="8"/>
    <s v="2022"/>
    <x v="194"/>
    <x v="65"/>
    <x v="2"/>
    <x v="0"/>
    <x v="0"/>
  </r>
  <r>
    <x v="149"/>
    <x v="8"/>
    <s v="2022"/>
    <x v="389"/>
    <x v="390"/>
    <x v="2"/>
    <x v="0"/>
    <x v="0"/>
  </r>
  <r>
    <x v="149"/>
    <x v="8"/>
    <s v="2022"/>
    <x v="390"/>
    <x v="362"/>
    <x v="14"/>
    <x v="0"/>
    <x v="0"/>
  </r>
  <r>
    <x v="150"/>
    <x v="8"/>
    <s v="2022"/>
    <x v="67"/>
    <x v="68"/>
    <x v="2"/>
    <x v="0"/>
    <x v="0"/>
  </r>
  <r>
    <x v="150"/>
    <x v="8"/>
    <s v="2022"/>
    <x v="7"/>
    <x v="7"/>
    <x v="2"/>
    <x v="0"/>
    <x v="0"/>
  </r>
  <r>
    <x v="150"/>
    <x v="8"/>
    <s v="2022"/>
    <x v="8"/>
    <x v="8"/>
    <x v="2"/>
    <x v="0"/>
    <x v="0"/>
  </r>
  <r>
    <x v="150"/>
    <x v="8"/>
    <s v="2022"/>
    <x v="391"/>
    <x v="391"/>
    <x v="2"/>
    <x v="0"/>
    <x v="0"/>
  </r>
  <r>
    <x v="150"/>
    <x v="8"/>
    <s v="2022"/>
    <x v="44"/>
    <x v="392"/>
    <x v="49"/>
    <x v="4"/>
    <x v="0"/>
  </r>
  <r>
    <x v="150"/>
    <x v="8"/>
    <s v="2022"/>
    <x v="392"/>
    <x v="393"/>
    <x v="2"/>
    <x v="0"/>
    <x v="0"/>
  </r>
  <r>
    <x v="150"/>
    <x v="8"/>
    <s v="2022"/>
    <x v="45"/>
    <x v="394"/>
    <x v="2"/>
    <x v="0"/>
    <x v="0"/>
  </r>
  <r>
    <x v="150"/>
    <x v="8"/>
    <s v="2022"/>
    <x v="4"/>
    <x v="4"/>
    <x v="2"/>
    <x v="0"/>
    <x v="0"/>
  </r>
  <r>
    <x v="150"/>
    <x v="8"/>
    <s v="2022"/>
    <x v="98"/>
    <x v="98"/>
    <x v="2"/>
    <x v="0"/>
    <x v="0"/>
  </r>
  <r>
    <x v="150"/>
    <x v="8"/>
    <s v="2022"/>
    <x v="99"/>
    <x v="99"/>
    <x v="2"/>
    <x v="0"/>
    <x v="0"/>
  </r>
  <r>
    <x v="150"/>
    <x v="8"/>
    <s v="2022"/>
    <x v="140"/>
    <x v="395"/>
    <x v="2"/>
    <x v="0"/>
    <x v="0"/>
  </r>
  <r>
    <x v="150"/>
    <x v="8"/>
    <s v="2022"/>
    <x v="365"/>
    <x v="367"/>
    <x v="24"/>
    <x v="0"/>
    <x v="0"/>
  </r>
  <r>
    <x v="151"/>
    <x v="9"/>
    <s v="2022"/>
    <x v="279"/>
    <x v="298"/>
    <x v="2"/>
    <x v="3"/>
    <x v="0"/>
  </r>
  <r>
    <x v="151"/>
    <x v="9"/>
    <s v="2022"/>
    <x v="292"/>
    <x v="299"/>
    <x v="2"/>
    <x v="0"/>
    <x v="0"/>
  </r>
  <r>
    <x v="151"/>
    <x v="9"/>
    <s v="2022"/>
    <x v="293"/>
    <x v="300"/>
    <x v="2"/>
    <x v="0"/>
    <x v="0"/>
  </r>
  <r>
    <x v="151"/>
    <x v="9"/>
    <s v="2022"/>
    <x v="294"/>
    <x v="301"/>
    <x v="2"/>
    <x v="0"/>
    <x v="0"/>
  </r>
  <r>
    <x v="151"/>
    <x v="9"/>
    <s v="2022"/>
    <x v="295"/>
    <x v="396"/>
    <x v="21"/>
    <x v="0"/>
    <x v="0"/>
  </r>
  <r>
    <x v="151"/>
    <x v="9"/>
    <s v="2022"/>
    <x v="327"/>
    <x v="295"/>
    <x v="2"/>
    <x v="0"/>
    <x v="0"/>
  </r>
  <r>
    <x v="151"/>
    <x v="9"/>
    <s v="2022"/>
    <x v="251"/>
    <x v="188"/>
    <x v="6"/>
    <x v="0"/>
    <x v="0"/>
  </r>
  <r>
    <x v="151"/>
    <x v="9"/>
    <s v="2022"/>
    <x v="264"/>
    <x v="271"/>
    <x v="2"/>
    <x v="0"/>
    <x v="0"/>
  </r>
  <r>
    <x v="152"/>
    <x v="9"/>
    <s v="2022"/>
    <x v="393"/>
    <x v="397"/>
    <x v="2"/>
    <x v="0"/>
    <x v="0"/>
  </r>
  <r>
    <x v="152"/>
    <x v="9"/>
    <s v="2022"/>
    <x v="36"/>
    <x v="37"/>
    <x v="2"/>
    <x v="0"/>
    <x v="0"/>
  </r>
  <r>
    <x v="152"/>
    <x v="9"/>
    <s v="2022"/>
    <x v="394"/>
    <x v="398"/>
    <x v="2"/>
    <x v="0"/>
    <x v="0"/>
  </r>
  <r>
    <x v="152"/>
    <x v="9"/>
    <s v="2022"/>
    <x v="273"/>
    <x v="399"/>
    <x v="6"/>
    <x v="0"/>
    <x v="0"/>
  </r>
  <r>
    <x v="152"/>
    <x v="9"/>
    <s v="2022"/>
    <x v="395"/>
    <x v="391"/>
    <x v="49"/>
    <x v="4"/>
    <x v="0"/>
  </r>
  <r>
    <x v="152"/>
    <x v="9"/>
    <s v="2022"/>
    <x v="44"/>
    <x v="46"/>
    <x v="2"/>
    <x v="0"/>
    <x v="0"/>
  </r>
  <r>
    <x v="152"/>
    <x v="9"/>
    <s v="2022"/>
    <x v="396"/>
    <x v="400"/>
    <x v="2"/>
    <x v="0"/>
    <x v="0"/>
  </r>
  <r>
    <x v="152"/>
    <x v="9"/>
    <s v="2022"/>
    <x v="397"/>
    <x v="401"/>
    <x v="2"/>
    <x v="0"/>
    <x v="0"/>
  </r>
  <r>
    <x v="152"/>
    <x v="9"/>
    <s v="2022"/>
    <x v="398"/>
    <x v="396"/>
    <x v="6"/>
    <x v="0"/>
    <x v="0"/>
  </r>
  <r>
    <x v="152"/>
    <x v="9"/>
    <s v="2022"/>
    <x v="399"/>
    <x v="109"/>
    <x v="62"/>
    <x v="4"/>
    <x v="0"/>
  </r>
  <r>
    <x v="152"/>
    <x v="9"/>
    <s v="2022"/>
    <x v="128"/>
    <x v="129"/>
    <x v="2"/>
    <x v="0"/>
    <x v="1"/>
  </r>
  <r>
    <x v="152"/>
    <x v="9"/>
    <s v="2022"/>
    <x v="339"/>
    <x v="345"/>
    <x v="2"/>
    <x v="3"/>
    <x v="0"/>
  </r>
  <r>
    <x v="152"/>
    <x v="9"/>
    <s v="2022"/>
    <x v="148"/>
    <x v="346"/>
    <x v="2"/>
    <x v="3"/>
    <x v="0"/>
  </r>
  <r>
    <x v="152"/>
    <x v="9"/>
    <s v="2022"/>
    <x v="340"/>
    <x v="347"/>
    <x v="2"/>
    <x v="3"/>
    <x v="0"/>
  </r>
  <r>
    <x v="153"/>
    <x v="9"/>
    <s v="2022"/>
    <x v="71"/>
    <x v="23"/>
    <x v="2"/>
    <x v="3"/>
    <x v="0"/>
  </r>
  <r>
    <x v="153"/>
    <x v="9"/>
    <s v="2022"/>
    <x v="72"/>
    <x v="72"/>
    <x v="2"/>
    <x v="3"/>
    <x v="0"/>
  </r>
  <r>
    <x v="153"/>
    <x v="9"/>
    <s v="2022"/>
    <x v="112"/>
    <x v="113"/>
    <x v="2"/>
    <x v="0"/>
    <x v="0"/>
  </r>
  <r>
    <x v="153"/>
    <x v="9"/>
    <s v="2022"/>
    <x v="362"/>
    <x v="292"/>
    <x v="27"/>
    <x v="0"/>
    <x v="0"/>
  </r>
  <r>
    <x v="154"/>
    <x v="9"/>
    <s v="2022"/>
    <x v="400"/>
    <x v="402"/>
    <x v="2"/>
    <x v="0"/>
    <x v="0"/>
  </r>
  <r>
    <x v="154"/>
    <x v="9"/>
    <s v="2022"/>
    <x v="401"/>
    <x v="403"/>
    <x v="2"/>
    <x v="0"/>
    <x v="0"/>
  </r>
  <r>
    <x v="154"/>
    <x v="9"/>
    <s v="2022"/>
    <x v="402"/>
    <x v="404"/>
    <x v="2"/>
    <x v="0"/>
    <x v="0"/>
  </r>
  <r>
    <x v="154"/>
    <x v="9"/>
    <s v="2022"/>
    <x v="392"/>
    <x v="393"/>
    <x v="31"/>
    <x v="0"/>
    <x v="0"/>
  </r>
  <r>
    <x v="154"/>
    <x v="9"/>
    <s v="2022"/>
    <x v="403"/>
    <x v="93"/>
    <x v="2"/>
    <x v="0"/>
    <x v="0"/>
  </r>
  <r>
    <x v="154"/>
    <x v="9"/>
    <s v="2022"/>
    <x v="204"/>
    <x v="296"/>
    <x v="2"/>
    <x v="0"/>
    <x v="0"/>
  </r>
  <r>
    <x v="154"/>
    <x v="9"/>
    <s v="2022"/>
    <x v="289"/>
    <x v="297"/>
    <x v="2"/>
    <x v="0"/>
    <x v="0"/>
  </r>
  <r>
    <x v="154"/>
    <x v="9"/>
    <s v="2022"/>
    <x v="384"/>
    <x v="276"/>
    <x v="2"/>
    <x v="0"/>
    <x v="0"/>
  </r>
  <r>
    <x v="154"/>
    <x v="9"/>
    <s v="2022"/>
    <x v="347"/>
    <x v="356"/>
    <x v="2"/>
    <x v="2"/>
    <x v="0"/>
  </r>
  <r>
    <x v="155"/>
    <x v="9"/>
    <s v="2022"/>
    <x v="54"/>
    <x v="54"/>
    <x v="2"/>
    <x v="3"/>
    <x v="0"/>
  </r>
  <r>
    <x v="155"/>
    <x v="9"/>
    <s v="2022"/>
    <x v="55"/>
    <x v="55"/>
    <x v="2"/>
    <x v="3"/>
    <x v="0"/>
  </r>
  <r>
    <x v="155"/>
    <x v="9"/>
    <s v="2022"/>
    <x v="56"/>
    <x v="56"/>
    <x v="2"/>
    <x v="0"/>
    <x v="0"/>
  </r>
  <r>
    <x v="155"/>
    <x v="9"/>
    <s v="2022"/>
    <x v="57"/>
    <x v="57"/>
    <x v="2"/>
    <x v="0"/>
    <x v="0"/>
  </r>
  <r>
    <x v="155"/>
    <x v="9"/>
    <s v="2022"/>
    <x v="404"/>
    <x v="147"/>
    <x v="49"/>
    <x v="4"/>
    <x v="0"/>
  </r>
  <r>
    <x v="155"/>
    <x v="9"/>
    <s v="2022"/>
    <x v="405"/>
    <x v="405"/>
    <x v="2"/>
    <x v="0"/>
    <x v="0"/>
  </r>
  <r>
    <x v="155"/>
    <x v="9"/>
    <s v="2022"/>
    <x v="16"/>
    <x v="16"/>
    <x v="2"/>
    <x v="0"/>
    <x v="0"/>
  </r>
  <r>
    <x v="155"/>
    <x v="9"/>
    <s v="2022"/>
    <x v="331"/>
    <x v="327"/>
    <x v="2"/>
    <x v="0"/>
    <x v="0"/>
  </r>
  <r>
    <x v="155"/>
    <x v="9"/>
    <s v="2022"/>
    <x v="406"/>
    <x v="406"/>
    <x v="2"/>
    <x v="0"/>
    <x v="0"/>
  </r>
  <r>
    <x v="155"/>
    <x v="9"/>
    <s v="2022"/>
    <x v="108"/>
    <x v="108"/>
    <x v="2"/>
    <x v="0"/>
    <x v="0"/>
  </r>
  <r>
    <x v="155"/>
    <x v="9"/>
    <s v="2022"/>
    <x v="104"/>
    <x v="104"/>
    <x v="2"/>
    <x v="0"/>
    <x v="0"/>
  </r>
  <r>
    <x v="155"/>
    <x v="9"/>
    <s v="2022"/>
    <x v="105"/>
    <x v="105"/>
    <x v="39"/>
    <x v="0"/>
    <x v="0"/>
  </r>
  <r>
    <x v="156"/>
    <x v="9"/>
    <s v="2022"/>
    <x v="18"/>
    <x v="18"/>
    <x v="2"/>
    <x v="3"/>
    <x v="0"/>
  </r>
  <r>
    <x v="156"/>
    <x v="9"/>
    <s v="2022"/>
    <x v="19"/>
    <x v="19"/>
    <x v="2"/>
    <x v="0"/>
    <x v="0"/>
  </r>
  <r>
    <x v="156"/>
    <x v="9"/>
    <s v="2022"/>
    <x v="20"/>
    <x v="20"/>
    <x v="2"/>
    <x v="0"/>
    <x v="0"/>
  </r>
  <r>
    <x v="156"/>
    <x v="9"/>
    <s v="2022"/>
    <x v="21"/>
    <x v="21"/>
    <x v="2"/>
    <x v="0"/>
    <x v="0"/>
  </r>
  <r>
    <x v="156"/>
    <x v="9"/>
    <s v="2022"/>
    <x v="407"/>
    <x v="407"/>
    <x v="49"/>
    <x v="4"/>
    <x v="0"/>
  </r>
  <r>
    <x v="156"/>
    <x v="9"/>
    <s v="2022"/>
    <x v="294"/>
    <x v="301"/>
    <x v="2"/>
    <x v="0"/>
    <x v="0"/>
  </r>
  <r>
    <x v="156"/>
    <x v="9"/>
    <s v="2022"/>
    <x v="300"/>
    <x v="408"/>
    <x v="3"/>
    <x v="0"/>
    <x v="0"/>
  </r>
  <r>
    <x v="156"/>
    <x v="9"/>
    <s v="2022"/>
    <x v="408"/>
    <x v="409"/>
    <x v="39"/>
    <x v="4"/>
    <x v="0"/>
  </r>
  <r>
    <x v="156"/>
    <x v="9"/>
    <s v="2022"/>
    <x v="276"/>
    <x v="410"/>
    <x v="10"/>
    <x v="0"/>
    <x v="0"/>
  </r>
  <r>
    <x v="156"/>
    <x v="9"/>
    <s v="2022"/>
    <x v="409"/>
    <x v="411"/>
    <x v="2"/>
    <x v="0"/>
    <x v="0"/>
  </r>
  <r>
    <x v="156"/>
    <x v="9"/>
    <s v="2022"/>
    <x v="404"/>
    <x v="365"/>
    <x v="2"/>
    <x v="0"/>
    <x v="0"/>
  </r>
  <r>
    <x v="156"/>
    <x v="9"/>
    <s v="2022"/>
    <x v="410"/>
    <x v="412"/>
    <x v="4"/>
    <x v="0"/>
    <x v="0"/>
  </r>
  <r>
    <x v="156"/>
    <x v="9"/>
    <s v="2022"/>
    <x v="411"/>
    <x v="335"/>
    <x v="49"/>
    <x v="4"/>
    <x v="0"/>
  </r>
  <r>
    <x v="156"/>
    <x v="9"/>
    <s v="2022"/>
    <x v="412"/>
    <x v="413"/>
    <x v="2"/>
    <x v="0"/>
    <x v="1"/>
  </r>
  <r>
    <x v="156"/>
    <x v="9"/>
    <s v="2022"/>
    <x v="413"/>
    <x v="211"/>
    <x v="2"/>
    <x v="0"/>
    <x v="1"/>
  </r>
  <r>
    <x v="157"/>
    <x v="9"/>
    <s v="2022"/>
    <x v="288"/>
    <x v="414"/>
    <x v="4"/>
    <x v="3"/>
    <x v="0"/>
  </r>
  <r>
    <x v="157"/>
    <x v="9"/>
    <s v="2022"/>
    <x v="414"/>
    <x v="415"/>
    <x v="2"/>
    <x v="0"/>
    <x v="0"/>
  </r>
  <r>
    <x v="157"/>
    <x v="9"/>
    <s v="2022"/>
    <x v="415"/>
    <x v="416"/>
    <x v="2"/>
    <x v="0"/>
    <x v="0"/>
  </r>
  <r>
    <x v="157"/>
    <x v="9"/>
    <s v="2022"/>
    <x v="416"/>
    <x v="417"/>
    <x v="2"/>
    <x v="0"/>
    <x v="0"/>
  </r>
  <r>
    <x v="157"/>
    <x v="9"/>
    <s v="2022"/>
    <x v="205"/>
    <x v="348"/>
    <x v="96"/>
    <x v="0"/>
    <x v="0"/>
  </r>
  <r>
    <x v="157"/>
    <x v="9"/>
    <s v="2022"/>
    <x v="417"/>
    <x v="103"/>
    <x v="49"/>
    <x v="2"/>
    <x v="0"/>
  </r>
  <r>
    <x v="157"/>
    <x v="9"/>
    <s v="2022"/>
    <x v="172"/>
    <x v="418"/>
    <x v="2"/>
    <x v="0"/>
    <x v="0"/>
  </r>
  <r>
    <x v="157"/>
    <x v="9"/>
    <s v="2022"/>
    <x v="418"/>
    <x v="419"/>
    <x v="2"/>
    <x v="0"/>
    <x v="0"/>
  </r>
  <r>
    <x v="157"/>
    <x v="9"/>
    <s v="2022"/>
    <x v="419"/>
    <x v="420"/>
    <x v="19"/>
    <x v="0"/>
    <x v="0"/>
  </r>
  <r>
    <x v="158"/>
    <x v="9"/>
    <s v="2022"/>
    <x v="47"/>
    <x v="48"/>
    <x v="2"/>
    <x v="0"/>
    <x v="0"/>
  </r>
  <r>
    <x v="158"/>
    <x v="9"/>
    <s v="2022"/>
    <x v="48"/>
    <x v="49"/>
    <x v="2"/>
    <x v="0"/>
    <x v="0"/>
  </r>
  <r>
    <x v="158"/>
    <x v="9"/>
    <s v="2022"/>
    <x v="50"/>
    <x v="51"/>
    <x v="2"/>
    <x v="0"/>
    <x v="0"/>
  </r>
  <r>
    <x v="158"/>
    <x v="9"/>
    <s v="2022"/>
    <x v="94"/>
    <x v="94"/>
    <x v="2"/>
    <x v="0"/>
    <x v="0"/>
  </r>
  <r>
    <x v="158"/>
    <x v="9"/>
    <s v="2022"/>
    <x v="291"/>
    <x v="267"/>
    <x v="49"/>
    <x v="4"/>
    <x v="0"/>
  </r>
  <r>
    <x v="158"/>
    <x v="9"/>
    <s v="2022"/>
    <x v="259"/>
    <x v="207"/>
    <x v="2"/>
    <x v="2"/>
    <x v="0"/>
  </r>
  <r>
    <x v="158"/>
    <x v="9"/>
    <s v="2022"/>
    <x v="420"/>
    <x v="421"/>
    <x v="2"/>
    <x v="0"/>
    <x v="0"/>
  </r>
  <r>
    <x v="158"/>
    <x v="9"/>
    <s v="2022"/>
    <x v="162"/>
    <x v="161"/>
    <x v="2"/>
    <x v="0"/>
    <x v="0"/>
  </r>
  <r>
    <x v="158"/>
    <x v="9"/>
    <s v="2022"/>
    <x v="421"/>
    <x v="223"/>
    <x v="76"/>
    <x v="0"/>
    <x v="0"/>
  </r>
  <r>
    <x v="159"/>
    <x v="9"/>
    <s v="2022"/>
    <x v="15"/>
    <x v="15"/>
    <x v="40"/>
    <x v="0"/>
    <x v="0"/>
  </r>
  <r>
    <x v="159"/>
    <x v="9"/>
    <s v="2022"/>
    <x v="210"/>
    <x v="215"/>
    <x v="88"/>
    <x v="0"/>
    <x v="0"/>
  </r>
  <r>
    <x v="159"/>
    <x v="9"/>
    <s v="2022"/>
    <x v="188"/>
    <x v="216"/>
    <x v="20"/>
    <x v="0"/>
    <x v="0"/>
  </r>
  <r>
    <x v="159"/>
    <x v="9"/>
    <s v="2022"/>
    <x v="257"/>
    <x v="422"/>
    <x v="6"/>
    <x v="0"/>
    <x v="0"/>
  </r>
  <r>
    <x v="159"/>
    <x v="9"/>
    <s v="2022"/>
    <x v="139"/>
    <x v="358"/>
    <x v="49"/>
    <x v="4"/>
    <x v="0"/>
  </r>
  <r>
    <x v="159"/>
    <x v="9"/>
    <s v="2022"/>
    <x v="133"/>
    <x v="134"/>
    <x v="37"/>
    <x v="0"/>
    <x v="0"/>
  </r>
  <r>
    <x v="159"/>
    <x v="9"/>
    <s v="2022"/>
    <x v="309"/>
    <x v="287"/>
    <x v="58"/>
    <x v="0"/>
    <x v="0"/>
  </r>
  <r>
    <x v="159"/>
    <x v="9"/>
    <s v="2022"/>
    <x v="387"/>
    <x v="388"/>
    <x v="69"/>
    <x v="0"/>
    <x v="1"/>
  </r>
  <r>
    <x v="160"/>
    <x v="9"/>
    <s v="2022"/>
    <x v="119"/>
    <x v="120"/>
    <x v="2"/>
    <x v="0"/>
    <x v="0"/>
  </r>
  <r>
    <x v="160"/>
    <x v="9"/>
    <s v="2022"/>
    <x v="218"/>
    <x v="344"/>
    <x v="2"/>
    <x v="0"/>
    <x v="0"/>
  </r>
  <r>
    <x v="160"/>
    <x v="9"/>
    <s v="2022"/>
    <x v="305"/>
    <x v="423"/>
    <x v="2"/>
    <x v="0"/>
    <x v="0"/>
  </r>
  <r>
    <x v="160"/>
    <x v="9"/>
    <s v="2022"/>
    <x v="131"/>
    <x v="132"/>
    <x v="2"/>
    <x v="0"/>
    <x v="0"/>
  </r>
  <r>
    <x v="160"/>
    <x v="9"/>
    <s v="2022"/>
    <x v="363"/>
    <x v="424"/>
    <x v="39"/>
    <x v="0"/>
    <x v="0"/>
  </r>
  <r>
    <x v="161"/>
    <x v="9"/>
    <s v="2022"/>
    <x v="293"/>
    <x v="425"/>
    <x v="49"/>
    <x v="2"/>
    <x v="0"/>
  </r>
  <r>
    <x v="161"/>
    <x v="9"/>
    <s v="2022"/>
    <x v="422"/>
    <x v="426"/>
    <x v="10"/>
    <x v="0"/>
    <x v="0"/>
  </r>
  <r>
    <x v="161"/>
    <x v="9"/>
    <s v="2022"/>
    <x v="12"/>
    <x v="427"/>
    <x v="46"/>
    <x v="0"/>
    <x v="0"/>
  </r>
  <r>
    <x v="161"/>
    <x v="9"/>
    <s v="2022"/>
    <x v="277"/>
    <x v="378"/>
    <x v="2"/>
    <x v="0"/>
    <x v="0"/>
  </r>
  <r>
    <x v="161"/>
    <x v="9"/>
    <s v="2022"/>
    <x v="117"/>
    <x v="118"/>
    <x v="6"/>
    <x v="0"/>
    <x v="0"/>
  </r>
  <r>
    <x v="161"/>
    <x v="9"/>
    <s v="2022"/>
    <x v="145"/>
    <x v="72"/>
    <x v="49"/>
    <x v="4"/>
    <x v="0"/>
  </r>
  <r>
    <x v="161"/>
    <x v="9"/>
    <s v="2022"/>
    <x v="109"/>
    <x v="109"/>
    <x v="2"/>
    <x v="0"/>
    <x v="0"/>
  </r>
  <r>
    <x v="161"/>
    <x v="9"/>
    <s v="2022"/>
    <x v="2"/>
    <x v="2"/>
    <x v="2"/>
    <x v="0"/>
    <x v="0"/>
  </r>
  <r>
    <x v="161"/>
    <x v="9"/>
    <s v="2022"/>
    <x v="3"/>
    <x v="3"/>
    <x v="2"/>
    <x v="0"/>
    <x v="0"/>
  </r>
  <r>
    <x v="161"/>
    <x v="9"/>
    <s v="2022"/>
    <x v="243"/>
    <x v="250"/>
    <x v="16"/>
    <x v="0"/>
    <x v="0"/>
  </r>
  <r>
    <x v="162"/>
    <x v="9"/>
    <s v="2022"/>
    <x v="423"/>
    <x v="205"/>
    <x v="2"/>
    <x v="0"/>
    <x v="0"/>
  </r>
  <r>
    <x v="162"/>
    <x v="9"/>
    <s v="2022"/>
    <x v="274"/>
    <x v="336"/>
    <x v="2"/>
    <x v="0"/>
    <x v="0"/>
  </r>
  <r>
    <x v="162"/>
    <x v="9"/>
    <s v="2022"/>
    <x v="359"/>
    <x v="282"/>
    <x v="40"/>
    <x v="0"/>
    <x v="0"/>
  </r>
  <r>
    <x v="162"/>
    <x v="9"/>
    <s v="2022"/>
    <x v="4"/>
    <x v="428"/>
    <x v="97"/>
    <x v="0"/>
    <x v="0"/>
  </r>
  <r>
    <x v="162"/>
    <x v="9"/>
    <s v="2022"/>
    <x v="424"/>
    <x v="429"/>
    <x v="22"/>
    <x v="0"/>
    <x v="0"/>
  </r>
  <r>
    <x v="163"/>
    <x v="9"/>
    <s v="2022"/>
    <x v="20"/>
    <x v="20"/>
    <x v="42"/>
    <x v="3"/>
    <x v="0"/>
  </r>
  <r>
    <x v="163"/>
    <x v="9"/>
    <s v="2022"/>
    <x v="425"/>
    <x v="425"/>
    <x v="2"/>
    <x v="0"/>
    <x v="0"/>
  </r>
  <r>
    <x v="163"/>
    <x v="9"/>
    <s v="2022"/>
    <x v="23"/>
    <x v="430"/>
    <x v="3"/>
    <x v="0"/>
    <x v="0"/>
  </r>
  <r>
    <x v="163"/>
    <x v="9"/>
    <s v="2022"/>
    <x v="327"/>
    <x v="93"/>
    <x v="10"/>
    <x v="0"/>
    <x v="0"/>
  </r>
  <r>
    <x v="163"/>
    <x v="9"/>
    <s v="2022"/>
    <x v="216"/>
    <x v="91"/>
    <x v="24"/>
    <x v="0"/>
    <x v="0"/>
  </r>
  <r>
    <x v="164"/>
    <x v="9"/>
    <s v="2022"/>
    <x v="54"/>
    <x v="54"/>
    <x v="2"/>
    <x v="0"/>
    <x v="0"/>
  </r>
  <r>
    <x v="164"/>
    <x v="9"/>
    <s v="2022"/>
    <x v="55"/>
    <x v="55"/>
    <x v="2"/>
    <x v="0"/>
    <x v="0"/>
  </r>
  <r>
    <x v="164"/>
    <x v="9"/>
    <s v="2022"/>
    <x v="56"/>
    <x v="56"/>
    <x v="2"/>
    <x v="0"/>
    <x v="0"/>
  </r>
  <r>
    <x v="164"/>
    <x v="9"/>
    <s v="2022"/>
    <x v="57"/>
    <x v="57"/>
    <x v="8"/>
    <x v="0"/>
    <x v="0"/>
  </r>
  <r>
    <x v="164"/>
    <x v="9"/>
    <s v="2022"/>
    <x v="404"/>
    <x v="147"/>
    <x v="49"/>
    <x v="4"/>
    <x v="0"/>
  </r>
  <r>
    <x v="164"/>
    <x v="9"/>
    <s v="2022"/>
    <x v="405"/>
    <x v="405"/>
    <x v="46"/>
    <x v="0"/>
    <x v="0"/>
  </r>
  <r>
    <x v="164"/>
    <x v="9"/>
    <s v="2022"/>
    <x v="16"/>
    <x v="16"/>
    <x v="2"/>
    <x v="0"/>
    <x v="0"/>
  </r>
  <r>
    <x v="164"/>
    <x v="9"/>
    <s v="2022"/>
    <x v="331"/>
    <x v="327"/>
    <x v="2"/>
    <x v="0"/>
    <x v="0"/>
  </r>
  <r>
    <x v="164"/>
    <x v="9"/>
    <s v="2022"/>
    <x v="426"/>
    <x v="431"/>
    <x v="10"/>
    <x v="0"/>
    <x v="0"/>
  </r>
  <r>
    <x v="164"/>
    <x v="9"/>
    <s v="2022"/>
    <x v="427"/>
    <x v="432"/>
    <x v="49"/>
    <x v="4"/>
    <x v="0"/>
  </r>
  <r>
    <x v="164"/>
    <x v="9"/>
    <s v="2022"/>
    <x v="428"/>
    <x v="433"/>
    <x v="2"/>
    <x v="0"/>
    <x v="0"/>
  </r>
  <r>
    <x v="164"/>
    <x v="9"/>
    <s v="2022"/>
    <x v="429"/>
    <x v="290"/>
    <x v="8"/>
    <x v="0"/>
    <x v="0"/>
  </r>
  <r>
    <x v="165"/>
    <x v="9"/>
    <s v="2022"/>
    <x v="47"/>
    <x v="48"/>
    <x v="2"/>
    <x v="0"/>
    <x v="0"/>
  </r>
  <r>
    <x v="166"/>
    <x v="9"/>
    <s v="2022"/>
    <x v="23"/>
    <x v="430"/>
    <x v="2"/>
    <x v="0"/>
    <x v="0"/>
  </r>
  <r>
    <x v="166"/>
    <x v="9"/>
    <s v="2022"/>
    <x v="430"/>
    <x v="377"/>
    <x v="2"/>
    <x v="0"/>
    <x v="0"/>
  </r>
  <r>
    <x v="166"/>
    <x v="9"/>
    <s v="2022"/>
    <x v="116"/>
    <x v="434"/>
    <x v="2"/>
    <x v="0"/>
    <x v="0"/>
  </r>
  <r>
    <x v="166"/>
    <x v="9"/>
    <s v="2022"/>
    <x v="227"/>
    <x v="352"/>
    <x v="2"/>
    <x v="0"/>
    <x v="0"/>
  </r>
  <r>
    <x v="166"/>
    <x v="9"/>
    <s v="2022"/>
    <x v="83"/>
    <x v="435"/>
    <x v="49"/>
    <x v="4"/>
    <x v="0"/>
  </r>
  <r>
    <x v="166"/>
    <x v="9"/>
    <s v="2022"/>
    <x v="57"/>
    <x v="57"/>
    <x v="2"/>
    <x v="0"/>
    <x v="0"/>
  </r>
  <r>
    <x v="166"/>
    <x v="9"/>
    <s v="2022"/>
    <x v="431"/>
    <x v="240"/>
    <x v="2"/>
    <x v="0"/>
    <x v="0"/>
  </r>
  <r>
    <x v="166"/>
    <x v="9"/>
    <s v="2022"/>
    <x v="323"/>
    <x v="436"/>
    <x v="2"/>
    <x v="0"/>
    <x v="0"/>
  </r>
  <r>
    <x v="166"/>
    <x v="9"/>
    <s v="2022"/>
    <x v="315"/>
    <x v="437"/>
    <x v="30"/>
    <x v="0"/>
    <x v="0"/>
  </r>
  <r>
    <x v="166"/>
    <x v="9"/>
    <s v="2022"/>
    <x v="432"/>
    <x v="297"/>
    <x v="98"/>
    <x v="4"/>
    <x v="0"/>
  </r>
  <r>
    <x v="166"/>
    <x v="9"/>
    <s v="2022"/>
    <x v="50"/>
    <x v="51"/>
    <x v="19"/>
    <x v="3"/>
    <x v="0"/>
  </r>
  <r>
    <x v="166"/>
    <x v="9"/>
    <s v="2022"/>
    <x v="51"/>
    <x v="52"/>
    <x v="2"/>
    <x v="3"/>
    <x v="0"/>
  </r>
  <r>
    <x v="166"/>
    <x v="9"/>
    <s v="2022"/>
    <x v="107"/>
    <x v="107"/>
    <x v="2"/>
    <x v="3"/>
    <x v="0"/>
  </r>
  <r>
    <x v="166"/>
    <x v="9"/>
    <s v="2022"/>
    <x v="230"/>
    <x v="193"/>
    <x v="2"/>
    <x v="3"/>
    <x v="0"/>
  </r>
  <r>
    <x v="166"/>
    <x v="9"/>
    <s v="2022"/>
    <x v="433"/>
    <x v="438"/>
    <x v="49"/>
    <x v="4"/>
    <x v="0"/>
  </r>
  <r>
    <x v="166"/>
    <x v="9"/>
    <s v="2022"/>
    <x v="162"/>
    <x v="161"/>
    <x v="40"/>
    <x v="3"/>
    <x v="0"/>
  </r>
  <r>
    <x v="166"/>
    <x v="9"/>
    <s v="2022"/>
    <x v="434"/>
    <x v="439"/>
    <x v="2"/>
    <x v="3"/>
    <x v="1"/>
  </r>
  <r>
    <x v="167"/>
    <x v="9"/>
    <s v="2022"/>
    <x v="435"/>
    <x v="113"/>
    <x v="77"/>
    <x v="3"/>
    <x v="0"/>
  </r>
  <r>
    <x v="168"/>
    <x v="10"/>
    <s v="2022"/>
    <x v="436"/>
    <x v="440"/>
    <x v="58"/>
    <x v="3"/>
    <x v="0"/>
  </r>
  <r>
    <x v="168"/>
    <x v="10"/>
    <s v="2022"/>
    <x v="437"/>
    <x v="67"/>
    <x v="99"/>
    <x v="0"/>
    <x v="0"/>
  </r>
  <r>
    <x v="168"/>
    <x v="10"/>
    <s v="2022"/>
    <x v="19"/>
    <x v="441"/>
    <x v="20"/>
    <x v="0"/>
    <x v="0"/>
  </r>
  <r>
    <x v="168"/>
    <x v="10"/>
    <s v="2022"/>
    <x v="438"/>
    <x v="442"/>
    <x v="29"/>
    <x v="0"/>
    <x v="0"/>
  </r>
  <r>
    <x v="168"/>
    <x v="10"/>
    <s v="2022"/>
    <x v="339"/>
    <x v="86"/>
    <x v="1"/>
    <x v="0"/>
    <x v="0"/>
  </r>
  <r>
    <x v="169"/>
    <x v="10"/>
    <s v="2022"/>
    <x v="203"/>
    <x v="443"/>
    <x v="40"/>
    <x v="0"/>
    <x v="0"/>
  </r>
  <r>
    <x v="169"/>
    <x v="10"/>
    <s v="2022"/>
    <x v="439"/>
    <x v="72"/>
    <x v="35"/>
    <x v="0"/>
    <x v="0"/>
  </r>
  <r>
    <x v="169"/>
    <x v="10"/>
    <s v="2022"/>
    <x v="128"/>
    <x v="444"/>
    <x v="83"/>
    <x v="0"/>
    <x v="0"/>
  </r>
  <r>
    <x v="169"/>
    <x v="10"/>
    <s v="2022"/>
    <x v="286"/>
    <x v="324"/>
    <x v="100"/>
    <x v="0"/>
    <x v="0"/>
  </r>
  <r>
    <x v="170"/>
    <x v="10"/>
    <s v="2022"/>
    <x v="9"/>
    <x v="9"/>
    <x v="2"/>
    <x v="0"/>
    <x v="0"/>
  </r>
  <r>
    <x v="170"/>
    <x v="10"/>
    <s v="2022"/>
    <x v="194"/>
    <x v="65"/>
    <x v="42"/>
    <x v="0"/>
    <x v="0"/>
  </r>
  <r>
    <x v="170"/>
    <x v="10"/>
    <s v="2022"/>
    <x v="389"/>
    <x v="390"/>
    <x v="2"/>
    <x v="0"/>
    <x v="0"/>
  </r>
  <r>
    <x v="170"/>
    <x v="10"/>
    <s v="2022"/>
    <x v="440"/>
    <x v="445"/>
    <x v="57"/>
    <x v="0"/>
    <x v="0"/>
  </r>
  <r>
    <x v="170"/>
    <x v="10"/>
    <s v="2022"/>
    <x v="441"/>
    <x v="408"/>
    <x v="49"/>
    <x v="4"/>
    <x v="0"/>
  </r>
  <r>
    <x v="170"/>
    <x v="10"/>
    <s v="2022"/>
    <x v="408"/>
    <x v="446"/>
    <x v="2"/>
    <x v="0"/>
    <x v="0"/>
  </r>
  <r>
    <x v="170"/>
    <x v="10"/>
    <s v="2022"/>
    <x v="276"/>
    <x v="410"/>
    <x v="2"/>
    <x v="0"/>
    <x v="0"/>
  </r>
  <r>
    <x v="170"/>
    <x v="10"/>
    <s v="2022"/>
    <x v="409"/>
    <x v="411"/>
    <x v="2"/>
    <x v="0"/>
    <x v="0"/>
  </r>
  <r>
    <x v="170"/>
    <x v="10"/>
    <s v="2022"/>
    <x v="343"/>
    <x v="447"/>
    <x v="40"/>
    <x v="0"/>
    <x v="0"/>
  </r>
  <r>
    <x v="171"/>
    <x v="10"/>
    <s v="2022"/>
    <x v="117"/>
    <x v="118"/>
    <x v="2"/>
    <x v="0"/>
    <x v="0"/>
  </r>
  <r>
    <x v="171"/>
    <x v="10"/>
    <s v="2022"/>
    <x v="118"/>
    <x v="119"/>
    <x v="2"/>
    <x v="0"/>
    <x v="0"/>
  </r>
  <r>
    <x v="171"/>
    <x v="10"/>
    <s v="2022"/>
    <x v="119"/>
    <x v="120"/>
    <x v="42"/>
    <x v="0"/>
    <x v="0"/>
  </r>
  <r>
    <x v="171"/>
    <x v="10"/>
    <s v="2022"/>
    <x v="120"/>
    <x v="121"/>
    <x v="2"/>
    <x v="0"/>
    <x v="0"/>
  </r>
  <r>
    <x v="171"/>
    <x v="10"/>
    <s v="2022"/>
    <x v="121"/>
    <x v="329"/>
    <x v="49"/>
    <x v="4"/>
    <x v="0"/>
  </r>
  <r>
    <x v="171"/>
    <x v="10"/>
    <s v="2022"/>
    <x v="243"/>
    <x v="250"/>
    <x v="2"/>
    <x v="0"/>
    <x v="0"/>
  </r>
  <r>
    <x v="171"/>
    <x v="10"/>
    <s v="2022"/>
    <x v="5"/>
    <x v="241"/>
    <x v="2"/>
    <x v="0"/>
    <x v="0"/>
  </r>
  <r>
    <x v="171"/>
    <x v="10"/>
    <s v="2022"/>
    <x v="252"/>
    <x v="258"/>
    <x v="2"/>
    <x v="0"/>
    <x v="0"/>
  </r>
  <r>
    <x v="171"/>
    <x v="10"/>
    <s v="2022"/>
    <x v="337"/>
    <x v="343"/>
    <x v="4"/>
    <x v="0"/>
    <x v="0"/>
  </r>
  <r>
    <x v="171"/>
    <x v="10"/>
    <s v="2022"/>
    <x v="214"/>
    <x v="106"/>
    <x v="6"/>
    <x v="0"/>
    <x v="0"/>
  </r>
  <r>
    <x v="171"/>
    <x v="10"/>
    <s v="2022"/>
    <x v="79"/>
    <x v="448"/>
    <x v="72"/>
    <x v="2"/>
    <x v="0"/>
  </r>
  <r>
    <x v="172"/>
    <x v="10"/>
    <s v="2022"/>
    <x v="442"/>
    <x v="189"/>
    <x v="28"/>
    <x v="0"/>
    <x v="0"/>
  </r>
  <r>
    <x v="173"/>
    <x v="10"/>
    <s v="2022"/>
    <x v="116"/>
    <x v="434"/>
    <x v="2"/>
    <x v="2"/>
    <x v="0"/>
  </r>
  <r>
    <x v="173"/>
    <x v="10"/>
    <s v="2022"/>
    <x v="117"/>
    <x v="118"/>
    <x v="2"/>
    <x v="0"/>
    <x v="0"/>
  </r>
  <r>
    <x v="173"/>
    <x v="10"/>
    <s v="2022"/>
    <x v="118"/>
    <x v="119"/>
    <x v="2"/>
    <x v="0"/>
    <x v="0"/>
  </r>
  <r>
    <x v="173"/>
    <x v="10"/>
    <s v="2022"/>
    <x v="443"/>
    <x v="449"/>
    <x v="8"/>
    <x v="0"/>
    <x v="0"/>
  </r>
  <r>
    <x v="173"/>
    <x v="10"/>
    <s v="2022"/>
    <x v="124"/>
    <x v="124"/>
    <x v="11"/>
    <x v="0"/>
    <x v="0"/>
  </r>
  <r>
    <x v="173"/>
    <x v="10"/>
    <s v="2022"/>
    <x v="258"/>
    <x v="266"/>
    <x v="2"/>
    <x v="0"/>
    <x v="0"/>
  </r>
  <r>
    <x v="173"/>
    <x v="10"/>
    <s v="2022"/>
    <x v="216"/>
    <x v="179"/>
    <x v="2"/>
    <x v="0"/>
    <x v="0"/>
  </r>
  <r>
    <x v="173"/>
    <x v="10"/>
    <s v="2022"/>
    <x v="444"/>
    <x v="203"/>
    <x v="42"/>
    <x v="0"/>
    <x v="0"/>
  </r>
  <r>
    <x v="174"/>
    <x v="10"/>
    <s v="2022"/>
    <x v="445"/>
    <x v="117"/>
    <x v="2"/>
    <x v="2"/>
    <x v="0"/>
  </r>
  <r>
    <x v="174"/>
    <x v="10"/>
    <s v="2022"/>
    <x v="126"/>
    <x v="127"/>
    <x v="2"/>
    <x v="0"/>
    <x v="0"/>
  </r>
  <r>
    <x v="175"/>
    <x v="10"/>
    <s v="2022"/>
    <x v="235"/>
    <x v="381"/>
    <x v="46"/>
    <x v="0"/>
    <x v="0"/>
  </r>
  <r>
    <x v="176"/>
    <x v="10"/>
    <s v="2022"/>
    <x v="446"/>
    <x v="450"/>
    <x v="3"/>
    <x v="0"/>
    <x v="0"/>
  </r>
  <r>
    <x v="176"/>
    <x v="10"/>
    <s v="2022"/>
    <x v="447"/>
    <x v="93"/>
    <x v="22"/>
    <x v="0"/>
    <x v="0"/>
  </r>
  <r>
    <x v="176"/>
    <x v="10"/>
    <s v="2022"/>
    <x v="48"/>
    <x v="451"/>
    <x v="12"/>
    <x v="0"/>
    <x v="0"/>
  </r>
  <r>
    <x v="177"/>
    <x v="10"/>
    <s v="2022"/>
    <x v="56"/>
    <x v="240"/>
    <x v="35"/>
    <x v="0"/>
    <x v="0"/>
  </r>
  <r>
    <x v="177"/>
    <x v="10"/>
    <s v="2022"/>
    <x v="448"/>
    <x v="452"/>
    <x v="84"/>
    <x v="0"/>
    <x v="0"/>
  </r>
  <r>
    <x v="177"/>
    <x v="10"/>
    <s v="2022"/>
    <x v="169"/>
    <x v="453"/>
    <x v="57"/>
    <x v="0"/>
    <x v="0"/>
  </r>
  <r>
    <x v="178"/>
    <x v="10"/>
    <s v="2022"/>
    <x v="449"/>
    <x v="444"/>
    <x v="101"/>
    <x v="0"/>
    <x v="0"/>
  </r>
  <r>
    <x v="178"/>
    <x v="10"/>
    <s v="2022"/>
    <x v="450"/>
    <x v="93"/>
    <x v="35"/>
    <x v="0"/>
    <x v="0"/>
  </r>
  <r>
    <x v="178"/>
    <x v="10"/>
    <s v="2022"/>
    <x v="100"/>
    <x v="141"/>
    <x v="32"/>
    <x v="0"/>
    <x v="0"/>
  </r>
  <r>
    <x v="178"/>
    <x v="10"/>
    <s v="2022"/>
    <x v="270"/>
    <x v="454"/>
    <x v="30"/>
    <x v="0"/>
    <x v="0"/>
  </r>
  <r>
    <x v="178"/>
    <x v="10"/>
    <s v="2022"/>
    <x v="30"/>
    <x v="429"/>
    <x v="16"/>
    <x v="0"/>
    <x v="0"/>
  </r>
  <r>
    <x v="179"/>
    <x v="10"/>
    <s v="2022"/>
    <x v="451"/>
    <x v="455"/>
    <x v="2"/>
    <x v="0"/>
    <x v="0"/>
  </r>
  <r>
    <x v="180"/>
    <x v="10"/>
    <s v="2022"/>
    <x v="323"/>
    <x v="456"/>
    <x v="88"/>
    <x v="2"/>
    <x v="0"/>
  </r>
  <r>
    <x v="181"/>
    <x v="10"/>
    <s v="2022"/>
    <x v="105"/>
    <x v="105"/>
    <x v="2"/>
    <x v="0"/>
    <x v="0"/>
  </r>
  <r>
    <x v="181"/>
    <x v="10"/>
    <s v="2022"/>
    <x v="181"/>
    <x v="371"/>
    <x v="2"/>
    <x v="6"/>
    <x v="0"/>
  </r>
  <r>
    <x v="182"/>
    <x v="10"/>
    <s v="2022"/>
    <x v="452"/>
    <x v="120"/>
    <x v="37"/>
    <x v="6"/>
    <x v="0"/>
  </r>
  <r>
    <x v="182"/>
    <x v="10"/>
    <s v="2022"/>
    <x v="305"/>
    <x v="318"/>
    <x v="19"/>
    <x v="6"/>
    <x v="0"/>
  </r>
  <r>
    <x v="182"/>
    <x v="10"/>
    <s v="2022"/>
    <x v="111"/>
    <x v="50"/>
    <x v="28"/>
    <x v="3"/>
    <x v="0"/>
  </r>
  <r>
    <x v="182"/>
    <x v="10"/>
    <s v="2022"/>
    <x v="205"/>
    <x v="348"/>
    <x v="2"/>
    <x v="2"/>
    <x v="0"/>
  </r>
  <r>
    <x v="183"/>
    <x v="10"/>
    <s v="2022"/>
    <x v="42"/>
    <x v="398"/>
    <x v="49"/>
    <x v="2"/>
    <x v="0"/>
  </r>
  <r>
    <x v="183"/>
    <x v="10"/>
    <s v="2022"/>
    <x v="381"/>
    <x v="383"/>
    <x v="2"/>
    <x v="6"/>
    <x v="0"/>
  </r>
  <r>
    <x v="183"/>
    <x v="10"/>
    <s v="2022"/>
    <x v="453"/>
    <x v="457"/>
    <x v="2"/>
    <x v="0"/>
    <x v="0"/>
  </r>
  <r>
    <x v="183"/>
    <x v="10"/>
    <s v="2022"/>
    <x v="454"/>
    <x v="458"/>
    <x v="7"/>
    <x v="0"/>
    <x v="0"/>
  </r>
  <r>
    <x v="184"/>
    <x v="10"/>
    <s v="2022"/>
    <x v="455"/>
    <x v="304"/>
    <x v="2"/>
    <x v="3"/>
    <x v="0"/>
  </r>
  <r>
    <x v="184"/>
    <x v="10"/>
    <s v="2022"/>
    <x v="327"/>
    <x v="295"/>
    <x v="2"/>
    <x v="0"/>
    <x v="0"/>
  </r>
  <r>
    <x v="184"/>
    <x v="10"/>
    <s v="2022"/>
    <x v="251"/>
    <x v="188"/>
    <x v="2"/>
    <x v="0"/>
    <x v="0"/>
  </r>
  <r>
    <x v="184"/>
    <x v="10"/>
    <s v="2022"/>
    <x v="289"/>
    <x v="297"/>
    <x v="2"/>
    <x v="4"/>
    <x v="0"/>
  </r>
  <r>
    <x v="184"/>
    <x v="10"/>
    <s v="2022"/>
    <x v="50"/>
    <x v="51"/>
    <x v="2"/>
    <x v="0"/>
    <x v="0"/>
  </r>
  <r>
    <x v="184"/>
    <x v="10"/>
    <s v="2022"/>
    <x v="51"/>
    <x v="52"/>
    <x v="2"/>
    <x v="0"/>
    <x v="0"/>
  </r>
  <r>
    <x v="184"/>
    <x v="10"/>
    <s v="2022"/>
    <x v="107"/>
    <x v="107"/>
    <x v="7"/>
    <x v="0"/>
    <x v="0"/>
  </r>
  <r>
    <x v="185"/>
    <x v="10"/>
    <s v="2022"/>
    <x v="313"/>
    <x v="120"/>
    <x v="23"/>
    <x v="0"/>
    <x v="0"/>
  </r>
  <r>
    <x v="185"/>
    <x v="10"/>
    <s v="2022"/>
    <x v="450"/>
    <x v="431"/>
    <x v="75"/>
    <x v="0"/>
    <x v="0"/>
  </r>
  <r>
    <x v="185"/>
    <x v="10"/>
    <s v="2022"/>
    <x v="456"/>
    <x v="90"/>
    <x v="43"/>
    <x v="0"/>
    <x v="0"/>
  </r>
  <r>
    <x v="185"/>
    <x v="10"/>
    <s v="2022"/>
    <x v="457"/>
    <x v="166"/>
    <x v="12"/>
    <x v="0"/>
    <x v="0"/>
  </r>
  <r>
    <x v="186"/>
    <x v="10"/>
    <s v="2022"/>
    <x v="458"/>
    <x v="459"/>
    <x v="23"/>
    <x v="0"/>
    <x v="0"/>
  </r>
  <r>
    <x v="187"/>
    <x v="11"/>
    <s v="2022"/>
    <x v="459"/>
    <x v="347"/>
    <x v="43"/>
    <x v="3"/>
    <x v="0"/>
  </r>
  <r>
    <x v="187"/>
    <x v="11"/>
    <s v="2022"/>
    <x v="385"/>
    <x v="91"/>
    <x v="67"/>
    <x v="3"/>
    <x v="0"/>
  </r>
  <r>
    <x v="187"/>
    <x v="11"/>
    <s v="2022"/>
    <x v="231"/>
    <x v="460"/>
    <x v="37"/>
    <x v="3"/>
    <x v="0"/>
  </r>
  <r>
    <x v="187"/>
    <x v="11"/>
    <s v="2022"/>
    <x v="460"/>
    <x v="167"/>
    <x v="2"/>
    <x v="0"/>
    <x v="0"/>
  </r>
  <r>
    <x v="187"/>
    <x v="11"/>
    <s v="2022"/>
    <x v="461"/>
    <x v="461"/>
    <x v="2"/>
    <x v="0"/>
    <x v="0"/>
  </r>
  <r>
    <x v="187"/>
    <x v="11"/>
    <s v="2022"/>
    <x v="462"/>
    <x v="462"/>
    <x v="2"/>
    <x v="0"/>
    <x v="0"/>
  </r>
  <r>
    <x v="187"/>
    <x v="11"/>
    <s v="2022"/>
    <x v="373"/>
    <x v="204"/>
    <x v="39"/>
    <x v="0"/>
    <x v="0"/>
  </r>
  <r>
    <x v="188"/>
    <x v="11"/>
    <s v="2022"/>
    <x v="463"/>
    <x v="463"/>
    <x v="76"/>
    <x v="0"/>
    <x v="0"/>
  </r>
  <r>
    <x v="188"/>
    <x v="11"/>
    <s v="2022"/>
    <x v="117"/>
    <x v="118"/>
    <x v="47"/>
    <x v="2"/>
    <x v="0"/>
  </r>
  <r>
    <x v="188"/>
    <x v="11"/>
    <s v="2022"/>
    <x v="118"/>
    <x v="119"/>
    <x v="58"/>
    <x v="0"/>
    <x v="0"/>
  </r>
  <r>
    <x v="188"/>
    <x v="11"/>
    <s v="2022"/>
    <x v="119"/>
    <x v="120"/>
    <x v="2"/>
    <x v="0"/>
    <x v="0"/>
  </r>
  <r>
    <x v="188"/>
    <x v="11"/>
    <s v="2022"/>
    <x v="120"/>
    <x v="121"/>
    <x v="2"/>
    <x v="3"/>
    <x v="0"/>
  </r>
  <r>
    <x v="188"/>
    <x v="11"/>
    <s v="2022"/>
    <x v="121"/>
    <x v="329"/>
    <x v="49"/>
    <x v="4"/>
    <x v="0"/>
  </r>
  <r>
    <x v="188"/>
    <x v="11"/>
    <s v="2022"/>
    <x v="243"/>
    <x v="250"/>
    <x v="2"/>
    <x v="0"/>
    <x v="0"/>
  </r>
  <r>
    <x v="188"/>
    <x v="11"/>
    <s v="2022"/>
    <x v="5"/>
    <x v="241"/>
    <x v="8"/>
    <x v="0"/>
    <x v="0"/>
  </r>
  <r>
    <x v="188"/>
    <x v="11"/>
    <s v="2022"/>
    <x v="351"/>
    <x v="60"/>
    <x v="27"/>
    <x v="4"/>
    <x v="0"/>
  </r>
  <r>
    <x v="188"/>
    <x v="11"/>
    <s v="2022"/>
    <x v="100"/>
    <x v="100"/>
    <x v="2"/>
    <x v="0"/>
    <x v="0"/>
  </r>
  <r>
    <x v="188"/>
    <x v="11"/>
    <s v="2022"/>
    <x v="245"/>
    <x v="252"/>
    <x v="2"/>
    <x v="0"/>
    <x v="0"/>
  </r>
  <r>
    <x v="188"/>
    <x v="11"/>
    <s v="2022"/>
    <x v="91"/>
    <x v="90"/>
    <x v="2"/>
    <x v="0"/>
    <x v="0"/>
  </r>
  <r>
    <x v="189"/>
    <x v="11"/>
    <s v="2022"/>
    <x v="55"/>
    <x v="434"/>
    <x v="37"/>
    <x v="3"/>
    <x v="0"/>
  </r>
  <r>
    <x v="189"/>
    <x v="11"/>
    <s v="2022"/>
    <x v="376"/>
    <x v="464"/>
    <x v="49"/>
    <x v="2"/>
    <x v="0"/>
  </r>
  <r>
    <x v="189"/>
    <x v="11"/>
    <s v="2022"/>
    <x v="464"/>
    <x v="56"/>
    <x v="20"/>
    <x v="4"/>
    <x v="0"/>
  </r>
  <r>
    <x v="189"/>
    <x v="11"/>
    <s v="2022"/>
    <x v="127"/>
    <x v="128"/>
    <x v="20"/>
    <x v="0"/>
    <x v="0"/>
  </r>
  <r>
    <x v="189"/>
    <x v="11"/>
    <s v="2022"/>
    <x v="128"/>
    <x v="129"/>
    <x v="2"/>
    <x v="0"/>
    <x v="0"/>
  </r>
  <r>
    <x v="189"/>
    <x v="11"/>
    <s v="2022"/>
    <x v="339"/>
    <x v="139"/>
    <x v="14"/>
    <x v="0"/>
    <x v="0"/>
  </r>
  <r>
    <x v="190"/>
    <x v="11"/>
    <s v="2022"/>
    <x v="465"/>
    <x v="429"/>
    <x v="37"/>
    <x v="3"/>
    <x v="0"/>
  </r>
  <r>
    <x v="190"/>
    <x v="11"/>
    <s v="2022"/>
    <x v="466"/>
    <x v="465"/>
    <x v="2"/>
    <x v="0"/>
    <x v="0"/>
  </r>
  <r>
    <x v="190"/>
    <x v="11"/>
    <s v="2022"/>
    <x v="467"/>
    <x v="466"/>
    <x v="2"/>
    <x v="0"/>
    <x v="0"/>
  </r>
  <r>
    <x v="190"/>
    <x v="11"/>
    <s v="2022"/>
    <x v="468"/>
    <x v="467"/>
    <x v="76"/>
    <x v="0"/>
    <x v="0"/>
  </r>
  <r>
    <x v="191"/>
    <x v="11"/>
    <s v="2022"/>
    <x v="469"/>
    <x v="158"/>
    <x v="6"/>
    <x v="0"/>
    <x v="0"/>
  </r>
  <r>
    <x v="191"/>
    <x v="11"/>
    <s v="2022"/>
    <x v="82"/>
    <x v="23"/>
    <x v="49"/>
    <x v="2"/>
    <x v="0"/>
  </r>
  <r>
    <x v="191"/>
    <x v="11"/>
    <s v="2022"/>
    <x v="464"/>
    <x v="468"/>
    <x v="2"/>
    <x v="0"/>
    <x v="0"/>
  </r>
  <r>
    <x v="191"/>
    <x v="11"/>
    <s v="2022"/>
    <x v="325"/>
    <x v="469"/>
    <x v="2"/>
    <x v="0"/>
    <x v="0"/>
  </r>
  <r>
    <x v="191"/>
    <x v="11"/>
    <s v="2022"/>
    <x v="470"/>
    <x v="198"/>
    <x v="2"/>
    <x v="0"/>
    <x v="0"/>
  </r>
  <r>
    <x v="191"/>
    <x v="11"/>
    <s v="2022"/>
    <x v="138"/>
    <x v="139"/>
    <x v="7"/>
    <x v="0"/>
    <x v="0"/>
  </r>
  <r>
    <x v="191"/>
    <x v="11"/>
    <s v="2022"/>
    <x v="4"/>
    <x v="216"/>
    <x v="21"/>
    <x v="4"/>
    <x v="0"/>
  </r>
  <r>
    <x v="191"/>
    <x v="11"/>
    <s v="2022"/>
    <x v="59"/>
    <x v="59"/>
    <x v="2"/>
    <x v="0"/>
    <x v="0"/>
  </r>
  <r>
    <x v="191"/>
    <x v="11"/>
    <s v="2022"/>
    <x v="60"/>
    <x v="60"/>
    <x v="2"/>
    <x v="0"/>
    <x v="0"/>
  </r>
  <r>
    <x v="191"/>
    <x v="11"/>
    <s v="2022"/>
    <x v="471"/>
    <x v="259"/>
    <x v="2"/>
    <x v="0"/>
    <x v="0"/>
  </r>
  <r>
    <x v="191"/>
    <x v="11"/>
    <s v="2022"/>
    <x v="472"/>
    <x v="170"/>
    <x v="2"/>
    <x v="0"/>
    <x v="0"/>
  </r>
  <r>
    <x v="191"/>
    <x v="11"/>
    <s v="2022"/>
    <x v="473"/>
    <x v="470"/>
    <x v="3"/>
    <x v="0"/>
    <x v="0"/>
  </r>
  <r>
    <x v="192"/>
    <x v="11"/>
    <s v="2022"/>
    <x v="204"/>
    <x v="471"/>
    <x v="7"/>
    <x v="3"/>
    <x v="0"/>
  </r>
  <r>
    <x v="192"/>
    <x v="11"/>
    <s v="2022"/>
    <x v="474"/>
    <x v="472"/>
    <x v="88"/>
    <x v="2"/>
    <x v="0"/>
  </r>
  <r>
    <x v="192"/>
    <x v="11"/>
    <s v="2022"/>
    <x v="50"/>
    <x v="51"/>
    <x v="2"/>
    <x v="0"/>
    <x v="0"/>
  </r>
  <r>
    <x v="193"/>
    <x v="11"/>
    <s v="2022"/>
    <x v="105"/>
    <x v="236"/>
    <x v="15"/>
    <x v="0"/>
    <x v="0"/>
  </r>
  <r>
    <x v="193"/>
    <x v="11"/>
    <s v="2022"/>
    <x v="29"/>
    <x v="473"/>
    <x v="62"/>
    <x v="0"/>
    <x v="0"/>
  </r>
  <r>
    <x v="194"/>
    <x v="11"/>
    <s v="2022"/>
    <x v="9"/>
    <x v="474"/>
    <x v="11"/>
    <x v="0"/>
    <x v="0"/>
  </r>
  <r>
    <x v="194"/>
    <x v="11"/>
    <s v="2022"/>
    <x v="122"/>
    <x v="122"/>
    <x v="2"/>
    <x v="0"/>
    <x v="0"/>
  </r>
  <r>
    <x v="194"/>
    <x v="11"/>
    <s v="2022"/>
    <x v="474"/>
    <x v="395"/>
    <x v="95"/>
    <x v="0"/>
    <x v="0"/>
  </r>
  <r>
    <x v="194"/>
    <x v="11"/>
    <s v="2022"/>
    <x v="189"/>
    <x v="267"/>
    <x v="100"/>
    <x v="7"/>
    <x v="0"/>
  </r>
  <r>
    <x v="194"/>
    <x v="11"/>
    <s v="2022"/>
    <x v="475"/>
    <x v="419"/>
    <x v="35"/>
    <x v="7"/>
    <x v="0"/>
  </r>
  <r>
    <x v="194"/>
    <x v="11"/>
    <s v="2022"/>
    <x v="249"/>
    <x v="263"/>
    <x v="21"/>
    <x v="7"/>
    <x v="0"/>
  </r>
  <r>
    <x v="195"/>
    <x v="11"/>
    <s v="2022"/>
    <x v="3"/>
    <x v="292"/>
    <x v="88"/>
    <x v="2"/>
    <x v="0"/>
  </r>
  <r>
    <x v="195"/>
    <x v="11"/>
    <s v="2022"/>
    <x v="450"/>
    <x v="284"/>
    <x v="49"/>
    <x v="3"/>
    <x v="0"/>
  </r>
  <r>
    <x v="195"/>
    <x v="11"/>
    <s v="2022"/>
    <x v="476"/>
    <x v="235"/>
    <x v="2"/>
    <x v="0"/>
    <x v="0"/>
  </r>
  <r>
    <x v="195"/>
    <x v="11"/>
    <s v="2022"/>
    <x v="307"/>
    <x v="414"/>
    <x v="2"/>
    <x v="0"/>
    <x v="0"/>
  </r>
  <r>
    <x v="195"/>
    <x v="11"/>
    <s v="2022"/>
    <x v="477"/>
    <x v="475"/>
    <x v="2"/>
    <x v="0"/>
    <x v="0"/>
  </r>
  <r>
    <x v="195"/>
    <x v="11"/>
    <s v="2022"/>
    <x v="478"/>
    <x v="110"/>
    <x v="13"/>
    <x v="0"/>
    <x v="0"/>
  </r>
  <r>
    <x v="195"/>
    <x v="11"/>
    <s v="2022"/>
    <x v="222"/>
    <x v="326"/>
    <x v="75"/>
    <x v="7"/>
    <x v="0"/>
  </r>
  <r>
    <x v="196"/>
    <x v="11"/>
    <s v="2022"/>
    <x v="479"/>
    <x v="476"/>
    <x v="16"/>
    <x v="7"/>
    <x v="0"/>
  </r>
  <r>
    <x v="197"/>
    <x v="11"/>
    <s v="2022"/>
    <x v="480"/>
    <x v="241"/>
    <x v="12"/>
    <x v="6"/>
    <x v="0"/>
  </r>
  <r>
    <x v="197"/>
    <x v="11"/>
    <s v="2022"/>
    <x v="181"/>
    <x v="275"/>
    <x v="66"/>
    <x v="7"/>
    <x v="0"/>
  </r>
  <r>
    <x v="197"/>
    <x v="11"/>
    <s v="2022"/>
    <x v="250"/>
    <x v="477"/>
    <x v="101"/>
    <x v="7"/>
    <x v="0"/>
  </r>
  <r>
    <x v="198"/>
    <x v="11"/>
    <s v="2022"/>
    <x v="80"/>
    <x v="54"/>
    <x v="16"/>
    <x v="7"/>
    <x v="0"/>
  </r>
  <r>
    <x v="199"/>
    <x v="11"/>
    <s v="2022"/>
    <x v="481"/>
    <x v="478"/>
    <x v="41"/>
    <x v="7"/>
    <x v="0"/>
  </r>
  <r>
    <x v="199"/>
    <x v="11"/>
    <s v="2022"/>
    <x v="482"/>
    <x v="479"/>
    <x v="102"/>
    <x v="7"/>
    <x v="0"/>
  </r>
  <r>
    <x v="200"/>
    <x v="11"/>
    <s v="2022"/>
    <x v="483"/>
    <x v="480"/>
    <x v="100"/>
    <x v="7"/>
    <x v="0"/>
  </r>
  <r>
    <x v="200"/>
    <x v="11"/>
    <s v="2022"/>
    <x v="111"/>
    <x v="192"/>
    <x v="103"/>
    <x v="7"/>
    <x v="0"/>
  </r>
  <r>
    <x v="200"/>
    <x v="11"/>
    <s v="2022"/>
    <x v="484"/>
    <x v="112"/>
    <x v="104"/>
    <x v="7"/>
    <x v="0"/>
  </r>
  <r>
    <x v="201"/>
    <x v="11"/>
    <s v="2022"/>
    <x v="450"/>
    <x v="235"/>
    <x v="31"/>
    <x v="6"/>
    <x v="0"/>
  </r>
  <r>
    <x v="201"/>
    <x v="11"/>
    <s v="2022"/>
    <x v="485"/>
    <x v="259"/>
    <x v="100"/>
    <x v="6"/>
    <x v="0"/>
  </r>
  <r>
    <x v="202"/>
    <x v="0"/>
    <s v="2022"/>
    <x v="338"/>
    <x v="481"/>
    <x v="2"/>
    <x v="6"/>
    <x v="0"/>
  </r>
  <r>
    <x v="202"/>
    <x v="0"/>
    <s v="2022"/>
    <x v="122"/>
    <x v="122"/>
    <x v="2"/>
    <x v="3"/>
    <x v="0"/>
  </r>
  <r>
    <x v="202"/>
    <x v="0"/>
    <s v="2022"/>
    <x v="123"/>
    <x v="123"/>
    <x v="2"/>
    <x v="0"/>
    <x v="0"/>
  </r>
  <r>
    <x v="202"/>
    <x v="0"/>
    <s v="2022"/>
    <x v="90"/>
    <x v="89"/>
    <x v="2"/>
    <x v="0"/>
    <x v="0"/>
  </r>
  <r>
    <x v="202"/>
    <x v="0"/>
    <s v="2022"/>
    <x v="486"/>
    <x v="380"/>
    <x v="105"/>
    <x v="0"/>
    <x v="0"/>
  </r>
  <r>
    <x v="202"/>
    <x v="0"/>
    <s v="2022"/>
    <x v="487"/>
    <x v="482"/>
    <x v="3"/>
    <x v="0"/>
    <x v="0"/>
  </r>
  <r>
    <x v="202"/>
    <x v="0"/>
    <s v="2022"/>
    <x v="488"/>
    <x v="483"/>
    <x v="23"/>
    <x v="7"/>
    <x v="0"/>
  </r>
  <r>
    <x v="203"/>
    <x v="0"/>
    <s v="2022"/>
    <x v="127"/>
    <x v="128"/>
    <x v="2"/>
    <x v="6"/>
    <x v="0"/>
  </r>
  <r>
    <x v="203"/>
    <x v="0"/>
    <s v="2022"/>
    <x v="128"/>
    <x v="129"/>
    <x v="2"/>
    <x v="6"/>
    <x v="0"/>
  </r>
  <r>
    <x v="203"/>
    <x v="0"/>
    <s v="2022"/>
    <x v="339"/>
    <x v="345"/>
    <x v="2"/>
    <x v="0"/>
    <x v="0"/>
  </r>
  <r>
    <x v="203"/>
    <x v="0"/>
    <s v="2022"/>
    <x v="350"/>
    <x v="131"/>
    <x v="8"/>
    <x v="0"/>
    <x v="0"/>
  </r>
  <r>
    <x v="203"/>
    <x v="0"/>
    <s v="2022"/>
    <x v="131"/>
    <x v="347"/>
    <x v="39"/>
    <x v="4"/>
    <x v="0"/>
  </r>
  <r>
    <x v="203"/>
    <x v="0"/>
    <s v="2022"/>
    <x v="132"/>
    <x v="133"/>
    <x v="2"/>
    <x v="0"/>
    <x v="0"/>
  </r>
  <r>
    <x v="203"/>
    <x v="0"/>
    <s v="2022"/>
    <x v="133"/>
    <x v="134"/>
    <x v="2"/>
    <x v="0"/>
    <x v="0"/>
  </r>
  <r>
    <x v="203"/>
    <x v="0"/>
    <s v="2022"/>
    <x v="309"/>
    <x v="287"/>
    <x v="8"/>
    <x v="0"/>
    <x v="0"/>
  </r>
  <r>
    <x v="204"/>
    <x v="0"/>
    <s v="2022"/>
    <x v="489"/>
    <x v="484"/>
    <x v="88"/>
    <x v="2"/>
    <x v="0"/>
  </r>
  <r>
    <x v="204"/>
    <x v="0"/>
    <s v="2022"/>
    <x v="490"/>
    <x v="485"/>
    <x v="2"/>
    <x v="0"/>
    <x v="0"/>
  </r>
  <r>
    <x v="204"/>
    <x v="0"/>
    <s v="2022"/>
    <x v="491"/>
    <x v="486"/>
    <x v="2"/>
    <x v="0"/>
    <x v="0"/>
  </r>
  <r>
    <x v="204"/>
    <x v="0"/>
    <s v="2022"/>
    <x v="492"/>
    <x v="477"/>
    <x v="88"/>
    <x v="0"/>
    <x v="0"/>
  </r>
  <r>
    <x v="204"/>
    <x v="0"/>
    <s v="2022"/>
    <x v="493"/>
    <x v="487"/>
    <x v="2"/>
    <x v="0"/>
    <x v="1"/>
  </r>
  <r>
    <x v="205"/>
    <x v="0"/>
    <s v="2022"/>
    <x v="71"/>
    <x v="488"/>
    <x v="75"/>
    <x v="7"/>
    <x v="0"/>
  </r>
  <r>
    <x v="205"/>
    <x v="0"/>
    <s v="2022"/>
    <x v="339"/>
    <x v="341"/>
    <x v="57"/>
    <x v="7"/>
    <x v="0"/>
  </r>
  <r>
    <x v="205"/>
    <x v="0"/>
    <s v="2022"/>
    <x v="350"/>
    <x v="335"/>
    <x v="96"/>
    <x v="7"/>
    <x v="0"/>
  </r>
  <r>
    <x v="205"/>
    <x v="0"/>
    <s v="2022"/>
    <x v="494"/>
    <x v="5"/>
    <x v="1"/>
    <x v="0"/>
    <x v="0"/>
  </r>
  <r>
    <x v="206"/>
    <x v="0"/>
    <s v="2022"/>
    <x v="4"/>
    <x v="489"/>
    <x v="28"/>
    <x v="7"/>
    <x v="0"/>
  </r>
  <r>
    <x v="206"/>
    <x v="0"/>
    <s v="2022"/>
    <x v="495"/>
    <x v="93"/>
    <x v="28"/>
    <x v="7"/>
    <x v="0"/>
  </r>
  <r>
    <x v="206"/>
    <x v="0"/>
    <s v="2022"/>
    <x v="496"/>
    <x v="60"/>
    <x v="40"/>
    <x v="7"/>
    <x v="0"/>
  </r>
  <r>
    <x v="206"/>
    <x v="0"/>
    <s v="2022"/>
    <x v="219"/>
    <x v="490"/>
    <x v="23"/>
    <x v="7"/>
    <x v="0"/>
  </r>
  <r>
    <x v="207"/>
    <x v="0"/>
    <s v="2022"/>
    <x v="497"/>
    <x v="377"/>
    <x v="4"/>
    <x v="7"/>
    <x v="0"/>
  </r>
  <r>
    <x v="207"/>
    <x v="0"/>
    <s v="2022"/>
    <x v="116"/>
    <x v="197"/>
    <x v="45"/>
    <x v="7"/>
    <x v="0"/>
  </r>
  <r>
    <x v="207"/>
    <x v="0"/>
    <s v="2022"/>
    <x v="498"/>
    <x v="2"/>
    <x v="37"/>
    <x v="7"/>
    <x v="0"/>
  </r>
  <r>
    <x v="207"/>
    <x v="0"/>
    <s v="2022"/>
    <x v="288"/>
    <x v="327"/>
    <x v="52"/>
    <x v="7"/>
    <x v="0"/>
  </r>
  <r>
    <x v="208"/>
    <x v="0"/>
    <s v="2022"/>
    <x v="76"/>
    <x v="491"/>
    <x v="73"/>
    <x v="6"/>
    <x v="0"/>
  </r>
  <r>
    <x v="209"/>
    <x v="0"/>
    <s v="2022"/>
    <x v="499"/>
    <x v="492"/>
    <x v="28"/>
    <x v="6"/>
    <x v="0"/>
  </r>
  <r>
    <x v="209"/>
    <x v="0"/>
    <s v="2022"/>
    <x v="113"/>
    <x v="443"/>
    <x v="88"/>
    <x v="2"/>
    <x v="0"/>
  </r>
  <r>
    <x v="209"/>
    <x v="0"/>
    <s v="2022"/>
    <x v="500"/>
    <x v="493"/>
    <x v="2"/>
    <x v="6"/>
    <x v="0"/>
  </r>
  <r>
    <x v="209"/>
    <x v="0"/>
    <s v="2022"/>
    <x v="324"/>
    <x v="494"/>
    <x v="2"/>
    <x v="6"/>
    <x v="0"/>
  </r>
  <r>
    <x v="209"/>
    <x v="0"/>
    <s v="2022"/>
    <x v="501"/>
    <x v="234"/>
    <x v="2"/>
    <x v="6"/>
    <x v="0"/>
  </r>
  <r>
    <x v="209"/>
    <x v="0"/>
    <s v="2022"/>
    <x v="360"/>
    <x v="338"/>
    <x v="48"/>
    <x v="6"/>
    <x v="0"/>
  </r>
  <r>
    <x v="209"/>
    <x v="0"/>
    <s v="2022"/>
    <x v="109"/>
    <x v="146"/>
    <x v="88"/>
    <x v="2"/>
    <x v="0"/>
  </r>
  <r>
    <x v="209"/>
    <x v="0"/>
    <s v="2022"/>
    <x v="24"/>
    <x v="376"/>
    <x v="2"/>
    <x v="6"/>
    <x v="0"/>
  </r>
  <r>
    <x v="209"/>
    <x v="0"/>
    <s v="2022"/>
    <x v="74"/>
    <x v="74"/>
    <x v="2"/>
    <x v="6"/>
    <x v="0"/>
  </r>
  <r>
    <x v="209"/>
    <x v="0"/>
    <s v="2022"/>
    <x v="450"/>
    <x v="495"/>
    <x v="2"/>
    <x v="6"/>
    <x v="0"/>
  </r>
  <r>
    <x v="209"/>
    <x v="0"/>
    <s v="2022"/>
    <x v="502"/>
    <x v="148"/>
    <x v="39"/>
    <x v="6"/>
    <x v="0"/>
  </r>
  <r>
    <x v="209"/>
    <x v="0"/>
    <s v="2022"/>
    <x v="46"/>
    <x v="93"/>
    <x v="39"/>
    <x v="4"/>
    <x v="0"/>
  </r>
  <r>
    <x v="209"/>
    <x v="0"/>
    <s v="2022"/>
    <x v="47"/>
    <x v="48"/>
    <x v="2"/>
    <x v="6"/>
    <x v="1"/>
  </r>
  <r>
    <x v="209"/>
    <x v="0"/>
    <s v="2022"/>
    <x v="48"/>
    <x v="49"/>
    <x v="28"/>
    <x v="6"/>
    <x v="0"/>
  </r>
  <r>
    <x v="209"/>
    <x v="0"/>
    <s v="2022"/>
    <x v="50"/>
    <x v="51"/>
    <x v="2"/>
    <x v="6"/>
    <x v="0"/>
  </r>
  <r>
    <x v="209"/>
    <x v="0"/>
    <s v="2022"/>
    <x v="94"/>
    <x v="94"/>
    <x v="2"/>
    <x v="6"/>
    <x v="0"/>
  </r>
  <r>
    <x v="209"/>
    <x v="0"/>
    <s v="2022"/>
    <x v="503"/>
    <x v="268"/>
    <x v="2"/>
    <x v="6"/>
    <x v="0"/>
  </r>
  <r>
    <x v="209"/>
    <x v="0"/>
    <s v="2022"/>
    <x v="213"/>
    <x v="219"/>
    <x v="2"/>
    <x v="6"/>
    <x v="0"/>
  </r>
  <r>
    <x v="209"/>
    <x v="0"/>
    <s v="2022"/>
    <x v="214"/>
    <x v="220"/>
    <x v="2"/>
    <x v="6"/>
    <x v="0"/>
  </r>
  <r>
    <x v="209"/>
    <x v="0"/>
    <s v="2022"/>
    <x v="165"/>
    <x v="164"/>
    <x v="2"/>
    <x v="6"/>
    <x v="0"/>
  </r>
  <r>
    <x v="209"/>
    <x v="0"/>
    <s v="2022"/>
    <x v="262"/>
    <x v="153"/>
    <x v="49"/>
    <x v="4"/>
    <x v="0"/>
  </r>
  <r>
    <x v="209"/>
    <x v="0"/>
    <s v="2022"/>
    <x v="504"/>
    <x v="496"/>
    <x v="2"/>
    <x v="6"/>
    <x v="0"/>
  </r>
  <r>
    <x v="209"/>
    <x v="0"/>
    <s v="2022"/>
    <x v="173"/>
    <x v="497"/>
    <x v="2"/>
    <x v="6"/>
    <x v="0"/>
  </r>
  <r>
    <x v="209"/>
    <x v="0"/>
    <s v="2022"/>
    <x v="505"/>
    <x v="498"/>
    <x v="2"/>
    <x v="6"/>
    <x v="0"/>
  </r>
  <r>
    <x v="209"/>
    <x v="0"/>
    <s v="2022"/>
    <x v="506"/>
    <x v="499"/>
    <x v="2"/>
    <x v="6"/>
    <x v="0"/>
  </r>
  <r>
    <x v="210"/>
    <x v="0"/>
    <s v="2022"/>
    <x v="507"/>
    <x v="500"/>
    <x v="2"/>
    <x v="6"/>
    <x v="0"/>
  </r>
  <r>
    <x v="210"/>
    <x v="0"/>
    <s v="2022"/>
    <x v="508"/>
    <x v="501"/>
    <x v="2"/>
    <x v="6"/>
    <x v="0"/>
  </r>
  <r>
    <x v="210"/>
    <x v="0"/>
    <s v="2022"/>
    <x v="509"/>
    <x v="502"/>
    <x v="2"/>
    <x v="6"/>
    <x v="0"/>
  </r>
  <r>
    <x v="210"/>
    <x v="0"/>
    <s v="2022"/>
    <x v="510"/>
    <x v="503"/>
    <x v="14"/>
    <x v="6"/>
    <x v="0"/>
  </r>
  <r>
    <x v="210"/>
    <x v="0"/>
    <s v="2022"/>
    <x v="511"/>
    <x v="504"/>
    <x v="2"/>
    <x v="6"/>
    <x v="1"/>
  </r>
  <r>
    <x v="211"/>
    <x v="0"/>
    <s v="2022"/>
    <x v="512"/>
    <x v="505"/>
    <x v="106"/>
    <x v="7"/>
    <x v="0"/>
  </r>
  <r>
    <x v="211"/>
    <x v="0"/>
    <s v="2022"/>
    <x v="116"/>
    <x v="506"/>
    <x v="7"/>
    <x v="7"/>
    <x v="0"/>
  </r>
  <r>
    <x v="211"/>
    <x v="0"/>
    <s v="2022"/>
    <x v="127"/>
    <x v="507"/>
    <x v="51"/>
    <x v="7"/>
    <x v="0"/>
  </r>
  <r>
    <x v="211"/>
    <x v="0"/>
    <s v="2022"/>
    <x v="98"/>
    <x v="304"/>
    <x v="49"/>
    <x v="7"/>
    <x v="0"/>
  </r>
  <r>
    <x v="212"/>
    <x v="0"/>
    <s v="2022"/>
    <x v="432"/>
    <x v="260"/>
    <x v="107"/>
    <x v="7"/>
    <x v="0"/>
  </r>
  <r>
    <x v="212"/>
    <x v="0"/>
    <s v="2022"/>
    <x v="1"/>
    <x v="61"/>
    <x v="32"/>
    <x v="7"/>
    <x v="0"/>
  </r>
  <r>
    <x v="213"/>
    <x v="0"/>
    <s v="2022"/>
    <x v="0"/>
    <x v="508"/>
    <x v="34"/>
    <x v="7"/>
    <x v="0"/>
  </r>
  <r>
    <x v="213"/>
    <x v="0"/>
    <s v="2022"/>
    <x v="305"/>
    <x v="423"/>
    <x v="2"/>
    <x v="7"/>
    <x v="0"/>
  </r>
  <r>
    <x v="214"/>
    <x v="0"/>
    <s v="2022"/>
    <x v="455"/>
    <x v="304"/>
    <x v="2"/>
    <x v="7"/>
    <x v="0"/>
  </r>
  <r>
    <x v="214"/>
    <x v="0"/>
    <s v="2022"/>
    <x v="327"/>
    <x v="295"/>
    <x v="2"/>
    <x v="7"/>
    <x v="0"/>
  </r>
  <r>
    <x v="214"/>
    <x v="0"/>
    <s v="2022"/>
    <x v="133"/>
    <x v="134"/>
    <x v="2"/>
    <x v="0"/>
    <x v="0"/>
  </r>
  <r>
    <x v="214"/>
    <x v="0"/>
    <s v="2022"/>
    <x v="309"/>
    <x v="287"/>
    <x v="88"/>
    <x v="0"/>
    <x v="0"/>
  </r>
  <r>
    <x v="214"/>
    <x v="0"/>
    <s v="2022"/>
    <x v="513"/>
    <x v="355"/>
    <x v="2"/>
    <x v="7"/>
    <x v="1"/>
  </r>
  <r>
    <x v="215"/>
    <x v="0"/>
    <s v="2022"/>
    <x v="439"/>
    <x v="509"/>
    <x v="84"/>
    <x v="0"/>
    <x v="0"/>
  </r>
  <r>
    <x v="215"/>
    <x v="0"/>
    <s v="2022"/>
    <x v="514"/>
    <x v="510"/>
    <x v="68"/>
    <x v="0"/>
    <x v="0"/>
  </r>
  <r>
    <x v="215"/>
    <x v="0"/>
    <s v="2022"/>
    <x v="515"/>
    <x v="511"/>
    <x v="8"/>
    <x v="0"/>
    <x v="0"/>
  </r>
  <r>
    <x v="215"/>
    <x v="0"/>
    <s v="2022"/>
    <x v="188"/>
    <x v="98"/>
    <x v="18"/>
    <x v="7"/>
    <x v="0"/>
  </r>
  <r>
    <x v="215"/>
    <x v="0"/>
    <s v="2022"/>
    <x v="516"/>
    <x v="123"/>
    <x v="64"/>
    <x v="7"/>
    <x v="0"/>
  </r>
  <r>
    <x v="216"/>
    <x v="0"/>
    <s v="2022"/>
    <x v="139"/>
    <x v="174"/>
    <x v="32"/>
    <x v="0"/>
    <x v="0"/>
  </r>
  <r>
    <x v="217"/>
    <x v="0"/>
    <s v="2022"/>
    <x v="13"/>
    <x v="512"/>
    <x v="36"/>
    <x v="7"/>
    <x v="0"/>
  </r>
  <r>
    <x v="217"/>
    <x v="0"/>
    <s v="2022"/>
    <x v="218"/>
    <x v="100"/>
    <x v="108"/>
    <x v="7"/>
    <x v="0"/>
  </r>
  <r>
    <x v="218"/>
    <x v="0"/>
    <s v="2022"/>
    <x v="423"/>
    <x v="205"/>
    <x v="2"/>
    <x v="7"/>
    <x v="0"/>
  </r>
  <r>
    <x v="218"/>
    <x v="0"/>
    <s v="2022"/>
    <x v="274"/>
    <x v="336"/>
    <x v="2"/>
    <x v="0"/>
    <x v="0"/>
  </r>
  <r>
    <x v="218"/>
    <x v="0"/>
    <s v="2022"/>
    <x v="359"/>
    <x v="282"/>
    <x v="2"/>
    <x v="0"/>
    <x v="0"/>
  </r>
  <r>
    <x v="218"/>
    <x v="0"/>
    <s v="2022"/>
    <x v="517"/>
    <x v="513"/>
    <x v="7"/>
    <x v="0"/>
    <x v="0"/>
  </r>
  <r>
    <x v="218"/>
    <x v="0"/>
    <s v="2022"/>
    <x v="322"/>
    <x v="53"/>
    <x v="2"/>
    <x v="7"/>
    <x v="1"/>
  </r>
  <r>
    <x v="218"/>
    <x v="0"/>
    <s v="2022"/>
    <x v="151"/>
    <x v="151"/>
    <x v="2"/>
    <x v="0"/>
    <x v="0"/>
  </r>
  <r>
    <x v="218"/>
    <x v="0"/>
    <s v="2022"/>
    <x v="152"/>
    <x v="152"/>
    <x v="2"/>
    <x v="0"/>
    <x v="0"/>
  </r>
  <r>
    <x v="218"/>
    <x v="0"/>
    <s v="2022"/>
    <x v="134"/>
    <x v="135"/>
    <x v="71"/>
    <x v="0"/>
    <x v="0"/>
  </r>
  <r>
    <x v="219"/>
    <x v="0"/>
    <s v="2022"/>
    <x v="14"/>
    <x v="2"/>
    <x v="18"/>
    <x v="7"/>
    <x v="0"/>
  </r>
  <r>
    <x v="219"/>
    <x v="0"/>
    <s v="2022"/>
    <x v="210"/>
    <x v="514"/>
    <x v="109"/>
    <x v="7"/>
    <x v="0"/>
  </r>
  <r>
    <x v="219"/>
    <x v="0"/>
    <s v="2022"/>
    <x v="255"/>
    <x v="154"/>
    <x v="76"/>
    <x v="0"/>
    <x v="0"/>
  </r>
  <r>
    <x v="219"/>
    <x v="0"/>
    <s v="2022"/>
    <x v="137"/>
    <x v="515"/>
    <x v="8"/>
    <x v="0"/>
    <x v="0"/>
  </r>
  <r>
    <x v="220"/>
    <x v="0"/>
    <s v="2022"/>
    <x v="518"/>
    <x v="516"/>
    <x v="8"/>
    <x v="0"/>
    <x v="0"/>
  </r>
  <r>
    <x v="220"/>
    <x v="0"/>
    <s v="2022"/>
    <x v="519"/>
    <x v="517"/>
    <x v="40"/>
    <x v="0"/>
    <x v="0"/>
  </r>
  <r>
    <x v="220"/>
    <x v="0"/>
    <s v="2022"/>
    <x v="307"/>
    <x v="99"/>
    <x v="86"/>
    <x v="0"/>
    <x v="0"/>
  </r>
  <r>
    <x v="221"/>
    <x v="1"/>
    <s v="2022"/>
    <x v="520"/>
    <x v="518"/>
    <x v="76"/>
    <x v="7"/>
    <x v="0"/>
  </r>
  <r>
    <x v="221"/>
    <x v="1"/>
    <s v="2022"/>
    <x v="305"/>
    <x v="148"/>
    <x v="1"/>
    <x v="7"/>
    <x v="0"/>
  </r>
  <r>
    <x v="221"/>
    <x v="1"/>
    <s v="2022"/>
    <x v="47"/>
    <x v="297"/>
    <x v="32"/>
    <x v="7"/>
    <x v="0"/>
  </r>
  <r>
    <x v="222"/>
    <x v="1"/>
    <s v="2022"/>
    <x v="117"/>
    <x v="338"/>
    <x v="7"/>
    <x v="2"/>
    <x v="0"/>
  </r>
  <r>
    <x v="222"/>
    <x v="1"/>
    <s v="2022"/>
    <x v="521"/>
    <x v="519"/>
    <x v="49"/>
    <x v="0"/>
    <x v="0"/>
  </r>
  <r>
    <x v="222"/>
    <x v="1"/>
    <s v="2022"/>
    <x v="522"/>
    <x v="450"/>
    <x v="2"/>
    <x v="0"/>
    <x v="0"/>
  </r>
  <r>
    <x v="222"/>
    <x v="1"/>
    <s v="2022"/>
    <x v="498"/>
    <x v="444"/>
    <x v="2"/>
    <x v="0"/>
    <x v="0"/>
  </r>
  <r>
    <x v="222"/>
    <x v="1"/>
    <s v="2022"/>
    <x v="210"/>
    <x v="215"/>
    <x v="2"/>
    <x v="0"/>
    <x v="0"/>
  </r>
  <r>
    <x v="222"/>
    <x v="1"/>
    <s v="2022"/>
    <x v="331"/>
    <x v="327"/>
    <x v="41"/>
    <x v="0"/>
    <x v="0"/>
  </r>
  <r>
    <x v="223"/>
    <x v="1"/>
    <s v="2022"/>
    <x v="18"/>
    <x v="520"/>
    <x v="42"/>
    <x v="0"/>
    <x v="0"/>
  </r>
  <r>
    <x v="223"/>
    <x v="1"/>
    <s v="2022"/>
    <x v="523"/>
    <x v="282"/>
    <x v="110"/>
    <x v="0"/>
    <x v="0"/>
  </r>
  <r>
    <x v="223"/>
    <x v="1"/>
    <s v="2022"/>
    <x v="13"/>
    <x v="24"/>
    <x v="32"/>
    <x v="0"/>
    <x v="0"/>
  </r>
  <r>
    <x v="223"/>
    <x v="1"/>
    <s v="2022"/>
    <x v="524"/>
    <x v="139"/>
    <x v="6"/>
    <x v="7"/>
    <x v="0"/>
  </r>
  <r>
    <x v="223"/>
    <x v="1"/>
    <s v="2022"/>
    <x v="59"/>
    <x v="422"/>
    <x v="28"/>
    <x v="7"/>
    <x v="0"/>
  </r>
  <r>
    <x v="224"/>
    <x v="1"/>
    <s v="2022"/>
    <x v="71"/>
    <x v="3"/>
    <x v="33"/>
    <x v="7"/>
    <x v="0"/>
  </r>
  <r>
    <x v="225"/>
    <x v="1"/>
    <s v="2022"/>
    <x v="297"/>
    <x v="521"/>
    <x v="101"/>
    <x v="0"/>
    <x v="0"/>
  </r>
  <r>
    <x v="226"/>
    <x v="1"/>
    <s v="2022"/>
    <x v="327"/>
    <x v="522"/>
    <x v="86"/>
    <x v="0"/>
    <x v="0"/>
  </r>
  <r>
    <x v="226"/>
    <x v="1"/>
    <s v="2022"/>
    <x v="429"/>
    <x v="101"/>
    <x v="27"/>
    <x v="0"/>
    <x v="0"/>
  </r>
  <r>
    <x v="227"/>
    <x v="1"/>
    <s v="2022"/>
    <x v="151"/>
    <x v="523"/>
    <x v="18"/>
    <x v="0"/>
    <x v="0"/>
  </r>
  <r>
    <x v="228"/>
    <x v="1"/>
    <s v="2022"/>
    <x v="378"/>
    <x v="524"/>
    <x v="2"/>
    <x v="0"/>
    <x v="0"/>
  </r>
  <r>
    <x v="228"/>
    <x v="1"/>
    <s v="2022"/>
    <x v="373"/>
    <x v="204"/>
    <x v="6"/>
    <x v="0"/>
    <x v="0"/>
  </r>
  <r>
    <x v="229"/>
    <x v="1"/>
    <s v="2022"/>
    <x v="360"/>
    <x v="338"/>
    <x v="2"/>
    <x v="0"/>
    <x v="0"/>
  </r>
  <r>
    <x v="229"/>
    <x v="1"/>
    <s v="2022"/>
    <x v="13"/>
    <x v="13"/>
    <x v="2"/>
    <x v="0"/>
    <x v="0"/>
  </r>
  <r>
    <x v="229"/>
    <x v="1"/>
    <s v="2022"/>
    <x v="14"/>
    <x v="14"/>
    <x v="2"/>
    <x v="0"/>
    <x v="0"/>
  </r>
  <r>
    <x v="229"/>
    <x v="1"/>
    <s v="2022"/>
    <x v="405"/>
    <x v="405"/>
    <x v="42"/>
    <x v="0"/>
    <x v="0"/>
  </r>
  <r>
    <x v="229"/>
    <x v="1"/>
    <s v="2022"/>
    <x v="515"/>
    <x v="130"/>
    <x v="58"/>
    <x v="4"/>
    <x v="0"/>
  </r>
  <r>
    <x v="229"/>
    <x v="1"/>
    <s v="2022"/>
    <x v="130"/>
    <x v="350"/>
    <x v="2"/>
    <x v="0"/>
    <x v="0"/>
  </r>
  <r>
    <x v="229"/>
    <x v="1"/>
    <s v="2022"/>
    <x v="131"/>
    <x v="132"/>
    <x v="111"/>
    <x v="0"/>
    <x v="0"/>
  </r>
  <r>
    <x v="230"/>
    <x v="1"/>
    <s v="2022"/>
    <x v="525"/>
    <x v="402"/>
    <x v="69"/>
    <x v="0"/>
    <x v="0"/>
  </r>
  <r>
    <x v="230"/>
    <x v="1"/>
    <s v="2022"/>
    <x v="43"/>
    <x v="525"/>
    <x v="46"/>
    <x v="0"/>
    <x v="0"/>
  </r>
  <r>
    <x v="230"/>
    <x v="1"/>
    <s v="2022"/>
    <x v="44"/>
    <x v="39"/>
    <x v="73"/>
    <x v="0"/>
    <x v="0"/>
  </r>
  <r>
    <x v="230"/>
    <x v="1"/>
    <s v="2022"/>
    <x v="80"/>
    <x v="54"/>
    <x v="16"/>
    <x v="0"/>
    <x v="0"/>
  </r>
  <r>
    <x v="230"/>
    <x v="1"/>
    <s v="2022"/>
    <x v="296"/>
    <x v="526"/>
    <x v="71"/>
    <x v="0"/>
    <x v="0"/>
  </r>
  <r>
    <x v="230"/>
    <x v="1"/>
    <s v="2022"/>
    <x v="327"/>
    <x v="295"/>
    <x v="2"/>
    <x v="0"/>
    <x v="0"/>
  </r>
  <r>
    <x v="230"/>
    <x v="1"/>
    <s v="2022"/>
    <x v="251"/>
    <x v="188"/>
    <x v="8"/>
    <x v="0"/>
    <x v="0"/>
  </r>
  <r>
    <x v="230"/>
    <x v="1"/>
    <s v="2022"/>
    <x v="264"/>
    <x v="271"/>
    <x v="2"/>
    <x v="0"/>
    <x v="0"/>
  </r>
  <r>
    <x v="231"/>
    <x v="1"/>
    <s v="2022"/>
    <x v="526"/>
    <x v="245"/>
    <x v="47"/>
    <x v="0"/>
    <x v="0"/>
  </r>
  <r>
    <x v="231"/>
    <x v="1"/>
    <s v="2022"/>
    <x v="9"/>
    <x v="46"/>
    <x v="15"/>
    <x v="0"/>
    <x v="0"/>
  </r>
  <r>
    <x v="231"/>
    <x v="1"/>
    <s v="2022"/>
    <x v="389"/>
    <x v="300"/>
    <x v="49"/>
    <x v="0"/>
    <x v="0"/>
  </r>
  <r>
    <x v="231"/>
    <x v="1"/>
    <s v="2022"/>
    <x v="455"/>
    <x v="216"/>
    <x v="49"/>
    <x v="0"/>
    <x v="0"/>
  </r>
  <r>
    <x v="232"/>
    <x v="1"/>
    <s v="2022"/>
    <x v="114"/>
    <x v="527"/>
    <x v="111"/>
    <x v="2"/>
    <x v="0"/>
  </r>
  <r>
    <x v="232"/>
    <x v="1"/>
    <s v="2022"/>
    <x v="119"/>
    <x v="120"/>
    <x v="2"/>
    <x v="0"/>
    <x v="0"/>
  </r>
  <r>
    <x v="232"/>
    <x v="1"/>
    <s v="2022"/>
    <x v="218"/>
    <x v="344"/>
    <x v="2"/>
    <x v="0"/>
    <x v="0"/>
  </r>
  <r>
    <x v="232"/>
    <x v="1"/>
    <s v="2022"/>
    <x v="305"/>
    <x v="423"/>
    <x v="2"/>
    <x v="0"/>
    <x v="0"/>
  </r>
  <r>
    <x v="232"/>
    <x v="1"/>
    <s v="2022"/>
    <x v="131"/>
    <x v="132"/>
    <x v="2"/>
    <x v="0"/>
    <x v="0"/>
  </r>
  <r>
    <x v="232"/>
    <x v="1"/>
    <s v="2022"/>
    <x v="123"/>
    <x v="123"/>
    <x v="2"/>
    <x v="0"/>
    <x v="0"/>
  </r>
  <r>
    <x v="232"/>
    <x v="1"/>
    <s v="2022"/>
    <x v="124"/>
    <x v="124"/>
    <x v="2"/>
    <x v="0"/>
    <x v="0"/>
  </r>
  <r>
    <x v="233"/>
    <x v="1"/>
    <s v="2022"/>
    <x v="14"/>
    <x v="14"/>
    <x v="2"/>
    <x v="0"/>
    <x v="0"/>
  </r>
  <r>
    <x v="233"/>
    <x v="1"/>
    <s v="2022"/>
    <x v="15"/>
    <x v="15"/>
    <x v="2"/>
    <x v="0"/>
    <x v="0"/>
  </r>
  <r>
    <x v="233"/>
    <x v="1"/>
    <s v="2022"/>
    <x v="210"/>
    <x v="215"/>
    <x v="2"/>
    <x v="0"/>
    <x v="0"/>
  </r>
  <r>
    <x v="234"/>
    <x v="1"/>
    <s v="2022"/>
    <x v="279"/>
    <x v="528"/>
    <x v="3"/>
    <x v="0"/>
    <x v="0"/>
  </r>
  <r>
    <x v="234"/>
    <x v="1"/>
    <s v="2022"/>
    <x v="527"/>
    <x v="65"/>
    <x v="83"/>
    <x v="0"/>
    <x v="0"/>
  </r>
  <r>
    <x v="234"/>
    <x v="1"/>
    <s v="2022"/>
    <x v="45"/>
    <x v="529"/>
    <x v="76"/>
    <x v="0"/>
    <x v="0"/>
  </r>
  <r>
    <x v="234"/>
    <x v="1"/>
    <s v="2022"/>
    <x v="56"/>
    <x v="530"/>
    <x v="57"/>
    <x v="0"/>
    <x v="0"/>
  </r>
  <r>
    <x v="234"/>
    <x v="1"/>
    <s v="2022"/>
    <x v="146"/>
    <x v="531"/>
    <x v="48"/>
    <x v="0"/>
    <x v="0"/>
  </r>
  <r>
    <x v="234"/>
    <x v="1"/>
    <s v="2022"/>
    <x v="255"/>
    <x v="532"/>
    <x v="112"/>
    <x v="0"/>
    <x v="0"/>
  </r>
  <r>
    <x v="235"/>
    <x v="1"/>
    <s v="2022"/>
    <x v="528"/>
    <x v="63"/>
    <x v="31"/>
    <x v="0"/>
    <x v="0"/>
  </r>
  <r>
    <x v="235"/>
    <x v="1"/>
    <s v="2022"/>
    <x v="8"/>
    <x v="533"/>
    <x v="73"/>
    <x v="0"/>
    <x v="0"/>
  </r>
  <r>
    <x v="235"/>
    <x v="1"/>
    <s v="2022"/>
    <x v="203"/>
    <x v="205"/>
    <x v="69"/>
    <x v="0"/>
    <x v="0"/>
  </r>
  <r>
    <x v="235"/>
    <x v="1"/>
    <s v="2022"/>
    <x v="226"/>
    <x v="534"/>
    <x v="6"/>
    <x v="0"/>
    <x v="0"/>
  </r>
  <r>
    <x v="235"/>
    <x v="1"/>
    <s v="2022"/>
    <x v="529"/>
    <x v="535"/>
    <x v="103"/>
    <x v="0"/>
    <x v="0"/>
  </r>
  <r>
    <x v="236"/>
    <x v="1"/>
    <s v="2022"/>
    <x v="530"/>
    <x v="536"/>
    <x v="43"/>
    <x v="0"/>
    <x v="0"/>
  </r>
  <r>
    <x v="236"/>
    <x v="1"/>
    <s v="2022"/>
    <x v="305"/>
    <x v="139"/>
    <x v="88"/>
    <x v="2"/>
    <x v="0"/>
  </r>
  <r>
    <x v="236"/>
    <x v="1"/>
    <s v="2022"/>
    <x v="243"/>
    <x v="350"/>
    <x v="49"/>
    <x v="3"/>
    <x v="0"/>
  </r>
  <r>
    <x v="236"/>
    <x v="1"/>
    <s v="2022"/>
    <x v="455"/>
    <x v="304"/>
    <x v="37"/>
    <x v="0"/>
    <x v="0"/>
  </r>
  <r>
    <x v="237"/>
    <x v="1"/>
    <s v="2022"/>
    <x v="531"/>
    <x v="537"/>
    <x v="111"/>
    <x v="0"/>
    <x v="0"/>
  </r>
  <r>
    <x v="237"/>
    <x v="1"/>
    <s v="2022"/>
    <x v="188"/>
    <x v="4"/>
    <x v="49"/>
    <x v="0"/>
    <x v="0"/>
  </r>
  <r>
    <x v="237"/>
    <x v="1"/>
    <s v="2022"/>
    <x v="59"/>
    <x v="538"/>
    <x v="66"/>
    <x v="0"/>
    <x v="0"/>
  </r>
  <r>
    <x v="237"/>
    <x v="1"/>
    <s v="2022"/>
    <x v="245"/>
    <x v="52"/>
    <x v="24"/>
    <x v="0"/>
    <x v="0"/>
  </r>
  <r>
    <x v="237"/>
    <x v="1"/>
    <s v="2022"/>
    <x v="108"/>
    <x v="331"/>
    <x v="113"/>
    <x v="0"/>
    <x v="0"/>
  </r>
  <r>
    <x v="238"/>
    <x v="2"/>
    <s v="2022"/>
    <x v="532"/>
    <x v="539"/>
    <x v="2"/>
    <x v="2"/>
    <x v="0"/>
  </r>
  <r>
    <x v="238"/>
    <x v="2"/>
    <s v="2022"/>
    <x v="533"/>
    <x v="540"/>
    <x v="2"/>
    <x v="3"/>
    <x v="1"/>
  </r>
  <r>
    <x v="238"/>
    <x v="2"/>
    <s v="2022"/>
    <x v="61"/>
    <x v="62"/>
    <x v="2"/>
    <x v="0"/>
    <x v="1"/>
  </r>
  <r>
    <x v="238"/>
    <x v="2"/>
    <s v="2022"/>
    <x v="534"/>
    <x v="541"/>
    <x v="8"/>
    <x v="0"/>
    <x v="0"/>
  </r>
  <r>
    <x v="238"/>
    <x v="2"/>
    <s v="2022"/>
    <x v="535"/>
    <x v="542"/>
    <x v="49"/>
    <x v="4"/>
    <x v="1"/>
  </r>
  <r>
    <x v="238"/>
    <x v="2"/>
    <s v="2022"/>
    <x v="536"/>
    <x v="441"/>
    <x v="2"/>
    <x v="0"/>
    <x v="0"/>
  </r>
  <r>
    <x v="238"/>
    <x v="2"/>
    <s v="2022"/>
    <x v="391"/>
    <x v="391"/>
    <x v="2"/>
    <x v="3"/>
    <x v="0"/>
  </r>
  <r>
    <x v="238"/>
    <x v="2"/>
    <s v="2022"/>
    <x v="10"/>
    <x v="543"/>
    <x v="2"/>
    <x v="0"/>
    <x v="0"/>
  </r>
  <r>
    <x v="238"/>
    <x v="2"/>
    <s v="2022"/>
    <x v="537"/>
    <x v="544"/>
    <x v="2"/>
    <x v="0"/>
    <x v="0"/>
  </r>
  <r>
    <x v="238"/>
    <x v="2"/>
    <s v="2022"/>
    <x v="538"/>
    <x v="80"/>
    <x v="6"/>
    <x v="4"/>
    <x v="0"/>
  </r>
  <r>
    <x v="238"/>
    <x v="2"/>
    <s v="2022"/>
    <x v="359"/>
    <x v="282"/>
    <x v="2"/>
    <x v="0"/>
    <x v="0"/>
  </r>
  <r>
    <x v="238"/>
    <x v="2"/>
    <s v="2022"/>
    <x v="360"/>
    <x v="338"/>
    <x v="2"/>
    <x v="0"/>
    <x v="0"/>
  </r>
  <r>
    <x v="238"/>
    <x v="2"/>
    <s v="2022"/>
    <x v="13"/>
    <x v="13"/>
    <x v="2"/>
    <x v="0"/>
    <x v="0"/>
  </r>
  <r>
    <x v="238"/>
    <x v="2"/>
    <s v="2022"/>
    <x v="361"/>
    <x v="339"/>
    <x v="2"/>
    <x v="0"/>
    <x v="0"/>
  </r>
  <r>
    <x v="239"/>
    <x v="2"/>
    <s v="2022"/>
    <x v="43"/>
    <x v="81"/>
    <x v="114"/>
    <x v="3"/>
    <x v="0"/>
  </r>
  <r>
    <x v="240"/>
    <x v="2"/>
    <s v="2022"/>
    <x v="0"/>
    <x v="545"/>
    <x v="115"/>
    <x v="0"/>
    <x v="0"/>
  </r>
  <r>
    <x v="241"/>
    <x v="2"/>
    <s v="2022"/>
    <x v="7"/>
    <x v="7"/>
    <x v="2"/>
    <x v="2"/>
    <x v="0"/>
  </r>
  <r>
    <x v="241"/>
    <x v="2"/>
    <s v="2022"/>
    <x v="8"/>
    <x v="8"/>
    <x v="2"/>
    <x v="0"/>
    <x v="0"/>
  </r>
  <r>
    <x v="241"/>
    <x v="2"/>
    <s v="2022"/>
    <x v="9"/>
    <x v="9"/>
    <x v="2"/>
    <x v="0"/>
    <x v="0"/>
  </r>
  <r>
    <x v="241"/>
    <x v="2"/>
    <s v="2022"/>
    <x v="10"/>
    <x v="543"/>
    <x v="2"/>
    <x v="0"/>
    <x v="0"/>
  </r>
  <r>
    <x v="241"/>
    <x v="2"/>
    <s v="2022"/>
    <x v="396"/>
    <x v="546"/>
    <x v="49"/>
    <x v="4"/>
    <x v="0"/>
  </r>
  <r>
    <x v="241"/>
    <x v="2"/>
    <s v="2022"/>
    <x v="45"/>
    <x v="394"/>
    <x v="2"/>
    <x v="0"/>
    <x v="0"/>
  </r>
  <r>
    <x v="241"/>
    <x v="2"/>
    <s v="2022"/>
    <x v="539"/>
    <x v="534"/>
    <x v="2"/>
    <x v="0"/>
    <x v="0"/>
  </r>
  <r>
    <x v="241"/>
    <x v="2"/>
    <s v="2022"/>
    <x v="408"/>
    <x v="446"/>
    <x v="2"/>
    <x v="0"/>
    <x v="0"/>
  </r>
  <r>
    <x v="241"/>
    <x v="2"/>
    <s v="2022"/>
    <x v="318"/>
    <x v="547"/>
    <x v="76"/>
    <x v="0"/>
    <x v="0"/>
  </r>
  <r>
    <x v="241"/>
    <x v="2"/>
    <s v="2022"/>
    <x v="540"/>
    <x v="113"/>
    <x v="10"/>
    <x v="4"/>
    <x v="0"/>
  </r>
  <r>
    <x v="241"/>
    <x v="2"/>
    <s v="2022"/>
    <x v="2"/>
    <x v="2"/>
    <x v="8"/>
    <x v="0"/>
    <x v="0"/>
  </r>
  <r>
    <x v="241"/>
    <x v="2"/>
    <s v="2022"/>
    <x v="3"/>
    <x v="3"/>
    <x v="8"/>
    <x v="0"/>
    <x v="0"/>
  </r>
  <r>
    <x v="241"/>
    <x v="2"/>
    <s v="2022"/>
    <x v="4"/>
    <x v="4"/>
    <x v="2"/>
    <x v="0"/>
    <x v="0"/>
  </r>
  <r>
    <x v="242"/>
    <x v="2"/>
    <s v="2022"/>
    <x v="541"/>
    <x v="242"/>
    <x v="6"/>
    <x v="0"/>
    <x v="0"/>
  </r>
  <r>
    <x v="242"/>
    <x v="2"/>
    <s v="2022"/>
    <x v="331"/>
    <x v="548"/>
    <x v="14"/>
    <x v="0"/>
    <x v="0"/>
  </r>
  <r>
    <x v="242"/>
    <x v="2"/>
    <s v="2022"/>
    <x v="351"/>
    <x v="549"/>
    <x v="40"/>
    <x v="0"/>
    <x v="0"/>
  </r>
  <r>
    <x v="242"/>
    <x v="2"/>
    <s v="2022"/>
    <x v="414"/>
    <x v="550"/>
    <x v="12"/>
    <x v="0"/>
    <x v="0"/>
  </r>
  <r>
    <x v="242"/>
    <x v="2"/>
    <s v="2022"/>
    <x v="542"/>
    <x v="168"/>
    <x v="26"/>
    <x v="0"/>
    <x v="0"/>
  </r>
  <r>
    <x v="242"/>
    <x v="2"/>
    <s v="2022"/>
    <x v="222"/>
    <x v="551"/>
    <x v="6"/>
    <x v="0"/>
    <x v="0"/>
  </r>
  <r>
    <x v="243"/>
    <x v="2"/>
    <s v="2022"/>
    <x v="489"/>
    <x v="486"/>
    <x v="43"/>
    <x v="0"/>
    <x v="0"/>
  </r>
  <r>
    <x v="244"/>
    <x v="2"/>
    <s v="2022"/>
    <x v="543"/>
    <x v="516"/>
    <x v="60"/>
    <x v="0"/>
    <x v="0"/>
  </r>
  <r>
    <x v="244"/>
    <x v="2"/>
    <s v="2022"/>
    <x v="544"/>
    <x v="517"/>
    <x v="49"/>
    <x v="0"/>
    <x v="0"/>
  </r>
  <r>
    <x v="244"/>
    <x v="2"/>
    <s v="2022"/>
    <x v="545"/>
    <x v="552"/>
    <x v="44"/>
    <x v="0"/>
    <x v="0"/>
  </r>
  <r>
    <x v="244"/>
    <x v="2"/>
    <s v="2022"/>
    <x v="305"/>
    <x v="318"/>
    <x v="19"/>
    <x v="0"/>
    <x v="0"/>
  </r>
  <r>
    <x v="245"/>
    <x v="2"/>
    <s v="2022"/>
    <x v="7"/>
    <x v="7"/>
    <x v="2"/>
    <x v="0"/>
    <x v="0"/>
  </r>
  <r>
    <x v="245"/>
    <x v="2"/>
    <s v="2022"/>
    <x v="8"/>
    <x v="8"/>
    <x v="2"/>
    <x v="0"/>
    <x v="0"/>
  </r>
  <r>
    <x v="245"/>
    <x v="2"/>
    <s v="2022"/>
    <x v="9"/>
    <x v="9"/>
    <x v="2"/>
    <x v="0"/>
    <x v="0"/>
  </r>
  <r>
    <x v="245"/>
    <x v="2"/>
    <s v="2022"/>
    <x v="10"/>
    <x v="543"/>
    <x v="27"/>
    <x v="0"/>
    <x v="0"/>
  </r>
  <r>
    <x v="245"/>
    <x v="2"/>
    <s v="2022"/>
    <x v="396"/>
    <x v="546"/>
    <x v="49"/>
    <x v="4"/>
    <x v="0"/>
  </r>
  <r>
    <x v="245"/>
    <x v="2"/>
    <s v="2022"/>
    <x v="45"/>
    <x v="394"/>
    <x v="83"/>
    <x v="0"/>
    <x v="0"/>
  </r>
  <r>
    <x v="246"/>
    <x v="2"/>
    <s v="2022"/>
    <x v="29"/>
    <x v="524"/>
    <x v="49"/>
    <x v="2"/>
    <x v="0"/>
  </r>
  <r>
    <x v="246"/>
    <x v="2"/>
    <s v="2022"/>
    <x v="546"/>
    <x v="553"/>
    <x v="2"/>
    <x v="0"/>
    <x v="1"/>
  </r>
  <r>
    <x v="247"/>
    <x v="2"/>
    <s v="2022"/>
    <x v="400"/>
    <x v="402"/>
    <x v="2"/>
    <x v="0"/>
    <x v="0"/>
  </r>
  <r>
    <x v="247"/>
    <x v="2"/>
    <s v="2022"/>
    <x v="401"/>
    <x v="403"/>
    <x v="2"/>
    <x v="0"/>
    <x v="0"/>
  </r>
  <r>
    <x v="247"/>
    <x v="2"/>
    <s v="2022"/>
    <x v="402"/>
    <x v="404"/>
    <x v="2"/>
    <x v="0"/>
    <x v="0"/>
  </r>
  <r>
    <x v="247"/>
    <x v="2"/>
    <s v="2022"/>
    <x v="392"/>
    <x v="393"/>
    <x v="2"/>
    <x v="0"/>
    <x v="1"/>
  </r>
  <r>
    <x v="247"/>
    <x v="2"/>
    <s v="2022"/>
    <x v="32"/>
    <x v="400"/>
    <x v="49"/>
    <x v="4"/>
    <x v="0"/>
  </r>
  <r>
    <x v="247"/>
    <x v="2"/>
    <s v="2022"/>
    <x v="547"/>
    <x v="554"/>
    <x v="2"/>
    <x v="0"/>
    <x v="0"/>
  </r>
  <r>
    <x v="247"/>
    <x v="2"/>
    <s v="2022"/>
    <x v="435"/>
    <x v="308"/>
    <x v="2"/>
    <x v="0"/>
    <x v="0"/>
  </r>
  <r>
    <x v="247"/>
    <x v="2"/>
    <s v="2022"/>
    <x v="548"/>
    <x v="314"/>
    <x v="2"/>
    <x v="0"/>
    <x v="0"/>
  </r>
  <r>
    <x v="247"/>
    <x v="2"/>
    <s v="2022"/>
    <x v="549"/>
    <x v="128"/>
    <x v="76"/>
    <x v="0"/>
    <x v="0"/>
  </r>
  <r>
    <x v="248"/>
    <x v="2"/>
    <s v="2022"/>
    <x v="64"/>
    <x v="277"/>
    <x v="39"/>
    <x v="0"/>
    <x v="0"/>
  </r>
  <r>
    <x v="248"/>
    <x v="2"/>
    <s v="2022"/>
    <x v="63"/>
    <x v="64"/>
    <x v="2"/>
    <x v="0"/>
    <x v="0"/>
  </r>
  <r>
    <x v="248"/>
    <x v="2"/>
    <s v="2022"/>
    <x v="38"/>
    <x v="39"/>
    <x v="2"/>
    <x v="0"/>
    <x v="0"/>
  </r>
  <r>
    <x v="248"/>
    <x v="2"/>
    <s v="2022"/>
    <x v="547"/>
    <x v="554"/>
    <x v="39"/>
    <x v="0"/>
    <x v="0"/>
  </r>
  <r>
    <x v="248"/>
    <x v="2"/>
    <s v="2022"/>
    <x v="300"/>
    <x v="555"/>
    <x v="49"/>
    <x v="4"/>
    <x v="0"/>
  </r>
  <r>
    <x v="248"/>
    <x v="2"/>
    <s v="2022"/>
    <x v="383"/>
    <x v="385"/>
    <x v="2"/>
    <x v="0"/>
    <x v="0"/>
  </r>
  <r>
    <x v="248"/>
    <x v="2"/>
    <s v="2022"/>
    <x v="310"/>
    <x v="386"/>
    <x v="2"/>
    <x v="0"/>
    <x v="0"/>
  </r>
  <r>
    <x v="248"/>
    <x v="2"/>
    <s v="2022"/>
    <x v="83"/>
    <x v="82"/>
    <x v="2"/>
    <x v="0"/>
    <x v="0"/>
  </r>
  <r>
    <x v="248"/>
    <x v="2"/>
    <s v="2022"/>
    <x v="176"/>
    <x v="556"/>
    <x v="3"/>
    <x v="0"/>
    <x v="0"/>
  </r>
  <r>
    <x v="249"/>
    <x v="2"/>
    <s v="2022"/>
    <x v="64"/>
    <x v="277"/>
    <x v="2"/>
    <x v="0"/>
    <x v="0"/>
  </r>
  <r>
    <x v="249"/>
    <x v="2"/>
    <s v="2022"/>
    <x v="63"/>
    <x v="64"/>
    <x v="72"/>
    <x v="0"/>
    <x v="0"/>
  </r>
  <r>
    <x v="249"/>
    <x v="2"/>
    <s v="2022"/>
    <x v="38"/>
    <x v="39"/>
    <x v="57"/>
    <x v="0"/>
    <x v="0"/>
  </r>
  <r>
    <x v="249"/>
    <x v="2"/>
    <s v="2022"/>
    <x v="547"/>
    <x v="554"/>
    <x v="2"/>
    <x v="0"/>
    <x v="0"/>
  </r>
  <r>
    <x v="249"/>
    <x v="2"/>
    <s v="2022"/>
    <x v="300"/>
    <x v="555"/>
    <x v="49"/>
    <x v="4"/>
    <x v="0"/>
  </r>
  <r>
    <x v="249"/>
    <x v="2"/>
    <s v="2022"/>
    <x v="383"/>
    <x v="385"/>
    <x v="2"/>
    <x v="0"/>
    <x v="0"/>
  </r>
  <r>
    <x v="249"/>
    <x v="2"/>
    <s v="2022"/>
    <x v="310"/>
    <x v="386"/>
    <x v="2"/>
    <x v="3"/>
    <x v="0"/>
  </r>
  <r>
    <x v="249"/>
    <x v="2"/>
    <s v="2022"/>
    <x v="83"/>
    <x v="82"/>
    <x v="2"/>
    <x v="0"/>
    <x v="0"/>
  </r>
  <r>
    <x v="249"/>
    <x v="2"/>
    <s v="2022"/>
    <x v="176"/>
    <x v="556"/>
    <x v="27"/>
    <x v="0"/>
    <x v="0"/>
  </r>
  <r>
    <x v="250"/>
    <x v="2"/>
    <s v="2022"/>
    <x v="536"/>
    <x v="441"/>
    <x v="2"/>
    <x v="0"/>
    <x v="0"/>
  </r>
  <r>
    <x v="250"/>
    <x v="2"/>
    <s v="2022"/>
    <x v="391"/>
    <x v="391"/>
    <x v="2"/>
    <x v="0"/>
    <x v="0"/>
  </r>
  <r>
    <x v="251"/>
    <x v="2"/>
    <s v="2022"/>
    <x v="550"/>
    <x v="37"/>
    <x v="76"/>
    <x v="0"/>
    <x v="0"/>
  </r>
  <r>
    <x v="251"/>
    <x v="2"/>
    <s v="2022"/>
    <x v="551"/>
    <x v="557"/>
    <x v="19"/>
    <x v="0"/>
    <x v="0"/>
  </r>
  <r>
    <x v="251"/>
    <x v="2"/>
    <s v="2022"/>
    <x v="552"/>
    <x v="46"/>
    <x v="18"/>
    <x v="0"/>
    <x v="0"/>
  </r>
  <r>
    <x v="251"/>
    <x v="2"/>
    <s v="2022"/>
    <x v="407"/>
    <x v="41"/>
    <x v="45"/>
    <x v="0"/>
    <x v="0"/>
  </r>
  <r>
    <x v="251"/>
    <x v="2"/>
    <s v="2022"/>
    <x v="227"/>
    <x v="435"/>
    <x v="16"/>
    <x v="0"/>
    <x v="0"/>
  </r>
  <r>
    <x v="252"/>
    <x v="2"/>
    <s v="2022"/>
    <x v="270"/>
    <x v="225"/>
    <x v="2"/>
    <x v="0"/>
    <x v="0"/>
  </r>
  <r>
    <x v="253"/>
    <x v="2"/>
    <s v="2022"/>
    <x v="553"/>
    <x v="558"/>
    <x v="116"/>
    <x v="0"/>
    <x v="0"/>
  </r>
  <r>
    <x v="253"/>
    <x v="2"/>
    <s v="2022"/>
    <x v="554"/>
    <x v="282"/>
    <x v="48"/>
    <x v="0"/>
    <x v="0"/>
  </r>
  <r>
    <x v="254"/>
    <x v="2"/>
    <s v="2022"/>
    <x v="71"/>
    <x v="117"/>
    <x v="49"/>
    <x v="2"/>
    <x v="0"/>
  </r>
  <r>
    <x v="254"/>
    <x v="2"/>
    <s v="2022"/>
    <x v="555"/>
    <x v="559"/>
    <x v="2"/>
    <x v="0"/>
    <x v="0"/>
  </r>
  <r>
    <x v="255"/>
    <x v="3"/>
    <s v="2022"/>
    <x v="215"/>
    <x v="560"/>
    <x v="2"/>
    <x v="2"/>
    <x v="0"/>
  </r>
  <r>
    <x v="255"/>
    <x v="3"/>
    <s v="2022"/>
    <x v="372"/>
    <x v="482"/>
    <x v="2"/>
    <x v="0"/>
    <x v="0"/>
  </r>
  <r>
    <x v="255"/>
    <x v="3"/>
    <s v="2022"/>
    <x v="250"/>
    <x v="257"/>
    <x v="2"/>
    <x v="0"/>
    <x v="0"/>
  </r>
  <r>
    <x v="255"/>
    <x v="3"/>
    <s v="2022"/>
    <x v="556"/>
    <x v="561"/>
    <x v="26"/>
    <x v="0"/>
    <x v="0"/>
  </r>
  <r>
    <x v="256"/>
    <x v="3"/>
    <s v="2022"/>
    <x v="109"/>
    <x v="109"/>
    <x v="2"/>
    <x v="3"/>
    <x v="0"/>
  </r>
  <r>
    <x v="256"/>
    <x v="3"/>
    <s v="2022"/>
    <x v="2"/>
    <x v="2"/>
    <x v="2"/>
    <x v="0"/>
    <x v="0"/>
  </r>
  <r>
    <x v="256"/>
    <x v="3"/>
    <s v="2022"/>
    <x v="3"/>
    <x v="3"/>
    <x v="2"/>
    <x v="0"/>
    <x v="0"/>
  </r>
  <r>
    <x v="256"/>
    <x v="3"/>
    <s v="2022"/>
    <x v="243"/>
    <x v="250"/>
    <x v="2"/>
    <x v="0"/>
    <x v="0"/>
  </r>
  <r>
    <x v="257"/>
    <x v="3"/>
    <s v="2022"/>
    <x v="40"/>
    <x v="116"/>
    <x v="49"/>
    <x v="2"/>
    <x v="0"/>
  </r>
  <r>
    <x v="257"/>
    <x v="3"/>
    <s v="2022"/>
    <x v="557"/>
    <x v="506"/>
    <x v="2"/>
    <x v="3"/>
    <x v="0"/>
  </r>
  <r>
    <x v="257"/>
    <x v="3"/>
    <s v="2022"/>
    <x v="555"/>
    <x v="559"/>
    <x v="2"/>
    <x v="3"/>
    <x v="0"/>
  </r>
  <r>
    <x v="257"/>
    <x v="3"/>
    <s v="2022"/>
    <x v="520"/>
    <x v="334"/>
    <x v="2"/>
    <x v="0"/>
    <x v="0"/>
  </r>
  <r>
    <x v="257"/>
    <x v="3"/>
    <s v="2022"/>
    <x v="128"/>
    <x v="129"/>
    <x v="2"/>
    <x v="0"/>
    <x v="0"/>
  </r>
  <r>
    <x v="257"/>
    <x v="3"/>
    <s v="2022"/>
    <x v="218"/>
    <x v="15"/>
    <x v="49"/>
    <x v="4"/>
    <x v="0"/>
  </r>
  <r>
    <x v="257"/>
    <x v="3"/>
    <s v="2022"/>
    <x v="287"/>
    <x v="250"/>
    <x v="29"/>
    <x v="0"/>
    <x v="0"/>
  </r>
  <r>
    <x v="258"/>
    <x v="3"/>
    <s v="2022"/>
    <x v="59"/>
    <x v="562"/>
    <x v="94"/>
    <x v="0"/>
    <x v="0"/>
  </r>
  <r>
    <x v="258"/>
    <x v="3"/>
    <s v="2022"/>
    <x v="214"/>
    <x v="220"/>
    <x v="2"/>
    <x v="0"/>
    <x v="0"/>
  </r>
  <r>
    <x v="258"/>
    <x v="3"/>
    <s v="2022"/>
    <x v="254"/>
    <x v="136"/>
    <x v="16"/>
    <x v="0"/>
    <x v="0"/>
  </r>
  <r>
    <x v="259"/>
    <x v="3"/>
    <s v="2022"/>
    <x v="558"/>
    <x v="508"/>
    <x v="47"/>
    <x v="0"/>
    <x v="0"/>
  </r>
  <r>
    <x v="259"/>
    <x v="3"/>
    <s v="2022"/>
    <x v="242"/>
    <x v="563"/>
    <x v="86"/>
    <x v="0"/>
    <x v="0"/>
  </r>
  <r>
    <x v="259"/>
    <x v="3"/>
    <s v="2022"/>
    <x v="318"/>
    <x v="119"/>
    <x v="64"/>
    <x v="0"/>
    <x v="0"/>
  </r>
  <r>
    <x v="260"/>
    <x v="3"/>
    <s v="2022"/>
    <x v="50"/>
    <x v="51"/>
    <x v="2"/>
    <x v="0"/>
    <x v="0"/>
  </r>
  <r>
    <x v="260"/>
    <x v="3"/>
    <s v="2022"/>
    <x v="51"/>
    <x v="52"/>
    <x v="2"/>
    <x v="0"/>
    <x v="0"/>
  </r>
  <r>
    <x v="260"/>
    <x v="3"/>
    <s v="2022"/>
    <x v="107"/>
    <x v="107"/>
    <x v="2"/>
    <x v="0"/>
    <x v="0"/>
  </r>
  <r>
    <x v="260"/>
    <x v="3"/>
    <s v="2022"/>
    <x v="230"/>
    <x v="254"/>
    <x v="37"/>
    <x v="0"/>
    <x v="0"/>
  </r>
  <r>
    <x v="261"/>
    <x v="3"/>
    <s v="2022"/>
    <x v="30"/>
    <x v="31"/>
    <x v="2"/>
    <x v="0"/>
    <x v="0"/>
  </r>
  <r>
    <x v="261"/>
    <x v="3"/>
    <s v="2022"/>
    <x v="31"/>
    <x v="32"/>
    <x v="2"/>
    <x v="0"/>
    <x v="0"/>
  </r>
  <r>
    <x v="261"/>
    <x v="3"/>
    <s v="2022"/>
    <x v="382"/>
    <x v="384"/>
    <x v="39"/>
    <x v="0"/>
    <x v="0"/>
  </r>
  <r>
    <x v="262"/>
    <x v="3"/>
    <s v="2022"/>
    <x v="559"/>
    <x v="20"/>
    <x v="73"/>
    <x v="0"/>
    <x v="0"/>
  </r>
  <r>
    <x v="262"/>
    <x v="3"/>
    <s v="2022"/>
    <x v="560"/>
    <x v="564"/>
    <x v="27"/>
    <x v="0"/>
    <x v="0"/>
  </r>
  <r>
    <x v="263"/>
    <x v="3"/>
    <s v="2022"/>
    <x v="255"/>
    <x v="204"/>
    <x v="21"/>
    <x v="0"/>
    <x v="0"/>
  </r>
  <r>
    <x v="264"/>
    <x v="3"/>
    <s v="2022"/>
    <x v="561"/>
    <x v="310"/>
    <x v="106"/>
    <x v="0"/>
    <x v="0"/>
  </r>
  <r>
    <x v="264"/>
    <x v="3"/>
    <s v="2022"/>
    <x v="192"/>
    <x v="206"/>
    <x v="31"/>
    <x v="0"/>
    <x v="0"/>
  </r>
  <r>
    <x v="264"/>
    <x v="3"/>
    <s v="2022"/>
    <x v="374"/>
    <x v="565"/>
    <x v="79"/>
    <x v="0"/>
    <x v="0"/>
  </r>
  <r>
    <x v="265"/>
    <x v="3"/>
    <s v="2022"/>
    <x v="355"/>
    <x v="182"/>
    <x v="117"/>
    <x v="0"/>
    <x v="0"/>
  </r>
  <r>
    <x v="266"/>
    <x v="3"/>
    <s v="2022"/>
    <x v="562"/>
    <x v="566"/>
    <x v="38"/>
    <x v="0"/>
    <x v="0"/>
  </r>
  <r>
    <x v="266"/>
    <x v="3"/>
    <s v="2022"/>
    <x v="465"/>
    <x v="265"/>
    <x v="13"/>
    <x v="0"/>
    <x v="0"/>
  </r>
  <r>
    <x v="267"/>
    <x v="3"/>
    <s v="2022"/>
    <x v="145"/>
    <x v="146"/>
    <x v="2"/>
    <x v="0"/>
    <x v="0"/>
  </r>
  <r>
    <x v="267"/>
    <x v="3"/>
    <s v="2022"/>
    <x v="263"/>
    <x v="24"/>
    <x v="2"/>
    <x v="0"/>
    <x v="0"/>
  </r>
  <r>
    <x v="267"/>
    <x v="3"/>
    <s v="2022"/>
    <x v="286"/>
    <x v="292"/>
    <x v="2"/>
    <x v="0"/>
    <x v="0"/>
  </r>
  <r>
    <x v="268"/>
    <x v="3"/>
    <s v="2022"/>
    <x v="104"/>
    <x v="567"/>
    <x v="118"/>
    <x v="7"/>
    <x v="0"/>
  </r>
  <r>
    <x v="269"/>
    <x v="3"/>
    <s v="2022"/>
    <x v="563"/>
    <x v="568"/>
    <x v="9"/>
    <x v="7"/>
    <x v="0"/>
  </r>
  <r>
    <x v="269"/>
    <x v="3"/>
    <s v="2022"/>
    <x v="564"/>
    <x v="569"/>
    <x v="78"/>
    <x v="7"/>
    <x v="0"/>
  </r>
  <r>
    <x v="269"/>
    <x v="3"/>
    <s v="2022"/>
    <x v="31"/>
    <x v="565"/>
    <x v="32"/>
    <x v="0"/>
    <x v="0"/>
  </r>
  <r>
    <x v="270"/>
    <x v="3"/>
    <s v="2022"/>
    <x v="565"/>
    <x v="362"/>
    <x v="119"/>
    <x v="7"/>
    <x v="0"/>
  </r>
  <r>
    <x v="271"/>
    <x v="3"/>
    <s v="2022"/>
    <x v="566"/>
    <x v="570"/>
    <x v="90"/>
    <x v="7"/>
    <x v="0"/>
  </r>
  <r>
    <x v="271"/>
    <x v="3"/>
    <s v="2022"/>
    <x v="567"/>
    <x v="447"/>
    <x v="94"/>
    <x v="7"/>
    <x v="0"/>
  </r>
  <r>
    <x v="271"/>
    <x v="3"/>
    <s v="2022"/>
    <x v="568"/>
    <x v="296"/>
    <x v="23"/>
    <x v="7"/>
    <x v="0"/>
  </r>
  <r>
    <x v="272"/>
    <x v="4"/>
    <s v="2023"/>
    <x v="124"/>
    <x v="179"/>
    <x v="59"/>
    <x v="7"/>
    <x v="0"/>
  </r>
  <r>
    <x v="273"/>
    <x v="4"/>
    <s v="2023"/>
    <x v="569"/>
    <x v="157"/>
    <x v="46"/>
    <x v="0"/>
    <x v="0"/>
  </r>
  <r>
    <x v="273"/>
    <x v="4"/>
    <s v="2023"/>
    <x v="210"/>
    <x v="235"/>
    <x v="64"/>
    <x v="0"/>
    <x v="0"/>
  </r>
  <r>
    <x v="273"/>
    <x v="4"/>
    <s v="2023"/>
    <x v="136"/>
    <x v="232"/>
    <x v="49"/>
    <x v="2"/>
    <x v="0"/>
  </r>
  <r>
    <x v="273"/>
    <x v="4"/>
    <s v="2023"/>
    <x v="570"/>
    <x v="571"/>
    <x v="2"/>
    <x v="0"/>
    <x v="0"/>
  </r>
  <r>
    <x v="273"/>
    <x v="4"/>
    <s v="2023"/>
    <x v="571"/>
    <x v="226"/>
    <x v="2"/>
    <x v="0"/>
    <x v="0"/>
  </r>
  <r>
    <x v="273"/>
    <x v="4"/>
    <s v="2023"/>
    <x v="572"/>
    <x v="572"/>
    <x v="8"/>
    <x v="0"/>
    <x v="0"/>
  </r>
  <r>
    <x v="273"/>
    <x v="4"/>
    <s v="2023"/>
    <x v="573"/>
    <x v="573"/>
    <x v="84"/>
    <x v="0"/>
    <x v="0"/>
  </r>
  <r>
    <x v="274"/>
    <x v="4"/>
    <s v="2023"/>
    <x v="82"/>
    <x v="23"/>
    <x v="49"/>
    <x v="2"/>
    <x v="0"/>
  </r>
  <r>
    <x v="274"/>
    <x v="4"/>
    <s v="2023"/>
    <x v="464"/>
    <x v="468"/>
    <x v="2"/>
    <x v="0"/>
    <x v="0"/>
  </r>
  <r>
    <x v="274"/>
    <x v="4"/>
    <s v="2023"/>
    <x v="325"/>
    <x v="469"/>
    <x v="2"/>
    <x v="0"/>
    <x v="0"/>
  </r>
  <r>
    <x v="274"/>
    <x v="4"/>
    <s v="2023"/>
    <x v="470"/>
    <x v="292"/>
    <x v="21"/>
    <x v="0"/>
    <x v="0"/>
  </r>
  <r>
    <x v="274"/>
    <x v="4"/>
    <s v="2023"/>
    <x v="305"/>
    <x v="346"/>
    <x v="27"/>
    <x v="0"/>
    <x v="0"/>
  </r>
  <r>
    <x v="274"/>
    <x v="4"/>
    <s v="2023"/>
    <x v="529"/>
    <x v="574"/>
    <x v="10"/>
    <x v="0"/>
    <x v="0"/>
  </r>
  <r>
    <x v="274"/>
    <x v="4"/>
    <s v="2023"/>
    <x v="574"/>
    <x v="575"/>
    <x v="2"/>
    <x v="0"/>
    <x v="0"/>
  </r>
  <r>
    <x v="274"/>
    <x v="4"/>
    <s v="2023"/>
    <x v="575"/>
    <x v="576"/>
    <x v="2"/>
    <x v="0"/>
    <x v="0"/>
  </r>
  <r>
    <x v="274"/>
    <x v="4"/>
    <s v="2023"/>
    <x v="576"/>
    <x v="577"/>
    <x v="2"/>
    <x v="0"/>
    <x v="0"/>
  </r>
  <r>
    <x v="274"/>
    <x v="4"/>
    <s v="2023"/>
    <x v="577"/>
    <x v="578"/>
    <x v="49"/>
    <x v="4"/>
    <x v="0"/>
  </r>
  <r>
    <x v="274"/>
    <x v="4"/>
    <s v="2023"/>
    <x v="578"/>
    <x v="579"/>
    <x v="2"/>
    <x v="0"/>
    <x v="0"/>
  </r>
  <r>
    <x v="274"/>
    <x v="4"/>
    <s v="2023"/>
    <x v="579"/>
    <x v="364"/>
    <x v="29"/>
    <x v="0"/>
    <x v="0"/>
  </r>
  <r>
    <x v="275"/>
    <x v="4"/>
    <s v="2023"/>
    <x v="126"/>
    <x v="127"/>
    <x v="2"/>
    <x v="0"/>
    <x v="0"/>
  </r>
  <r>
    <x v="275"/>
    <x v="4"/>
    <s v="2023"/>
    <x v="127"/>
    <x v="128"/>
    <x v="2"/>
    <x v="0"/>
    <x v="0"/>
  </r>
  <r>
    <x v="275"/>
    <x v="4"/>
    <s v="2023"/>
    <x v="128"/>
    <x v="2"/>
    <x v="39"/>
    <x v="0"/>
    <x v="0"/>
  </r>
  <r>
    <x v="276"/>
    <x v="4"/>
    <s v="2023"/>
    <x v="109"/>
    <x v="119"/>
    <x v="49"/>
    <x v="2"/>
    <x v="0"/>
  </r>
  <r>
    <x v="276"/>
    <x v="4"/>
    <s v="2023"/>
    <x v="269"/>
    <x v="450"/>
    <x v="49"/>
    <x v="3"/>
    <x v="0"/>
  </r>
  <r>
    <x v="276"/>
    <x v="4"/>
    <s v="2023"/>
    <x v="498"/>
    <x v="444"/>
    <x v="2"/>
    <x v="0"/>
    <x v="0"/>
  </r>
  <r>
    <x v="276"/>
    <x v="4"/>
    <s v="2023"/>
    <x v="580"/>
    <x v="199"/>
    <x v="2"/>
    <x v="0"/>
    <x v="0"/>
  </r>
  <r>
    <x v="276"/>
    <x v="4"/>
    <s v="2023"/>
    <x v="581"/>
    <x v="351"/>
    <x v="2"/>
    <x v="0"/>
    <x v="0"/>
  </r>
  <r>
    <x v="276"/>
    <x v="4"/>
    <s v="2023"/>
    <x v="46"/>
    <x v="47"/>
    <x v="2"/>
    <x v="0"/>
    <x v="0"/>
  </r>
  <r>
    <x v="276"/>
    <x v="4"/>
    <s v="2023"/>
    <x v="60"/>
    <x v="122"/>
    <x v="49"/>
    <x v="4"/>
    <x v="0"/>
  </r>
  <r>
    <x v="276"/>
    <x v="4"/>
    <s v="2023"/>
    <x v="251"/>
    <x v="188"/>
    <x v="2"/>
    <x v="0"/>
    <x v="0"/>
  </r>
  <r>
    <x v="276"/>
    <x v="4"/>
    <s v="2023"/>
    <x v="264"/>
    <x v="271"/>
    <x v="2"/>
    <x v="0"/>
    <x v="0"/>
  </r>
  <r>
    <x v="276"/>
    <x v="4"/>
    <s v="2023"/>
    <x v="265"/>
    <x v="272"/>
    <x v="2"/>
    <x v="0"/>
    <x v="0"/>
  </r>
  <r>
    <x v="276"/>
    <x v="4"/>
    <s v="2023"/>
    <x v="266"/>
    <x v="273"/>
    <x v="2"/>
    <x v="0"/>
    <x v="0"/>
  </r>
  <r>
    <x v="276"/>
    <x v="4"/>
    <s v="2023"/>
    <x v="582"/>
    <x v="580"/>
    <x v="49"/>
    <x v="4"/>
    <x v="0"/>
  </r>
  <r>
    <x v="276"/>
    <x v="4"/>
    <s v="2023"/>
    <x v="183"/>
    <x v="261"/>
    <x v="42"/>
    <x v="0"/>
    <x v="0"/>
  </r>
  <r>
    <x v="276"/>
    <x v="4"/>
    <s v="2023"/>
    <x v="583"/>
    <x v="238"/>
    <x v="2"/>
    <x v="0"/>
    <x v="0"/>
  </r>
  <r>
    <x v="277"/>
    <x v="4"/>
    <s v="2023"/>
    <x v="81"/>
    <x v="41"/>
    <x v="49"/>
    <x v="2"/>
    <x v="0"/>
  </r>
  <r>
    <x v="277"/>
    <x v="4"/>
    <s v="2023"/>
    <x v="584"/>
    <x v="581"/>
    <x v="2"/>
    <x v="0"/>
    <x v="1"/>
  </r>
  <r>
    <x v="277"/>
    <x v="4"/>
    <s v="2023"/>
    <x v="464"/>
    <x v="468"/>
    <x v="2"/>
    <x v="0"/>
    <x v="0"/>
  </r>
  <r>
    <x v="277"/>
    <x v="4"/>
    <s v="2023"/>
    <x v="325"/>
    <x v="469"/>
    <x v="2"/>
    <x v="0"/>
    <x v="0"/>
  </r>
  <r>
    <x v="277"/>
    <x v="4"/>
    <s v="2023"/>
    <x v="234"/>
    <x v="412"/>
    <x v="36"/>
    <x v="0"/>
    <x v="0"/>
  </r>
  <r>
    <x v="278"/>
    <x v="4"/>
    <s v="2023"/>
    <x v="585"/>
    <x v="582"/>
    <x v="2"/>
    <x v="0"/>
    <x v="0"/>
  </r>
  <r>
    <x v="278"/>
    <x v="4"/>
    <s v="2023"/>
    <x v="586"/>
    <x v="583"/>
    <x v="2"/>
    <x v="0"/>
    <x v="0"/>
  </r>
  <r>
    <x v="278"/>
    <x v="4"/>
    <s v="2023"/>
    <x v="587"/>
    <x v="584"/>
    <x v="11"/>
    <x v="0"/>
    <x v="0"/>
  </r>
  <r>
    <x v="278"/>
    <x v="4"/>
    <s v="2023"/>
    <x v="120"/>
    <x v="423"/>
    <x v="21"/>
    <x v="0"/>
    <x v="0"/>
  </r>
  <r>
    <x v="279"/>
    <x v="4"/>
    <s v="2023"/>
    <x v="116"/>
    <x v="434"/>
    <x v="2"/>
    <x v="3"/>
    <x v="0"/>
  </r>
  <r>
    <x v="279"/>
    <x v="4"/>
    <s v="2023"/>
    <x v="117"/>
    <x v="118"/>
    <x v="2"/>
    <x v="0"/>
    <x v="0"/>
  </r>
  <r>
    <x v="279"/>
    <x v="4"/>
    <s v="2023"/>
    <x v="118"/>
    <x v="119"/>
    <x v="2"/>
    <x v="0"/>
    <x v="0"/>
  </r>
  <r>
    <x v="279"/>
    <x v="4"/>
    <s v="2023"/>
    <x v="443"/>
    <x v="242"/>
    <x v="83"/>
    <x v="0"/>
    <x v="0"/>
  </r>
  <r>
    <x v="279"/>
    <x v="4"/>
    <s v="2023"/>
    <x v="588"/>
    <x v="87"/>
    <x v="8"/>
    <x v="0"/>
    <x v="0"/>
  </r>
  <r>
    <x v="279"/>
    <x v="4"/>
    <s v="2023"/>
    <x v="99"/>
    <x v="585"/>
    <x v="76"/>
    <x v="0"/>
    <x v="0"/>
  </r>
  <r>
    <x v="279"/>
    <x v="4"/>
    <s v="2023"/>
    <x v="235"/>
    <x v="362"/>
    <x v="49"/>
    <x v="2"/>
    <x v="0"/>
  </r>
  <r>
    <x v="279"/>
    <x v="4"/>
    <s v="2023"/>
    <x v="589"/>
    <x v="586"/>
    <x v="2"/>
    <x v="0"/>
    <x v="0"/>
  </r>
  <r>
    <x v="279"/>
    <x v="4"/>
    <s v="2023"/>
    <x v="465"/>
    <x v="186"/>
    <x v="2"/>
    <x v="0"/>
    <x v="0"/>
  </r>
  <r>
    <x v="279"/>
    <x v="4"/>
    <s v="2023"/>
    <x v="590"/>
    <x v="587"/>
    <x v="2"/>
    <x v="0"/>
    <x v="0"/>
  </r>
  <r>
    <x v="279"/>
    <x v="4"/>
    <s v="2023"/>
    <x v="591"/>
    <x v="588"/>
    <x v="2"/>
    <x v="0"/>
    <x v="0"/>
  </r>
  <r>
    <x v="279"/>
    <x v="4"/>
    <s v="2023"/>
    <x v="592"/>
    <x v="589"/>
    <x v="49"/>
    <x v="4"/>
    <x v="0"/>
  </r>
  <r>
    <x v="279"/>
    <x v="4"/>
    <s v="2023"/>
    <x v="593"/>
    <x v="590"/>
    <x v="2"/>
    <x v="0"/>
    <x v="0"/>
  </r>
  <r>
    <x v="279"/>
    <x v="4"/>
    <s v="2023"/>
    <x v="594"/>
    <x v="591"/>
    <x v="2"/>
    <x v="0"/>
    <x v="0"/>
  </r>
  <r>
    <x v="280"/>
    <x v="4"/>
    <s v="2023"/>
    <x v="15"/>
    <x v="15"/>
    <x v="2"/>
    <x v="0"/>
    <x v="0"/>
  </r>
  <r>
    <x v="280"/>
    <x v="4"/>
    <s v="2023"/>
    <x v="210"/>
    <x v="215"/>
    <x v="2"/>
    <x v="0"/>
    <x v="0"/>
  </r>
  <r>
    <x v="280"/>
    <x v="4"/>
    <s v="2023"/>
    <x v="188"/>
    <x v="216"/>
    <x v="2"/>
    <x v="0"/>
    <x v="0"/>
  </r>
  <r>
    <x v="280"/>
    <x v="4"/>
    <s v="2023"/>
    <x v="257"/>
    <x v="422"/>
    <x v="7"/>
    <x v="0"/>
    <x v="0"/>
  </r>
  <r>
    <x v="280"/>
    <x v="4"/>
    <s v="2023"/>
    <x v="139"/>
    <x v="358"/>
    <x v="49"/>
    <x v="4"/>
    <x v="0"/>
  </r>
  <r>
    <x v="280"/>
    <x v="4"/>
    <s v="2023"/>
    <x v="133"/>
    <x v="134"/>
    <x v="2"/>
    <x v="0"/>
    <x v="0"/>
  </r>
  <r>
    <x v="280"/>
    <x v="4"/>
    <s v="2023"/>
    <x v="309"/>
    <x v="287"/>
    <x v="2"/>
    <x v="0"/>
    <x v="0"/>
  </r>
  <r>
    <x v="280"/>
    <x v="4"/>
    <s v="2023"/>
    <x v="387"/>
    <x v="388"/>
    <x v="2"/>
    <x v="0"/>
    <x v="0"/>
  </r>
  <r>
    <x v="280"/>
    <x v="4"/>
    <s v="2023"/>
    <x v="352"/>
    <x v="592"/>
    <x v="16"/>
    <x v="0"/>
    <x v="0"/>
  </r>
  <r>
    <x v="280"/>
    <x v="4"/>
    <s v="2023"/>
    <x v="348"/>
    <x v="359"/>
    <x v="49"/>
    <x v="4"/>
    <x v="1"/>
  </r>
  <r>
    <x v="280"/>
    <x v="4"/>
    <s v="2023"/>
    <x v="246"/>
    <x v="254"/>
    <x v="2"/>
    <x v="0"/>
    <x v="0"/>
  </r>
  <r>
    <x v="280"/>
    <x v="4"/>
    <s v="2023"/>
    <x v="253"/>
    <x v="262"/>
    <x v="2"/>
    <x v="0"/>
    <x v="1"/>
  </r>
  <r>
    <x v="280"/>
    <x v="4"/>
    <s v="2023"/>
    <x v="595"/>
    <x v="229"/>
    <x v="2"/>
    <x v="0"/>
    <x v="0"/>
  </r>
  <r>
    <x v="280"/>
    <x v="4"/>
    <s v="2023"/>
    <x v="184"/>
    <x v="593"/>
    <x v="79"/>
    <x v="0"/>
    <x v="0"/>
  </r>
  <r>
    <x v="281"/>
    <x v="4"/>
    <s v="2023"/>
    <x v="155"/>
    <x v="155"/>
    <x v="2"/>
    <x v="2"/>
    <x v="0"/>
  </r>
  <r>
    <x v="281"/>
    <x v="4"/>
    <s v="2023"/>
    <x v="156"/>
    <x v="156"/>
    <x v="2"/>
    <x v="0"/>
    <x v="0"/>
  </r>
  <r>
    <x v="281"/>
    <x v="4"/>
    <s v="2023"/>
    <x v="596"/>
    <x v="594"/>
    <x v="1"/>
    <x v="0"/>
    <x v="0"/>
  </r>
  <r>
    <x v="281"/>
    <x v="4"/>
    <s v="2023"/>
    <x v="15"/>
    <x v="15"/>
    <x v="2"/>
    <x v="0"/>
    <x v="0"/>
  </r>
  <r>
    <x v="281"/>
    <x v="4"/>
    <s v="2023"/>
    <x v="210"/>
    <x v="215"/>
    <x v="2"/>
    <x v="0"/>
    <x v="0"/>
  </r>
  <r>
    <x v="281"/>
    <x v="4"/>
    <s v="2023"/>
    <x v="188"/>
    <x v="216"/>
    <x v="2"/>
    <x v="0"/>
    <x v="0"/>
  </r>
  <r>
    <x v="281"/>
    <x v="4"/>
    <s v="2023"/>
    <x v="257"/>
    <x v="422"/>
    <x v="10"/>
    <x v="0"/>
    <x v="0"/>
  </r>
  <r>
    <x v="281"/>
    <x v="4"/>
    <s v="2023"/>
    <x v="139"/>
    <x v="358"/>
    <x v="49"/>
    <x v="4"/>
    <x v="0"/>
  </r>
  <r>
    <x v="281"/>
    <x v="4"/>
    <s v="2023"/>
    <x v="133"/>
    <x v="134"/>
    <x v="10"/>
    <x v="0"/>
    <x v="0"/>
  </r>
  <r>
    <x v="282"/>
    <x v="4"/>
    <s v="2023"/>
    <x v="597"/>
    <x v="483"/>
    <x v="39"/>
    <x v="0"/>
    <x v="0"/>
  </r>
  <r>
    <x v="283"/>
    <x v="4"/>
    <s v="2023"/>
    <x v="0"/>
    <x v="0"/>
    <x v="0"/>
    <x v="0"/>
    <x v="0"/>
  </r>
  <r>
    <x v="283"/>
    <x v="4"/>
    <s v="2023"/>
    <x v="181"/>
    <x v="136"/>
    <x v="32"/>
    <x v="0"/>
    <x v="0"/>
  </r>
  <r>
    <x v="283"/>
    <x v="4"/>
    <s v="2023"/>
    <x v="598"/>
    <x v="595"/>
    <x v="2"/>
    <x v="0"/>
    <x v="0"/>
  </r>
  <r>
    <x v="283"/>
    <x v="4"/>
    <s v="2023"/>
    <x v="137"/>
    <x v="138"/>
    <x v="2"/>
    <x v="0"/>
    <x v="0"/>
  </r>
  <r>
    <x v="283"/>
    <x v="4"/>
    <s v="2023"/>
    <x v="599"/>
    <x v="596"/>
    <x v="2"/>
    <x v="0"/>
    <x v="0"/>
  </r>
  <r>
    <x v="284"/>
    <x v="4"/>
    <s v="2023"/>
    <x v="600"/>
    <x v="597"/>
    <x v="120"/>
    <x v="5"/>
    <x v="0"/>
  </r>
  <r>
    <x v="284"/>
    <x v="4"/>
    <s v="2023"/>
    <x v="2"/>
    <x v="345"/>
    <x v="1"/>
    <x v="0"/>
    <x v="0"/>
  </r>
  <r>
    <x v="284"/>
    <x v="4"/>
    <s v="2023"/>
    <x v="350"/>
    <x v="131"/>
    <x v="2"/>
    <x v="0"/>
    <x v="0"/>
  </r>
  <r>
    <x v="284"/>
    <x v="4"/>
    <s v="2023"/>
    <x v="340"/>
    <x v="347"/>
    <x v="10"/>
    <x v="0"/>
    <x v="0"/>
  </r>
  <r>
    <x v="284"/>
    <x v="4"/>
    <s v="2023"/>
    <x v="351"/>
    <x v="358"/>
    <x v="8"/>
    <x v="0"/>
    <x v="0"/>
  </r>
  <r>
    <x v="285"/>
    <x v="4"/>
    <s v="2023"/>
    <x v="287"/>
    <x v="139"/>
    <x v="49"/>
    <x v="2"/>
    <x v="0"/>
  </r>
  <r>
    <x v="285"/>
    <x v="4"/>
    <s v="2023"/>
    <x v="447"/>
    <x v="598"/>
    <x v="1"/>
    <x v="0"/>
    <x v="0"/>
  </r>
  <r>
    <x v="285"/>
    <x v="4"/>
    <s v="2023"/>
    <x v="99"/>
    <x v="99"/>
    <x v="2"/>
    <x v="0"/>
    <x v="0"/>
  </r>
  <r>
    <x v="285"/>
    <x v="4"/>
    <s v="2023"/>
    <x v="100"/>
    <x v="100"/>
    <x v="72"/>
    <x v="0"/>
    <x v="0"/>
  </r>
  <r>
    <x v="286"/>
    <x v="4"/>
    <s v="2023"/>
    <x v="126"/>
    <x v="109"/>
    <x v="41"/>
    <x v="0"/>
    <x v="0"/>
  </r>
  <r>
    <x v="286"/>
    <x v="4"/>
    <s v="2023"/>
    <x v="431"/>
    <x v="240"/>
    <x v="2"/>
    <x v="0"/>
    <x v="0"/>
  </r>
  <r>
    <x v="286"/>
    <x v="4"/>
    <s v="2023"/>
    <x v="323"/>
    <x v="436"/>
    <x v="49"/>
    <x v="0"/>
    <x v="0"/>
  </r>
  <r>
    <x v="287"/>
    <x v="4"/>
    <s v="2023"/>
    <x v="601"/>
    <x v="599"/>
    <x v="7"/>
    <x v="0"/>
    <x v="0"/>
  </r>
  <r>
    <x v="287"/>
    <x v="4"/>
    <s v="2023"/>
    <x v="602"/>
    <x v="227"/>
    <x v="46"/>
    <x v="0"/>
    <x v="0"/>
  </r>
  <r>
    <x v="287"/>
    <x v="4"/>
    <s v="2023"/>
    <x v="600"/>
    <x v="594"/>
    <x v="15"/>
    <x v="0"/>
    <x v="0"/>
  </r>
  <r>
    <x v="287"/>
    <x v="4"/>
    <s v="2023"/>
    <x v="200"/>
    <x v="600"/>
    <x v="11"/>
    <x v="0"/>
    <x v="0"/>
  </r>
  <r>
    <x v="288"/>
    <x v="5"/>
    <s v="2023"/>
    <x v="603"/>
    <x v="601"/>
    <x v="44"/>
    <x v="0"/>
    <x v="0"/>
  </r>
  <r>
    <x v="288"/>
    <x v="5"/>
    <s v="2023"/>
    <x v="56"/>
    <x v="56"/>
    <x v="2"/>
    <x v="0"/>
    <x v="0"/>
  </r>
  <r>
    <x v="288"/>
    <x v="5"/>
    <s v="2023"/>
    <x v="109"/>
    <x v="109"/>
    <x v="2"/>
    <x v="0"/>
    <x v="0"/>
  </r>
  <r>
    <x v="288"/>
    <x v="5"/>
    <s v="2023"/>
    <x v="2"/>
    <x v="2"/>
    <x v="2"/>
    <x v="0"/>
    <x v="0"/>
  </r>
  <r>
    <x v="288"/>
    <x v="5"/>
    <s v="2023"/>
    <x v="323"/>
    <x v="436"/>
    <x v="39"/>
    <x v="0"/>
    <x v="0"/>
  </r>
  <r>
    <x v="288"/>
    <x v="5"/>
    <s v="2023"/>
    <x v="350"/>
    <x v="323"/>
    <x v="49"/>
    <x v="4"/>
    <x v="0"/>
  </r>
  <r>
    <x v="288"/>
    <x v="5"/>
    <s v="2023"/>
    <x v="331"/>
    <x v="327"/>
    <x v="19"/>
    <x v="0"/>
    <x v="0"/>
  </r>
  <r>
    <x v="288"/>
    <x v="5"/>
    <s v="2023"/>
    <x v="257"/>
    <x v="422"/>
    <x v="2"/>
    <x v="0"/>
    <x v="1"/>
  </r>
  <r>
    <x v="288"/>
    <x v="5"/>
    <s v="2023"/>
    <x v="271"/>
    <x v="550"/>
    <x v="2"/>
    <x v="0"/>
    <x v="0"/>
  </r>
  <r>
    <x v="288"/>
    <x v="5"/>
    <s v="2023"/>
    <x v="219"/>
    <x v="602"/>
    <x v="2"/>
    <x v="0"/>
    <x v="0"/>
  </r>
  <r>
    <x v="288"/>
    <x v="5"/>
    <s v="2023"/>
    <x v="346"/>
    <x v="603"/>
    <x v="49"/>
    <x v="4"/>
    <x v="0"/>
  </r>
  <r>
    <x v="288"/>
    <x v="5"/>
    <s v="2023"/>
    <x v="513"/>
    <x v="355"/>
    <x v="2"/>
    <x v="0"/>
    <x v="0"/>
  </r>
  <r>
    <x v="288"/>
    <x v="5"/>
    <s v="2023"/>
    <x v="352"/>
    <x v="592"/>
    <x v="28"/>
    <x v="0"/>
    <x v="0"/>
  </r>
  <r>
    <x v="289"/>
    <x v="5"/>
    <s v="2023"/>
    <x v="114"/>
    <x v="390"/>
    <x v="49"/>
    <x v="2"/>
    <x v="0"/>
  </r>
  <r>
    <x v="289"/>
    <x v="5"/>
    <s v="2023"/>
    <x v="604"/>
    <x v="529"/>
    <x v="2"/>
    <x v="0"/>
    <x v="0"/>
  </r>
  <r>
    <x v="289"/>
    <x v="5"/>
    <s v="2023"/>
    <x v="605"/>
    <x v="604"/>
    <x v="2"/>
    <x v="0"/>
    <x v="0"/>
  </r>
  <r>
    <x v="289"/>
    <x v="5"/>
    <s v="2023"/>
    <x v="606"/>
    <x v="605"/>
    <x v="2"/>
    <x v="0"/>
    <x v="0"/>
  </r>
  <r>
    <x v="289"/>
    <x v="5"/>
    <s v="2023"/>
    <x v="145"/>
    <x v="146"/>
    <x v="7"/>
    <x v="0"/>
    <x v="0"/>
  </r>
  <r>
    <x v="289"/>
    <x v="5"/>
    <s v="2023"/>
    <x v="14"/>
    <x v="109"/>
    <x v="49"/>
    <x v="4"/>
    <x v="0"/>
  </r>
  <r>
    <x v="289"/>
    <x v="5"/>
    <s v="2023"/>
    <x v="128"/>
    <x v="129"/>
    <x v="2"/>
    <x v="0"/>
    <x v="1"/>
  </r>
  <r>
    <x v="289"/>
    <x v="5"/>
    <s v="2023"/>
    <x v="339"/>
    <x v="345"/>
    <x v="39"/>
    <x v="0"/>
    <x v="0"/>
  </r>
  <r>
    <x v="289"/>
    <x v="5"/>
    <s v="2023"/>
    <x v="148"/>
    <x v="346"/>
    <x v="2"/>
    <x v="0"/>
    <x v="0"/>
  </r>
  <r>
    <x v="289"/>
    <x v="5"/>
    <s v="2023"/>
    <x v="340"/>
    <x v="347"/>
    <x v="2"/>
    <x v="0"/>
    <x v="0"/>
  </r>
  <r>
    <x v="290"/>
    <x v="5"/>
    <s v="2023"/>
    <x v="607"/>
    <x v="606"/>
    <x v="30"/>
    <x v="0"/>
    <x v="0"/>
  </r>
  <r>
    <x v="291"/>
    <x v="5"/>
    <s v="2023"/>
    <x v="331"/>
    <x v="235"/>
    <x v="40"/>
    <x v="0"/>
    <x v="0"/>
  </r>
  <r>
    <x v="291"/>
    <x v="5"/>
    <s v="2023"/>
    <x v="340"/>
    <x v="607"/>
    <x v="100"/>
    <x v="0"/>
    <x v="0"/>
  </r>
  <r>
    <x v="292"/>
    <x v="5"/>
    <s v="2023"/>
    <x v="574"/>
    <x v="575"/>
    <x v="2"/>
    <x v="0"/>
    <x v="0"/>
  </r>
  <r>
    <x v="292"/>
    <x v="5"/>
    <s v="2023"/>
    <x v="575"/>
    <x v="576"/>
    <x v="7"/>
    <x v="0"/>
    <x v="0"/>
  </r>
  <r>
    <x v="293"/>
    <x v="5"/>
    <s v="2023"/>
    <x v="608"/>
    <x v="6"/>
    <x v="57"/>
    <x v="3"/>
    <x v="0"/>
  </r>
  <r>
    <x v="293"/>
    <x v="5"/>
    <s v="2023"/>
    <x v="609"/>
    <x v="594"/>
    <x v="8"/>
    <x v="5"/>
    <x v="0"/>
  </r>
  <r>
    <x v="293"/>
    <x v="5"/>
    <s v="2023"/>
    <x v="56"/>
    <x v="118"/>
    <x v="46"/>
    <x v="2"/>
    <x v="0"/>
  </r>
  <r>
    <x v="294"/>
    <x v="5"/>
    <s v="2023"/>
    <x v="84"/>
    <x v="92"/>
    <x v="121"/>
    <x v="5"/>
    <x v="0"/>
  </r>
  <r>
    <x v="294"/>
    <x v="5"/>
    <s v="2023"/>
    <x v="153"/>
    <x v="305"/>
    <x v="68"/>
    <x v="5"/>
    <x v="0"/>
  </r>
  <r>
    <x v="295"/>
    <x v="5"/>
    <s v="2023"/>
    <x v="60"/>
    <x v="51"/>
    <x v="34"/>
    <x v="5"/>
    <x v="0"/>
  </r>
  <r>
    <x v="295"/>
    <x v="5"/>
    <s v="2023"/>
    <x v="610"/>
    <x v="239"/>
    <x v="32"/>
    <x v="5"/>
    <x v="0"/>
  </r>
  <r>
    <x v="296"/>
    <x v="5"/>
    <s v="2023"/>
    <x v="218"/>
    <x v="293"/>
    <x v="1"/>
    <x v="0"/>
    <x v="0"/>
  </r>
  <r>
    <x v="296"/>
    <x v="5"/>
    <s v="2023"/>
    <x v="288"/>
    <x v="294"/>
    <x v="10"/>
    <x v="0"/>
    <x v="0"/>
  </r>
  <r>
    <x v="296"/>
    <x v="5"/>
    <s v="2023"/>
    <x v="611"/>
    <x v="608"/>
    <x v="2"/>
    <x v="0"/>
    <x v="0"/>
  </r>
  <r>
    <x v="296"/>
    <x v="5"/>
    <s v="2023"/>
    <x v="612"/>
    <x v="200"/>
    <x v="2"/>
    <x v="0"/>
    <x v="0"/>
  </r>
  <r>
    <x v="297"/>
    <x v="5"/>
    <s v="2023"/>
    <x v="3"/>
    <x v="58"/>
    <x v="69"/>
    <x v="0"/>
    <x v="0"/>
  </r>
  <r>
    <x v="297"/>
    <x v="5"/>
    <s v="2023"/>
    <x v="332"/>
    <x v="354"/>
    <x v="7"/>
    <x v="0"/>
    <x v="0"/>
  </r>
  <r>
    <x v="297"/>
    <x v="5"/>
    <s v="2023"/>
    <x v="139"/>
    <x v="140"/>
    <x v="2"/>
    <x v="0"/>
    <x v="0"/>
  </r>
  <r>
    <x v="297"/>
    <x v="5"/>
    <s v="2023"/>
    <x v="345"/>
    <x v="212"/>
    <x v="19"/>
    <x v="0"/>
    <x v="0"/>
  </r>
  <r>
    <x v="298"/>
    <x v="5"/>
    <s v="2023"/>
    <x v="26"/>
    <x v="26"/>
    <x v="2"/>
    <x v="0"/>
    <x v="0"/>
  </r>
  <r>
    <x v="298"/>
    <x v="5"/>
    <s v="2023"/>
    <x v="27"/>
    <x v="27"/>
    <x v="2"/>
    <x v="0"/>
    <x v="0"/>
  </r>
  <r>
    <x v="298"/>
    <x v="5"/>
    <s v="2023"/>
    <x v="613"/>
    <x v="570"/>
    <x v="68"/>
    <x v="0"/>
    <x v="0"/>
  </r>
  <r>
    <x v="298"/>
    <x v="5"/>
    <s v="2023"/>
    <x v="109"/>
    <x v="292"/>
    <x v="68"/>
    <x v="0"/>
    <x v="0"/>
  </r>
  <r>
    <x v="298"/>
    <x v="5"/>
    <s v="2023"/>
    <x v="121"/>
    <x v="323"/>
    <x v="2"/>
    <x v="0"/>
    <x v="0"/>
  </r>
  <r>
    <x v="298"/>
    <x v="5"/>
    <s v="2023"/>
    <x v="288"/>
    <x v="294"/>
    <x v="8"/>
    <x v="0"/>
    <x v="0"/>
  </r>
  <r>
    <x v="298"/>
    <x v="5"/>
    <s v="2023"/>
    <x v="611"/>
    <x v="608"/>
    <x v="2"/>
    <x v="0"/>
    <x v="1"/>
  </r>
  <r>
    <x v="299"/>
    <x v="5"/>
    <s v="2023"/>
    <x v="351"/>
    <x v="358"/>
    <x v="3"/>
    <x v="2"/>
    <x v="0"/>
  </r>
  <r>
    <x v="299"/>
    <x v="5"/>
    <s v="2023"/>
    <x v="89"/>
    <x v="88"/>
    <x v="6"/>
    <x v="0"/>
    <x v="0"/>
  </r>
  <r>
    <x v="299"/>
    <x v="5"/>
    <s v="2023"/>
    <x v="50"/>
    <x v="51"/>
    <x v="40"/>
    <x v="0"/>
    <x v="0"/>
  </r>
  <r>
    <x v="299"/>
    <x v="5"/>
    <s v="2023"/>
    <x v="51"/>
    <x v="52"/>
    <x v="2"/>
    <x v="0"/>
    <x v="0"/>
  </r>
  <r>
    <x v="299"/>
    <x v="5"/>
    <s v="2023"/>
    <x v="107"/>
    <x v="107"/>
    <x v="21"/>
    <x v="0"/>
    <x v="0"/>
  </r>
  <r>
    <x v="300"/>
    <x v="5"/>
    <s v="2023"/>
    <x v="446"/>
    <x v="14"/>
    <x v="19"/>
    <x v="0"/>
    <x v="0"/>
  </r>
  <r>
    <x v="301"/>
    <x v="5"/>
    <s v="2023"/>
    <x v="416"/>
    <x v="355"/>
    <x v="11"/>
    <x v="0"/>
    <x v="0"/>
  </r>
  <r>
    <x v="302"/>
    <x v="5"/>
    <s v="2023"/>
    <x v="117"/>
    <x v="113"/>
    <x v="34"/>
    <x v="0"/>
    <x v="0"/>
  </r>
  <r>
    <x v="302"/>
    <x v="5"/>
    <s v="2023"/>
    <x v="286"/>
    <x v="292"/>
    <x v="2"/>
    <x v="0"/>
    <x v="1"/>
  </r>
  <r>
    <x v="302"/>
    <x v="5"/>
    <s v="2023"/>
    <x v="287"/>
    <x v="293"/>
    <x v="2"/>
    <x v="0"/>
    <x v="1"/>
  </r>
  <r>
    <x v="302"/>
    <x v="5"/>
    <s v="2023"/>
    <x v="502"/>
    <x v="148"/>
    <x v="8"/>
    <x v="0"/>
    <x v="0"/>
  </r>
  <r>
    <x v="303"/>
    <x v="5"/>
    <s v="2023"/>
    <x v="373"/>
    <x v="609"/>
    <x v="20"/>
    <x v="0"/>
    <x v="0"/>
  </r>
  <r>
    <x v="304"/>
    <x v="5"/>
    <s v="2023"/>
    <x v="445"/>
    <x v="434"/>
    <x v="10"/>
    <x v="2"/>
    <x v="0"/>
  </r>
  <r>
    <x v="304"/>
    <x v="5"/>
    <s v="2023"/>
    <x v="376"/>
    <x v="334"/>
    <x v="32"/>
    <x v="0"/>
    <x v="0"/>
  </r>
  <r>
    <x v="304"/>
    <x v="5"/>
    <s v="2023"/>
    <x v="128"/>
    <x v="129"/>
    <x v="20"/>
    <x v="0"/>
    <x v="0"/>
  </r>
  <r>
    <x v="304"/>
    <x v="5"/>
    <s v="2023"/>
    <x v="339"/>
    <x v="345"/>
    <x v="2"/>
    <x v="0"/>
    <x v="0"/>
  </r>
  <r>
    <x v="304"/>
    <x v="5"/>
    <s v="2023"/>
    <x v="148"/>
    <x v="346"/>
    <x v="2"/>
    <x v="0"/>
    <x v="0"/>
  </r>
  <r>
    <x v="304"/>
    <x v="5"/>
    <s v="2023"/>
    <x v="59"/>
    <x v="59"/>
    <x v="88"/>
    <x v="0"/>
    <x v="0"/>
  </r>
  <r>
    <x v="304"/>
    <x v="5"/>
    <s v="2023"/>
    <x v="60"/>
    <x v="60"/>
    <x v="39"/>
    <x v="0"/>
    <x v="0"/>
  </r>
  <r>
    <x v="304"/>
    <x v="5"/>
    <s v="2023"/>
    <x v="471"/>
    <x v="259"/>
    <x v="2"/>
    <x v="0"/>
    <x v="0"/>
  </r>
  <r>
    <x v="305"/>
    <x v="5"/>
    <s v="2023"/>
    <x v="614"/>
    <x v="263"/>
    <x v="4"/>
    <x v="0"/>
    <x v="0"/>
  </r>
  <r>
    <x v="306"/>
    <x v="5"/>
    <s v="2023"/>
    <x v="116"/>
    <x v="72"/>
    <x v="79"/>
    <x v="0"/>
    <x v="0"/>
  </r>
  <r>
    <x v="306"/>
    <x v="5"/>
    <s v="2023"/>
    <x v="73"/>
    <x v="73"/>
    <x v="49"/>
    <x v="2"/>
    <x v="0"/>
  </r>
  <r>
    <x v="306"/>
    <x v="5"/>
    <s v="2023"/>
    <x v="362"/>
    <x v="610"/>
    <x v="2"/>
    <x v="0"/>
    <x v="0"/>
  </r>
  <r>
    <x v="306"/>
    <x v="5"/>
    <s v="2023"/>
    <x v="515"/>
    <x v="329"/>
    <x v="2"/>
    <x v="0"/>
    <x v="0"/>
  </r>
  <r>
    <x v="306"/>
    <x v="5"/>
    <s v="2023"/>
    <x v="288"/>
    <x v="294"/>
    <x v="2"/>
    <x v="0"/>
    <x v="0"/>
  </r>
  <r>
    <x v="306"/>
    <x v="5"/>
    <s v="2023"/>
    <x v="611"/>
    <x v="608"/>
    <x v="67"/>
    <x v="0"/>
    <x v="0"/>
  </r>
  <r>
    <x v="306"/>
    <x v="5"/>
    <s v="2023"/>
    <x v="612"/>
    <x v="200"/>
    <x v="2"/>
    <x v="0"/>
    <x v="0"/>
  </r>
  <r>
    <x v="306"/>
    <x v="5"/>
    <s v="2023"/>
    <x v="281"/>
    <x v="368"/>
    <x v="28"/>
    <x v="0"/>
    <x v="0"/>
  </r>
  <r>
    <x v="307"/>
    <x v="5"/>
    <s v="2023"/>
    <x v="14"/>
    <x v="292"/>
    <x v="32"/>
    <x v="0"/>
    <x v="0"/>
  </r>
  <r>
    <x v="307"/>
    <x v="5"/>
    <s v="2023"/>
    <x v="121"/>
    <x v="323"/>
    <x v="2"/>
    <x v="0"/>
    <x v="0"/>
  </r>
  <r>
    <x v="308"/>
    <x v="6"/>
    <s v="2023"/>
    <x v="293"/>
    <x v="80"/>
    <x v="68"/>
    <x v="0"/>
    <x v="0"/>
  </r>
  <r>
    <x v="308"/>
    <x v="6"/>
    <s v="2023"/>
    <x v="383"/>
    <x v="385"/>
    <x v="2"/>
    <x v="0"/>
    <x v="0"/>
  </r>
  <r>
    <x v="308"/>
    <x v="6"/>
    <s v="2023"/>
    <x v="310"/>
    <x v="386"/>
    <x v="2"/>
    <x v="0"/>
    <x v="0"/>
  </r>
  <r>
    <x v="308"/>
    <x v="6"/>
    <s v="2023"/>
    <x v="83"/>
    <x v="82"/>
    <x v="2"/>
    <x v="0"/>
    <x v="0"/>
  </r>
  <r>
    <x v="308"/>
    <x v="6"/>
    <s v="2023"/>
    <x v="404"/>
    <x v="365"/>
    <x v="2"/>
    <x v="0"/>
    <x v="1"/>
  </r>
  <r>
    <x v="308"/>
    <x v="6"/>
    <s v="2023"/>
    <x v="129"/>
    <x v="130"/>
    <x v="39"/>
    <x v="0"/>
    <x v="0"/>
  </r>
  <r>
    <x v="308"/>
    <x v="6"/>
    <s v="2023"/>
    <x v="350"/>
    <x v="131"/>
    <x v="23"/>
    <x v="0"/>
    <x v="0"/>
  </r>
  <r>
    <x v="309"/>
    <x v="6"/>
    <s v="2023"/>
    <x v="524"/>
    <x v="335"/>
    <x v="21"/>
    <x v="0"/>
    <x v="0"/>
  </r>
  <r>
    <x v="309"/>
    <x v="6"/>
    <s v="2023"/>
    <x v="495"/>
    <x v="98"/>
    <x v="37"/>
    <x v="0"/>
    <x v="0"/>
  </r>
  <r>
    <x v="310"/>
    <x v="6"/>
    <s v="2023"/>
    <x v="307"/>
    <x v="251"/>
    <x v="7"/>
    <x v="0"/>
    <x v="0"/>
  </r>
  <r>
    <x v="311"/>
    <x v="6"/>
    <s v="2023"/>
    <x v="615"/>
    <x v="611"/>
    <x v="18"/>
    <x v="0"/>
    <x v="0"/>
  </r>
  <r>
    <x v="311"/>
    <x v="6"/>
    <s v="2023"/>
    <x v="360"/>
    <x v="146"/>
    <x v="39"/>
    <x v="0"/>
    <x v="0"/>
  </r>
  <r>
    <x v="311"/>
    <x v="6"/>
    <s v="2023"/>
    <x v="176"/>
    <x v="556"/>
    <x v="2"/>
    <x v="0"/>
    <x v="0"/>
  </r>
  <r>
    <x v="311"/>
    <x v="6"/>
    <s v="2023"/>
    <x v="147"/>
    <x v="322"/>
    <x v="2"/>
    <x v="0"/>
    <x v="0"/>
  </r>
  <r>
    <x v="311"/>
    <x v="6"/>
    <s v="2023"/>
    <x v="616"/>
    <x v="612"/>
    <x v="37"/>
    <x v="0"/>
    <x v="0"/>
  </r>
  <r>
    <x v="312"/>
    <x v="6"/>
    <s v="2023"/>
    <x v="617"/>
    <x v="613"/>
    <x v="7"/>
    <x v="0"/>
    <x v="0"/>
  </r>
  <r>
    <x v="312"/>
    <x v="6"/>
    <s v="2023"/>
    <x v="127"/>
    <x v="2"/>
    <x v="69"/>
    <x v="0"/>
    <x v="0"/>
  </r>
  <r>
    <x v="313"/>
    <x v="6"/>
    <s v="2023"/>
    <x v="128"/>
    <x v="345"/>
    <x v="69"/>
    <x v="0"/>
    <x v="0"/>
  </r>
  <r>
    <x v="314"/>
    <x v="6"/>
    <s v="2023"/>
    <x v="40"/>
    <x v="12"/>
    <x v="30"/>
    <x v="0"/>
    <x v="0"/>
  </r>
  <r>
    <x v="314"/>
    <x v="6"/>
    <s v="2023"/>
    <x v="83"/>
    <x v="82"/>
    <x v="2"/>
    <x v="0"/>
    <x v="0"/>
  </r>
  <r>
    <x v="314"/>
    <x v="6"/>
    <s v="2023"/>
    <x v="146"/>
    <x v="147"/>
    <x v="2"/>
    <x v="0"/>
    <x v="0"/>
  </r>
  <r>
    <x v="314"/>
    <x v="6"/>
    <s v="2023"/>
    <x v="302"/>
    <x v="456"/>
    <x v="2"/>
    <x v="0"/>
    <x v="0"/>
  </r>
  <r>
    <x v="314"/>
    <x v="6"/>
    <s v="2023"/>
    <x v="305"/>
    <x v="216"/>
    <x v="14"/>
    <x v="0"/>
    <x v="0"/>
  </r>
  <r>
    <x v="314"/>
    <x v="6"/>
    <s v="2023"/>
    <x v="86"/>
    <x v="104"/>
    <x v="13"/>
    <x v="0"/>
    <x v="0"/>
  </r>
  <r>
    <x v="315"/>
    <x v="6"/>
    <s v="2023"/>
    <x v="46"/>
    <x v="123"/>
    <x v="91"/>
    <x v="0"/>
    <x v="0"/>
  </r>
  <r>
    <x v="315"/>
    <x v="6"/>
    <s v="2023"/>
    <x v="189"/>
    <x v="600"/>
    <x v="2"/>
    <x v="0"/>
    <x v="0"/>
  </r>
  <r>
    <x v="315"/>
    <x v="6"/>
    <s v="2023"/>
    <x v="618"/>
    <x v="614"/>
    <x v="2"/>
    <x v="0"/>
    <x v="0"/>
  </r>
  <r>
    <x v="315"/>
    <x v="6"/>
    <s v="2023"/>
    <x v="619"/>
    <x v="551"/>
    <x v="2"/>
    <x v="0"/>
    <x v="0"/>
  </r>
  <r>
    <x v="315"/>
    <x v="6"/>
    <s v="2023"/>
    <x v="380"/>
    <x v="31"/>
    <x v="8"/>
    <x v="0"/>
    <x v="0"/>
  </r>
  <r>
    <x v="316"/>
    <x v="6"/>
    <s v="2023"/>
    <x v="25"/>
    <x v="599"/>
    <x v="37"/>
    <x v="0"/>
    <x v="0"/>
  </r>
  <r>
    <x v="316"/>
    <x v="6"/>
    <s v="2023"/>
    <x v="518"/>
    <x v="615"/>
    <x v="111"/>
    <x v="0"/>
    <x v="0"/>
  </r>
  <r>
    <x v="316"/>
    <x v="6"/>
    <s v="2023"/>
    <x v="274"/>
    <x v="12"/>
    <x v="79"/>
    <x v="0"/>
    <x v="0"/>
  </r>
  <r>
    <x v="316"/>
    <x v="6"/>
    <s v="2023"/>
    <x v="83"/>
    <x v="82"/>
    <x v="19"/>
    <x v="0"/>
    <x v="0"/>
  </r>
  <r>
    <x v="316"/>
    <x v="6"/>
    <s v="2023"/>
    <x v="15"/>
    <x v="15"/>
    <x v="42"/>
    <x v="0"/>
    <x v="0"/>
  </r>
  <r>
    <x v="316"/>
    <x v="6"/>
    <s v="2023"/>
    <x v="210"/>
    <x v="215"/>
    <x v="2"/>
    <x v="0"/>
    <x v="0"/>
  </r>
  <r>
    <x v="316"/>
    <x v="6"/>
    <s v="2023"/>
    <x v="188"/>
    <x v="216"/>
    <x v="2"/>
    <x v="0"/>
    <x v="0"/>
  </r>
  <r>
    <x v="317"/>
    <x v="6"/>
    <s v="2023"/>
    <x v="0"/>
    <x v="616"/>
    <x v="121"/>
    <x v="0"/>
    <x v="0"/>
  </r>
  <r>
    <x v="318"/>
    <x v="6"/>
    <s v="2023"/>
    <x v="197"/>
    <x v="617"/>
    <x v="24"/>
    <x v="0"/>
    <x v="0"/>
  </r>
  <r>
    <x v="318"/>
    <x v="6"/>
    <s v="2023"/>
    <x v="452"/>
    <x v="242"/>
    <x v="28"/>
    <x v="0"/>
    <x v="0"/>
  </r>
  <r>
    <x v="319"/>
    <x v="6"/>
    <s v="2023"/>
    <x v="220"/>
    <x v="618"/>
    <x v="1"/>
    <x v="0"/>
    <x v="0"/>
  </r>
  <r>
    <x v="319"/>
    <x v="6"/>
    <s v="2023"/>
    <x v="596"/>
    <x v="619"/>
    <x v="4"/>
    <x v="0"/>
    <x v="0"/>
  </r>
  <r>
    <x v="319"/>
    <x v="6"/>
    <s v="2023"/>
    <x v="383"/>
    <x v="620"/>
    <x v="32"/>
    <x v="0"/>
    <x v="0"/>
  </r>
  <r>
    <x v="320"/>
    <x v="6"/>
    <s v="2023"/>
    <x v="82"/>
    <x v="109"/>
    <x v="69"/>
    <x v="0"/>
    <x v="0"/>
  </r>
  <r>
    <x v="320"/>
    <x v="6"/>
    <s v="2023"/>
    <x v="431"/>
    <x v="240"/>
    <x v="2"/>
    <x v="0"/>
    <x v="0"/>
  </r>
  <r>
    <x v="320"/>
    <x v="6"/>
    <s v="2023"/>
    <x v="323"/>
    <x v="436"/>
    <x v="42"/>
    <x v="0"/>
    <x v="0"/>
  </r>
  <r>
    <x v="321"/>
    <x v="6"/>
    <s v="2023"/>
    <x v="115"/>
    <x v="338"/>
    <x v="22"/>
    <x v="0"/>
    <x v="0"/>
  </r>
  <r>
    <x v="321"/>
    <x v="6"/>
    <s v="2023"/>
    <x v="620"/>
    <x v="621"/>
    <x v="37"/>
    <x v="0"/>
    <x v="0"/>
  </r>
  <r>
    <x v="322"/>
    <x v="6"/>
    <s v="2023"/>
    <x v="263"/>
    <x v="3"/>
    <x v="68"/>
    <x v="0"/>
    <x v="0"/>
  </r>
  <r>
    <x v="323"/>
    <x v="6"/>
    <s v="2023"/>
    <x v="430"/>
    <x v="377"/>
    <x v="10"/>
    <x v="2"/>
    <x v="0"/>
  </r>
  <r>
    <x v="323"/>
    <x v="6"/>
    <s v="2023"/>
    <x v="116"/>
    <x v="434"/>
    <x v="2"/>
    <x v="0"/>
    <x v="0"/>
  </r>
  <r>
    <x v="323"/>
    <x v="6"/>
    <s v="2023"/>
    <x v="117"/>
    <x v="118"/>
    <x v="46"/>
    <x v="0"/>
    <x v="0"/>
  </r>
  <r>
    <x v="323"/>
    <x v="6"/>
    <s v="2023"/>
    <x v="621"/>
    <x v="622"/>
    <x v="2"/>
    <x v="0"/>
    <x v="0"/>
  </r>
  <r>
    <x v="323"/>
    <x v="6"/>
    <s v="2023"/>
    <x v="622"/>
    <x v="623"/>
    <x v="2"/>
    <x v="0"/>
    <x v="0"/>
  </r>
  <r>
    <x v="323"/>
    <x v="6"/>
    <s v="2023"/>
    <x v="338"/>
    <x v="481"/>
    <x v="3"/>
    <x v="0"/>
    <x v="0"/>
  </r>
  <r>
    <x v="323"/>
    <x v="6"/>
    <s v="2023"/>
    <x v="122"/>
    <x v="122"/>
    <x v="2"/>
    <x v="0"/>
    <x v="0"/>
  </r>
  <r>
    <x v="323"/>
    <x v="6"/>
    <s v="2023"/>
    <x v="123"/>
    <x v="123"/>
    <x v="2"/>
    <x v="0"/>
    <x v="0"/>
  </r>
  <r>
    <x v="323"/>
    <x v="6"/>
    <s v="2023"/>
    <x v="90"/>
    <x v="141"/>
    <x v="27"/>
    <x v="0"/>
    <x v="0"/>
  </r>
  <r>
    <x v="324"/>
    <x v="6"/>
    <s v="2023"/>
    <x v="360"/>
    <x v="338"/>
    <x v="2"/>
    <x v="2"/>
    <x v="0"/>
  </r>
  <r>
    <x v="324"/>
    <x v="6"/>
    <s v="2023"/>
    <x v="13"/>
    <x v="13"/>
    <x v="2"/>
    <x v="0"/>
    <x v="0"/>
  </r>
  <r>
    <x v="324"/>
    <x v="6"/>
    <s v="2023"/>
    <x v="14"/>
    <x v="14"/>
    <x v="2"/>
    <x v="0"/>
    <x v="0"/>
  </r>
  <r>
    <x v="324"/>
    <x v="6"/>
    <s v="2023"/>
    <x v="405"/>
    <x v="405"/>
    <x v="2"/>
    <x v="0"/>
    <x v="0"/>
  </r>
  <r>
    <x v="325"/>
    <x v="6"/>
    <s v="2023"/>
    <x v="360"/>
    <x v="338"/>
    <x v="2"/>
    <x v="2"/>
    <x v="0"/>
  </r>
  <r>
    <x v="325"/>
    <x v="6"/>
    <s v="2023"/>
    <x v="13"/>
    <x v="13"/>
    <x v="2"/>
    <x v="0"/>
    <x v="0"/>
  </r>
  <r>
    <x v="325"/>
    <x v="6"/>
    <s v="2023"/>
    <x v="14"/>
    <x v="14"/>
    <x v="2"/>
    <x v="0"/>
    <x v="0"/>
  </r>
  <r>
    <x v="325"/>
    <x v="6"/>
    <s v="2023"/>
    <x v="405"/>
    <x v="345"/>
    <x v="83"/>
    <x v="0"/>
    <x v="0"/>
  </r>
  <r>
    <x v="325"/>
    <x v="6"/>
    <s v="2023"/>
    <x v="216"/>
    <x v="179"/>
    <x v="2"/>
    <x v="0"/>
    <x v="0"/>
  </r>
  <r>
    <x v="325"/>
    <x v="6"/>
    <s v="2023"/>
    <x v="481"/>
    <x v="214"/>
    <x v="2"/>
    <x v="0"/>
    <x v="0"/>
  </r>
  <r>
    <x v="326"/>
    <x v="7"/>
    <s v="2023"/>
    <x v="392"/>
    <x v="624"/>
    <x v="37"/>
    <x v="0"/>
    <x v="0"/>
  </r>
  <r>
    <x v="326"/>
    <x v="7"/>
    <s v="2023"/>
    <x v="294"/>
    <x v="625"/>
    <x v="24"/>
    <x v="0"/>
    <x v="0"/>
  </r>
  <r>
    <x v="326"/>
    <x v="7"/>
    <s v="2023"/>
    <x v="227"/>
    <x v="488"/>
    <x v="54"/>
    <x v="0"/>
    <x v="0"/>
  </r>
  <r>
    <x v="327"/>
    <x v="7"/>
    <s v="2023"/>
    <x v="360"/>
    <x v="464"/>
    <x v="47"/>
    <x v="0"/>
    <x v="0"/>
  </r>
  <r>
    <x v="328"/>
    <x v="7"/>
    <s v="2023"/>
    <x v="116"/>
    <x v="81"/>
    <x v="20"/>
    <x v="2"/>
    <x v="0"/>
  </r>
  <r>
    <x v="328"/>
    <x v="7"/>
    <s v="2023"/>
    <x v="606"/>
    <x v="605"/>
    <x v="2"/>
    <x v="0"/>
    <x v="0"/>
  </r>
  <r>
    <x v="328"/>
    <x v="7"/>
    <s v="2023"/>
    <x v="623"/>
    <x v="526"/>
    <x v="2"/>
    <x v="0"/>
    <x v="0"/>
  </r>
  <r>
    <x v="328"/>
    <x v="7"/>
    <s v="2023"/>
    <x v="24"/>
    <x v="2"/>
    <x v="16"/>
    <x v="0"/>
    <x v="0"/>
  </r>
  <r>
    <x v="329"/>
    <x v="7"/>
    <s v="2023"/>
    <x v="416"/>
    <x v="141"/>
    <x v="37"/>
    <x v="0"/>
    <x v="0"/>
  </r>
  <r>
    <x v="330"/>
    <x v="7"/>
    <s v="2023"/>
    <x v="473"/>
    <x v="470"/>
    <x v="2"/>
    <x v="0"/>
    <x v="0"/>
  </r>
  <r>
    <x v="330"/>
    <x v="7"/>
    <s v="2023"/>
    <x v="150"/>
    <x v="349"/>
    <x v="57"/>
    <x v="0"/>
    <x v="0"/>
  </r>
  <r>
    <x v="331"/>
    <x v="7"/>
    <s v="2023"/>
    <x v="445"/>
    <x v="626"/>
    <x v="66"/>
    <x v="0"/>
    <x v="0"/>
  </r>
  <r>
    <x v="331"/>
    <x v="7"/>
    <s v="2023"/>
    <x v="263"/>
    <x v="376"/>
    <x v="47"/>
    <x v="0"/>
    <x v="0"/>
  </r>
  <r>
    <x v="332"/>
    <x v="7"/>
    <s v="2023"/>
    <x v="501"/>
    <x v="434"/>
    <x v="14"/>
    <x v="0"/>
    <x v="0"/>
  </r>
  <r>
    <x v="332"/>
    <x v="7"/>
    <s v="2023"/>
    <x v="109"/>
    <x v="622"/>
    <x v="37"/>
    <x v="0"/>
    <x v="0"/>
  </r>
  <r>
    <x v="332"/>
    <x v="7"/>
    <s v="2023"/>
    <x v="317"/>
    <x v="556"/>
    <x v="57"/>
    <x v="0"/>
    <x v="0"/>
  </r>
  <r>
    <x v="333"/>
    <x v="7"/>
    <s v="2023"/>
    <x v="624"/>
    <x v="627"/>
    <x v="68"/>
    <x v="0"/>
    <x v="0"/>
  </r>
  <r>
    <x v="334"/>
    <x v="7"/>
    <s v="2023"/>
    <x v="339"/>
    <x v="345"/>
    <x v="2"/>
    <x v="0"/>
    <x v="0"/>
  </r>
  <r>
    <x v="334"/>
    <x v="7"/>
    <s v="2023"/>
    <x v="148"/>
    <x v="346"/>
    <x v="2"/>
    <x v="0"/>
    <x v="0"/>
  </r>
  <r>
    <x v="334"/>
    <x v="7"/>
    <s v="2023"/>
    <x v="338"/>
    <x v="608"/>
    <x v="23"/>
    <x v="0"/>
    <x v="0"/>
  </r>
  <r>
    <x v="335"/>
    <x v="7"/>
    <s v="2023"/>
    <x v="55"/>
    <x v="55"/>
    <x v="46"/>
    <x v="0"/>
    <x v="0"/>
  </r>
  <r>
    <x v="335"/>
    <x v="7"/>
    <s v="2023"/>
    <x v="56"/>
    <x v="56"/>
    <x v="10"/>
    <x v="0"/>
    <x v="0"/>
  </r>
  <r>
    <x v="335"/>
    <x v="7"/>
    <s v="2023"/>
    <x v="109"/>
    <x v="109"/>
    <x v="39"/>
    <x v="0"/>
    <x v="0"/>
  </r>
  <r>
    <x v="335"/>
    <x v="7"/>
    <s v="2023"/>
    <x v="431"/>
    <x v="240"/>
    <x v="8"/>
    <x v="0"/>
    <x v="0"/>
  </r>
  <r>
    <x v="335"/>
    <x v="7"/>
    <s v="2023"/>
    <x v="30"/>
    <x v="31"/>
    <x v="57"/>
    <x v="0"/>
    <x v="0"/>
  </r>
  <r>
    <x v="335"/>
    <x v="7"/>
    <s v="2023"/>
    <x v="31"/>
    <x v="138"/>
    <x v="96"/>
    <x v="0"/>
    <x v="0"/>
  </r>
  <r>
    <x v="336"/>
    <x v="7"/>
    <s v="2023"/>
    <x v="251"/>
    <x v="188"/>
    <x v="46"/>
    <x v="0"/>
    <x v="0"/>
  </r>
  <r>
    <x v="336"/>
    <x v="7"/>
    <s v="2023"/>
    <x v="264"/>
    <x v="271"/>
    <x v="2"/>
    <x v="0"/>
    <x v="0"/>
  </r>
  <r>
    <x v="336"/>
    <x v="7"/>
    <s v="2023"/>
    <x v="265"/>
    <x v="272"/>
    <x v="32"/>
    <x v="0"/>
    <x v="0"/>
  </r>
  <r>
    <x v="337"/>
    <x v="7"/>
    <s v="2023"/>
    <x v="625"/>
    <x v="313"/>
    <x v="122"/>
    <x v="0"/>
    <x v="0"/>
  </r>
  <r>
    <x v="337"/>
    <x v="7"/>
    <s v="2023"/>
    <x v="162"/>
    <x v="151"/>
    <x v="46"/>
    <x v="0"/>
    <x v="0"/>
  </r>
  <r>
    <x v="338"/>
    <x v="7"/>
    <s v="2023"/>
    <x v="71"/>
    <x v="23"/>
    <x v="2"/>
    <x v="0"/>
    <x v="0"/>
  </r>
  <r>
    <x v="338"/>
    <x v="7"/>
    <s v="2023"/>
    <x v="72"/>
    <x v="72"/>
    <x v="2"/>
    <x v="0"/>
    <x v="0"/>
  </r>
  <r>
    <x v="338"/>
    <x v="7"/>
    <s v="2023"/>
    <x v="112"/>
    <x v="113"/>
    <x v="2"/>
    <x v="0"/>
    <x v="0"/>
  </r>
  <r>
    <x v="338"/>
    <x v="7"/>
    <s v="2023"/>
    <x v="362"/>
    <x v="610"/>
    <x v="28"/>
    <x v="0"/>
    <x v="0"/>
  </r>
  <r>
    <x v="338"/>
    <x v="7"/>
    <s v="2023"/>
    <x v="626"/>
    <x v="221"/>
    <x v="1"/>
    <x v="0"/>
    <x v="0"/>
  </r>
  <r>
    <x v="339"/>
    <x v="7"/>
    <s v="2023"/>
    <x v="197"/>
    <x v="621"/>
    <x v="41"/>
    <x v="0"/>
    <x v="0"/>
  </r>
  <r>
    <x v="339"/>
    <x v="7"/>
    <s v="2023"/>
    <x v="269"/>
    <x v="14"/>
    <x v="37"/>
    <x v="0"/>
    <x v="0"/>
  </r>
  <r>
    <x v="339"/>
    <x v="7"/>
    <s v="2023"/>
    <x v="15"/>
    <x v="341"/>
    <x v="11"/>
    <x v="0"/>
    <x v="0"/>
  </r>
  <r>
    <x v="340"/>
    <x v="7"/>
    <s v="2023"/>
    <x v="520"/>
    <x v="129"/>
    <x v="30"/>
    <x v="0"/>
    <x v="0"/>
  </r>
  <r>
    <x v="340"/>
    <x v="7"/>
    <s v="2023"/>
    <x v="198"/>
    <x v="628"/>
    <x v="67"/>
    <x v="0"/>
    <x v="0"/>
  </r>
  <r>
    <x v="341"/>
    <x v="7"/>
    <s v="2023"/>
    <x v="477"/>
    <x v="629"/>
    <x v="101"/>
    <x v="0"/>
    <x v="0"/>
  </r>
  <r>
    <x v="342"/>
    <x v="8"/>
    <s v="2023"/>
    <x v="126"/>
    <x v="127"/>
    <x v="88"/>
    <x v="0"/>
    <x v="0"/>
  </r>
  <r>
    <x v="342"/>
    <x v="8"/>
    <s v="2023"/>
    <x v="127"/>
    <x v="128"/>
    <x v="2"/>
    <x v="0"/>
    <x v="0"/>
  </r>
  <r>
    <x v="342"/>
    <x v="8"/>
    <s v="2023"/>
    <x v="128"/>
    <x v="129"/>
    <x v="2"/>
    <x v="0"/>
    <x v="0"/>
  </r>
  <r>
    <x v="342"/>
    <x v="8"/>
    <s v="2023"/>
    <x v="129"/>
    <x v="130"/>
    <x v="2"/>
    <x v="0"/>
    <x v="0"/>
  </r>
  <r>
    <x v="342"/>
    <x v="8"/>
    <s v="2023"/>
    <x v="455"/>
    <x v="304"/>
    <x v="96"/>
    <x v="0"/>
    <x v="0"/>
  </r>
  <r>
    <x v="342"/>
    <x v="8"/>
    <s v="2023"/>
    <x v="327"/>
    <x v="295"/>
    <x v="2"/>
    <x v="0"/>
    <x v="0"/>
  </r>
  <r>
    <x v="342"/>
    <x v="8"/>
    <s v="2023"/>
    <x v="251"/>
    <x v="188"/>
    <x v="8"/>
    <x v="0"/>
    <x v="0"/>
  </r>
  <r>
    <x v="342"/>
    <x v="8"/>
    <s v="2023"/>
    <x v="309"/>
    <x v="287"/>
    <x v="2"/>
    <x v="0"/>
    <x v="0"/>
  </r>
  <r>
    <x v="342"/>
    <x v="8"/>
    <s v="2023"/>
    <x v="51"/>
    <x v="52"/>
    <x v="2"/>
    <x v="0"/>
    <x v="1"/>
  </r>
  <r>
    <x v="342"/>
    <x v="8"/>
    <s v="2023"/>
    <x v="107"/>
    <x v="107"/>
    <x v="20"/>
    <x v="0"/>
    <x v="0"/>
  </r>
  <r>
    <x v="343"/>
    <x v="8"/>
    <s v="2023"/>
    <x v="583"/>
    <x v="238"/>
    <x v="2"/>
    <x v="0"/>
    <x v="0"/>
  </r>
  <r>
    <x v="343"/>
    <x v="8"/>
    <s v="2023"/>
    <x v="333"/>
    <x v="183"/>
    <x v="2"/>
    <x v="0"/>
    <x v="0"/>
  </r>
  <r>
    <x v="343"/>
    <x v="8"/>
    <s v="2023"/>
    <x v="164"/>
    <x v="163"/>
    <x v="2"/>
    <x v="0"/>
    <x v="0"/>
  </r>
  <r>
    <x v="343"/>
    <x v="8"/>
    <s v="2023"/>
    <x v="627"/>
    <x v="75"/>
    <x v="2"/>
    <x v="0"/>
    <x v="0"/>
  </r>
  <r>
    <x v="343"/>
    <x v="8"/>
    <s v="2023"/>
    <x v="182"/>
    <x v="630"/>
    <x v="16"/>
    <x v="0"/>
    <x v="0"/>
  </r>
  <r>
    <x v="344"/>
    <x v="8"/>
    <s v="2023"/>
    <x v="13"/>
    <x v="13"/>
    <x v="2"/>
    <x v="0"/>
    <x v="0"/>
  </r>
  <r>
    <x v="344"/>
    <x v="8"/>
    <s v="2023"/>
    <x v="14"/>
    <x v="14"/>
    <x v="2"/>
    <x v="0"/>
    <x v="0"/>
  </r>
  <r>
    <x v="344"/>
    <x v="8"/>
    <s v="2023"/>
    <x v="15"/>
    <x v="15"/>
    <x v="2"/>
    <x v="0"/>
    <x v="0"/>
  </r>
  <r>
    <x v="344"/>
    <x v="8"/>
    <s v="2023"/>
    <x v="16"/>
    <x v="16"/>
    <x v="39"/>
    <x v="0"/>
    <x v="0"/>
  </r>
  <r>
    <x v="345"/>
    <x v="8"/>
    <s v="2023"/>
    <x v="194"/>
    <x v="627"/>
    <x v="71"/>
    <x v="0"/>
    <x v="0"/>
  </r>
  <r>
    <x v="345"/>
    <x v="8"/>
    <s v="2023"/>
    <x v="628"/>
    <x v="631"/>
    <x v="39"/>
    <x v="0"/>
    <x v="0"/>
  </r>
  <r>
    <x v="345"/>
    <x v="8"/>
    <s v="2023"/>
    <x v="227"/>
    <x v="2"/>
    <x v="82"/>
    <x v="0"/>
    <x v="0"/>
  </r>
  <r>
    <x v="345"/>
    <x v="8"/>
    <s v="2023"/>
    <x v="306"/>
    <x v="341"/>
    <x v="10"/>
    <x v="0"/>
    <x v="0"/>
  </r>
  <r>
    <x v="346"/>
    <x v="8"/>
    <s v="2023"/>
    <x v="82"/>
    <x v="12"/>
    <x v="39"/>
    <x v="0"/>
    <x v="0"/>
  </r>
  <r>
    <x v="346"/>
    <x v="8"/>
    <s v="2023"/>
    <x v="145"/>
    <x v="146"/>
    <x v="2"/>
    <x v="0"/>
    <x v="0"/>
  </r>
  <r>
    <x v="346"/>
    <x v="8"/>
    <s v="2023"/>
    <x v="125"/>
    <x v="125"/>
    <x v="47"/>
    <x v="0"/>
    <x v="0"/>
  </r>
  <r>
    <x v="346"/>
    <x v="8"/>
    <s v="2023"/>
    <x v="222"/>
    <x v="267"/>
    <x v="2"/>
    <x v="0"/>
    <x v="0"/>
  </r>
  <r>
    <x v="346"/>
    <x v="8"/>
    <s v="2023"/>
    <x v="444"/>
    <x v="91"/>
    <x v="29"/>
    <x v="0"/>
    <x v="0"/>
  </r>
  <r>
    <x v="347"/>
    <x v="8"/>
    <s v="2023"/>
    <x v="54"/>
    <x v="23"/>
    <x v="32"/>
    <x v="0"/>
    <x v="0"/>
  </r>
  <r>
    <x v="347"/>
    <x v="8"/>
    <s v="2023"/>
    <x v="72"/>
    <x v="72"/>
    <x v="2"/>
    <x v="0"/>
    <x v="0"/>
  </r>
  <r>
    <x v="347"/>
    <x v="8"/>
    <s v="2023"/>
    <x v="112"/>
    <x v="113"/>
    <x v="8"/>
    <x v="0"/>
    <x v="0"/>
  </r>
  <r>
    <x v="348"/>
    <x v="8"/>
    <s v="2023"/>
    <x v="449"/>
    <x v="632"/>
    <x v="2"/>
    <x v="0"/>
    <x v="0"/>
  </r>
  <r>
    <x v="348"/>
    <x v="8"/>
    <s v="2023"/>
    <x v="629"/>
    <x v="633"/>
    <x v="2"/>
    <x v="0"/>
    <x v="0"/>
  </r>
  <r>
    <x v="348"/>
    <x v="8"/>
    <s v="2023"/>
    <x v="630"/>
    <x v="634"/>
    <x v="8"/>
    <x v="0"/>
    <x v="0"/>
  </r>
  <r>
    <x v="348"/>
    <x v="8"/>
    <s v="2023"/>
    <x v="531"/>
    <x v="353"/>
    <x v="28"/>
    <x v="0"/>
    <x v="0"/>
  </r>
  <r>
    <x v="348"/>
    <x v="8"/>
    <s v="2023"/>
    <x v="403"/>
    <x v="93"/>
    <x v="6"/>
    <x v="0"/>
    <x v="0"/>
  </r>
  <r>
    <x v="348"/>
    <x v="8"/>
    <s v="2023"/>
    <x v="204"/>
    <x v="100"/>
    <x v="18"/>
    <x v="0"/>
    <x v="0"/>
  </r>
  <r>
    <x v="349"/>
    <x v="8"/>
    <s v="2023"/>
    <x v="216"/>
    <x v="179"/>
    <x v="2"/>
    <x v="3"/>
    <x v="0"/>
  </r>
  <r>
    <x v="349"/>
    <x v="8"/>
    <s v="2023"/>
    <x v="481"/>
    <x v="214"/>
    <x v="2"/>
    <x v="3"/>
    <x v="0"/>
  </r>
  <r>
    <x v="350"/>
    <x v="8"/>
    <s v="2023"/>
    <x v="128"/>
    <x v="129"/>
    <x v="39"/>
    <x v="0"/>
    <x v="0"/>
  </r>
  <r>
    <x v="350"/>
    <x v="8"/>
    <s v="2023"/>
    <x v="339"/>
    <x v="345"/>
    <x v="8"/>
    <x v="0"/>
    <x v="0"/>
  </r>
  <r>
    <x v="350"/>
    <x v="8"/>
    <s v="2023"/>
    <x v="148"/>
    <x v="346"/>
    <x v="2"/>
    <x v="0"/>
    <x v="0"/>
  </r>
  <r>
    <x v="350"/>
    <x v="8"/>
    <s v="2023"/>
    <x v="340"/>
    <x v="347"/>
    <x v="60"/>
    <x v="0"/>
    <x v="0"/>
  </r>
  <r>
    <x v="350"/>
    <x v="8"/>
    <s v="2023"/>
    <x v="626"/>
    <x v="635"/>
    <x v="58"/>
    <x v="0"/>
    <x v="0"/>
  </r>
  <r>
    <x v="351"/>
    <x v="8"/>
    <s v="2023"/>
    <x v="218"/>
    <x v="344"/>
    <x v="39"/>
    <x v="0"/>
    <x v="0"/>
  </r>
  <r>
    <x v="351"/>
    <x v="8"/>
    <s v="2023"/>
    <x v="305"/>
    <x v="423"/>
    <x v="2"/>
    <x v="0"/>
    <x v="0"/>
  </r>
  <r>
    <x v="351"/>
    <x v="8"/>
    <s v="2023"/>
    <x v="455"/>
    <x v="304"/>
    <x v="3"/>
    <x v="0"/>
    <x v="0"/>
  </r>
  <r>
    <x v="352"/>
    <x v="8"/>
    <s v="2023"/>
    <x v="631"/>
    <x v="636"/>
    <x v="3"/>
    <x v="0"/>
    <x v="0"/>
  </r>
  <r>
    <x v="352"/>
    <x v="8"/>
    <s v="2023"/>
    <x v="105"/>
    <x v="105"/>
    <x v="8"/>
    <x v="0"/>
    <x v="0"/>
  </r>
  <r>
    <x v="352"/>
    <x v="8"/>
    <s v="2023"/>
    <x v="181"/>
    <x v="371"/>
    <x v="2"/>
    <x v="0"/>
    <x v="0"/>
  </r>
  <r>
    <x v="352"/>
    <x v="8"/>
    <s v="2023"/>
    <x v="378"/>
    <x v="524"/>
    <x v="2"/>
    <x v="0"/>
    <x v="0"/>
  </r>
  <r>
    <x v="352"/>
    <x v="8"/>
    <s v="2023"/>
    <x v="504"/>
    <x v="496"/>
    <x v="2"/>
    <x v="0"/>
    <x v="0"/>
  </r>
  <r>
    <x v="352"/>
    <x v="8"/>
    <s v="2023"/>
    <x v="632"/>
    <x v="429"/>
    <x v="11"/>
    <x v="0"/>
    <x v="0"/>
  </r>
  <r>
    <x v="353"/>
    <x v="8"/>
    <s v="2023"/>
    <x v="527"/>
    <x v="390"/>
    <x v="43"/>
    <x v="0"/>
    <x v="0"/>
  </r>
  <r>
    <x v="354"/>
    <x v="8"/>
    <s v="2023"/>
    <x v="144"/>
    <x v="145"/>
    <x v="2"/>
    <x v="0"/>
    <x v="0"/>
  </r>
  <r>
    <x v="354"/>
    <x v="8"/>
    <s v="2023"/>
    <x v="633"/>
    <x v="637"/>
    <x v="84"/>
    <x v="0"/>
    <x v="0"/>
  </r>
  <r>
    <x v="355"/>
    <x v="8"/>
    <s v="2023"/>
    <x v="386"/>
    <x v="409"/>
    <x v="39"/>
    <x v="3"/>
    <x v="0"/>
  </r>
  <r>
    <x v="355"/>
    <x v="8"/>
    <s v="2023"/>
    <x v="175"/>
    <x v="620"/>
    <x v="2"/>
    <x v="3"/>
    <x v="0"/>
  </r>
  <r>
    <x v="355"/>
    <x v="8"/>
    <s v="2023"/>
    <x v="57"/>
    <x v="57"/>
    <x v="72"/>
    <x v="3"/>
    <x v="0"/>
  </r>
  <r>
    <x v="355"/>
    <x v="8"/>
    <s v="2023"/>
    <x v="541"/>
    <x v="510"/>
    <x v="1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1508FA-3FA5-4704-9ED4-F448026BA2A1}" name="PivotTable2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119:B145" firstHeaderRow="1" firstDataRow="1" firstDataCol="1" rowPageCount="2" colPageCount="1"/>
  <pivotFields count="14">
    <pivotField axis="axisRow" numFmtId="165" multipleItemSelectionAllowed="1" showAll="0">
      <items count="35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x="17"/>
        <item x="18"/>
        <item x="19"/>
        <item x="20"/>
        <item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x="34"/>
        <item x="35"/>
        <item x="36"/>
        <item x="37"/>
        <item h="1" x="38"/>
        <item h="1" x="39"/>
        <item h="1" x="40"/>
        <item h="1" x="41"/>
        <item h="1" x="42"/>
        <item h="1" x="43"/>
        <item x="44"/>
        <item x="45"/>
        <item x="46"/>
        <item x="47"/>
        <item x="48"/>
        <item x="49"/>
        <item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x="69"/>
        <item x="70"/>
        <item x="71"/>
        <item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x="208"/>
        <item x="209"/>
        <item x="210"/>
        <item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3"/>
        <item h="1" x="231"/>
        <item h="1" x="232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t="default"/>
      </items>
    </pivotField>
    <pivotField showAll="0"/>
    <pivotField showAll="0"/>
    <pivotField showAll="0">
      <items count="635">
        <item x="0"/>
        <item x="563"/>
        <item x="466"/>
        <item x="603"/>
        <item x="601"/>
        <item x="543"/>
        <item x="526"/>
        <item x="25"/>
        <item x="187"/>
        <item x="220"/>
        <item x="155"/>
        <item x="467"/>
        <item x="356"/>
        <item x="566"/>
        <item x="238"/>
        <item x="518"/>
        <item x="602"/>
        <item x="357"/>
        <item x="26"/>
        <item x="585"/>
        <item x="156"/>
        <item x="468"/>
        <item x="6"/>
        <item x="558"/>
        <item x="239"/>
        <item x="544"/>
        <item x="519"/>
        <item x="600"/>
        <item x="27"/>
        <item x="608"/>
        <item x="507"/>
        <item x="586"/>
        <item x="596"/>
        <item x="157"/>
        <item x="358"/>
        <item x="240"/>
        <item x="569"/>
        <item x="609"/>
        <item x="564"/>
        <item x="613"/>
        <item x="28"/>
        <item x="508"/>
        <item x="587"/>
        <item x="241"/>
        <item x="463"/>
        <item x="158"/>
        <item x="509"/>
        <item x="469"/>
        <item x="545"/>
        <item x="512"/>
        <item x="206"/>
        <item x="617"/>
        <item x="615"/>
        <item x="510"/>
        <item x="483"/>
        <item x="242"/>
        <item x="511"/>
        <item x="95"/>
        <item x="190"/>
        <item x="33"/>
        <item x="532"/>
        <item x="436"/>
        <item x="65"/>
        <item x="437"/>
        <item x="34"/>
        <item x="96"/>
        <item x="533"/>
        <item x="66"/>
        <item x="35"/>
        <item x="393"/>
        <item x="61"/>
        <item x="191"/>
        <item x="550"/>
        <item x="67"/>
        <item x="528"/>
        <item x="553"/>
        <item x="284"/>
        <item x="525"/>
        <item x="530"/>
        <item x="36"/>
        <item x="70"/>
        <item x="62"/>
        <item x="534"/>
        <item x="97"/>
        <item x="41"/>
        <item x="76"/>
        <item x="7"/>
        <item x="68"/>
        <item x="18"/>
        <item x="400"/>
        <item x="394"/>
        <item x="535"/>
        <item x="37"/>
        <item x="42"/>
        <item x="8"/>
        <item x="551"/>
        <item x="536"/>
        <item x="19"/>
        <item x="69"/>
        <item x="401"/>
        <item x="559"/>
        <item x="523"/>
        <item x="279"/>
        <item x="298"/>
        <item x="273"/>
        <item x="64"/>
        <item x="43"/>
        <item x="499"/>
        <item x="9"/>
        <item x="391"/>
        <item x="20"/>
        <item x="552"/>
        <item x="402"/>
        <item x="395"/>
        <item x="438"/>
        <item x="292"/>
        <item x="527"/>
        <item x="63"/>
        <item x="624"/>
        <item x="203"/>
        <item x="44"/>
        <item x="194"/>
        <item x="10"/>
        <item x="285"/>
        <item x="425"/>
        <item x="299"/>
        <item x="21"/>
        <item x="113"/>
        <item x="392"/>
        <item x="293"/>
        <item x="38"/>
        <item x="500"/>
        <item x="423"/>
        <item x="396"/>
        <item x="389"/>
        <item x="407"/>
        <item x="422"/>
        <item x="537"/>
        <item x="23"/>
        <item x="560"/>
        <item x="32"/>
        <item x="11"/>
        <item x="22"/>
        <item x="114"/>
        <item x="45"/>
        <item x="294"/>
        <item x="39"/>
        <item x="497"/>
        <item x="547"/>
        <item x="324"/>
        <item x="274"/>
        <item x="397"/>
        <item x="604"/>
        <item x="538"/>
        <item x="80"/>
        <item x="440"/>
        <item x="12"/>
        <item x="304"/>
        <item x="430"/>
        <item x="554"/>
        <item x="115"/>
        <item x="226"/>
        <item x="539"/>
        <item x="54"/>
        <item x="300"/>
        <item x="439"/>
        <item x="295"/>
        <item x="40"/>
        <item x="435"/>
        <item x="501"/>
        <item x="359"/>
        <item x="441"/>
        <item x="605"/>
        <item x="398"/>
        <item x="81"/>
        <item x="628"/>
        <item x="383"/>
        <item x="277"/>
        <item x="116"/>
        <item x="334"/>
        <item x="312"/>
        <item x="557"/>
        <item x="445"/>
        <item x="408"/>
        <item x="328"/>
        <item x="55"/>
        <item x="386"/>
        <item x="584"/>
        <item x="71"/>
        <item x="296"/>
        <item x="548"/>
        <item x="52"/>
        <item x="399"/>
        <item x="360"/>
        <item x="197"/>
        <item x="517"/>
        <item x="606"/>
        <item x="82"/>
        <item x="310"/>
        <item x="376"/>
        <item x="117"/>
        <item x="301"/>
        <item x="227"/>
        <item x="555"/>
        <item x="126"/>
        <item x="276"/>
        <item x="318"/>
        <item x="56"/>
        <item x="297"/>
        <item x="175"/>
        <item x="464"/>
        <item x="53"/>
        <item x="72"/>
        <item x="567"/>
        <item x="278"/>
        <item x="521"/>
        <item x="549"/>
        <item x="13"/>
        <item x="620"/>
        <item x="623"/>
        <item x="322"/>
        <item x="145"/>
        <item x="449"/>
        <item x="83"/>
        <item x="377"/>
        <item x="514"/>
        <item x="118"/>
        <item x="621"/>
        <item x="520"/>
        <item x="540"/>
        <item x="127"/>
        <item x="335"/>
        <item x="409"/>
        <item x="313"/>
        <item x="109"/>
        <item x="57"/>
        <item x="325"/>
        <item x="446"/>
        <item x="112"/>
        <item x="73"/>
        <item x="522"/>
        <item x="14"/>
        <item x="361"/>
        <item x="24"/>
        <item x="329"/>
        <item x="263"/>
        <item x="629"/>
        <item x="146"/>
        <item x="269"/>
        <item x="176"/>
        <item x="119"/>
        <item x="84"/>
        <item x="443"/>
        <item x="317"/>
        <item x="622"/>
        <item x="128"/>
        <item x="404"/>
        <item x="452"/>
        <item x="343"/>
        <item x="2"/>
        <item x="431"/>
        <item x="470"/>
        <item x="541"/>
        <item x="234"/>
        <item x="561"/>
        <item x="362"/>
        <item x="498"/>
        <item x="15"/>
        <item x="326"/>
        <item x="405"/>
        <item x="74"/>
        <item x="286"/>
        <item x="630"/>
        <item x="302"/>
        <item x="147"/>
        <item x="218"/>
        <item x="120"/>
        <item x="87"/>
        <item x="339"/>
        <item x="129"/>
        <item x="410"/>
        <item x="3"/>
        <item x="306"/>
        <item x="323"/>
        <item x="198"/>
        <item x="524"/>
        <item x="138"/>
        <item x="515"/>
        <item x="580"/>
        <item x="210"/>
        <item x="448"/>
        <item x="16"/>
        <item x="450"/>
        <item x="459"/>
        <item x="287"/>
        <item x="121"/>
        <item x="531"/>
        <item x="616"/>
        <item x="305"/>
        <item x="588"/>
        <item x="130"/>
        <item x="88"/>
        <item x="411"/>
        <item x="148"/>
        <item x="350"/>
        <item x="233"/>
        <item x="4"/>
        <item x="476"/>
        <item x="243"/>
        <item x="447"/>
        <item x="315"/>
        <item x="58"/>
        <item x="336"/>
        <item x="314"/>
        <item x="581"/>
        <item x="412"/>
        <item x="188"/>
        <item x="494"/>
        <item x="331"/>
        <item x="321"/>
        <item x="502"/>
        <item x="288"/>
        <item x="17"/>
        <item x="455"/>
        <item x="131"/>
        <item x="342"/>
        <item x="338"/>
        <item x="340"/>
        <item x="432"/>
        <item x="98"/>
        <item x="307"/>
        <item x="5"/>
        <item x="480"/>
        <item x="199"/>
        <item x="59"/>
        <item x="485"/>
        <item x="332"/>
        <item x="495"/>
        <item x="413"/>
        <item x="46"/>
        <item x="319"/>
        <item x="257"/>
        <item x="93"/>
        <item x="426"/>
        <item x="403"/>
        <item x="330"/>
        <item x="611"/>
        <item x="406"/>
        <item x="327"/>
        <item x="479"/>
        <item x="132"/>
        <item x="568"/>
        <item x="363"/>
        <item x="122"/>
        <item x="351"/>
        <item x="244"/>
        <item x="99"/>
        <item x="477"/>
        <item x="252"/>
        <item x="516"/>
        <item x="60"/>
        <item x="139"/>
        <item x="427"/>
        <item x="47"/>
        <item x="282"/>
        <item x="271"/>
        <item x="414"/>
        <item x="204"/>
        <item x="496"/>
        <item x="612"/>
        <item x="316"/>
        <item x="364"/>
        <item x="251"/>
        <item x="344"/>
        <item x="133"/>
        <item x="308"/>
        <item x="428"/>
        <item x="123"/>
        <item x="311"/>
        <item x="89"/>
        <item x="100"/>
        <item x="283"/>
        <item x="140"/>
        <item x="478"/>
        <item x="337"/>
        <item x="471"/>
        <item x="110"/>
        <item x="345"/>
        <item x="48"/>
        <item x="542"/>
        <item x="415"/>
        <item x="219"/>
        <item x="289"/>
        <item x="456"/>
        <item x="200"/>
        <item x="474"/>
        <item x="281"/>
        <item x="264"/>
        <item x="192"/>
        <item x="309"/>
        <item x="268"/>
        <item x="429"/>
        <item x="124"/>
        <item x="90"/>
        <item x="189"/>
        <item x="366"/>
        <item x="245"/>
        <item x="101"/>
        <item x="167"/>
        <item x="365"/>
        <item x="111"/>
        <item x="472"/>
        <item x="346"/>
        <item x="50"/>
        <item x="442"/>
        <item x="49"/>
        <item x="416"/>
        <item x="367"/>
        <item x="290"/>
        <item x="384"/>
        <item x="208"/>
        <item x="265"/>
        <item x="179"/>
        <item x="387"/>
        <item x="513"/>
        <item x="258"/>
        <item x="125"/>
        <item x="618"/>
        <item x="91"/>
        <item x="174"/>
        <item x="102"/>
        <item x="141"/>
        <item x="473"/>
        <item x="51"/>
        <item x="177"/>
        <item x="94"/>
        <item x="149"/>
        <item x="205"/>
        <item x="625"/>
        <item x="169"/>
        <item x="280"/>
        <item x="347"/>
        <item x="159"/>
        <item x="266"/>
        <item x="626"/>
        <item x="352"/>
        <item x="216"/>
        <item x="221"/>
        <item x="222"/>
        <item x="619"/>
        <item x="103"/>
        <item x="168"/>
        <item x="92"/>
        <item x="142"/>
        <item x="272"/>
        <item x="291"/>
        <item x="150"/>
        <item x="107"/>
        <item x="631"/>
        <item x="211"/>
        <item x="225"/>
        <item x="582"/>
        <item x="303"/>
        <item x="348"/>
        <item x="160"/>
        <item x="458"/>
        <item x="259"/>
        <item x="481"/>
        <item x="209"/>
        <item x="444"/>
        <item x="275"/>
        <item x="85"/>
        <item x="183"/>
        <item x="246"/>
        <item x="193"/>
        <item x="201"/>
        <item x="484"/>
        <item x="212"/>
        <item x="108"/>
        <item x="475"/>
        <item x="230"/>
        <item x="385"/>
        <item x="341"/>
        <item x="368"/>
        <item x="195"/>
        <item x="349"/>
        <item x="161"/>
        <item x="451"/>
        <item x="420"/>
        <item x="217"/>
        <item x="417"/>
        <item x="170"/>
        <item x="388"/>
        <item x="247"/>
        <item x="503"/>
        <item x="86"/>
        <item x="583"/>
        <item x="565"/>
        <item x="253"/>
        <item x="433"/>
        <item x="353"/>
        <item x="104"/>
        <item x="457"/>
        <item x="172"/>
        <item x="231"/>
        <item x="151"/>
        <item x="607"/>
        <item x="180"/>
        <item x="223"/>
        <item x="162"/>
        <item x="482"/>
        <item x="260"/>
        <item x="267"/>
        <item x="77"/>
        <item x="213"/>
        <item x="333"/>
        <item x="178"/>
        <item x="595"/>
        <item x="207"/>
        <item x="460"/>
        <item x="105"/>
        <item x="354"/>
        <item x="418"/>
        <item x="196"/>
        <item x="152"/>
        <item x="486"/>
        <item x="163"/>
        <item x="228"/>
        <item x="248"/>
        <item x="434"/>
        <item x="320"/>
        <item x="421"/>
        <item x="261"/>
        <item x="78"/>
        <item x="214"/>
        <item x="164"/>
        <item x="270"/>
        <item x="184"/>
        <item x="461"/>
        <item x="181"/>
        <item x="106"/>
        <item x="419"/>
        <item x="134"/>
        <item x="614"/>
        <item x="224"/>
        <item x="171"/>
        <item x="249"/>
        <item x="610"/>
        <item x="215"/>
        <item x="75"/>
        <item x="202"/>
        <item x="79"/>
        <item x="254"/>
        <item x="165"/>
        <item x="562"/>
        <item x="627"/>
        <item x="232"/>
        <item x="371"/>
        <item x="462"/>
        <item x="378"/>
        <item x="229"/>
        <item x="390"/>
        <item x="135"/>
        <item x="153"/>
        <item x="487"/>
        <item x="185"/>
        <item x="29"/>
        <item x="372"/>
        <item x="355"/>
        <item x="262"/>
        <item x="379"/>
        <item x="255"/>
        <item x="489"/>
        <item x="166"/>
        <item x="424"/>
        <item x="235"/>
        <item x="182"/>
        <item x="369"/>
        <item x="546"/>
        <item x="373"/>
        <item x="504"/>
        <item x="490"/>
        <item x="136"/>
        <item x="598"/>
        <item x="154"/>
        <item x="186"/>
        <item x="529"/>
        <item x="250"/>
        <item x="589"/>
        <item x="143"/>
        <item x="380"/>
        <item x="30"/>
        <item x="570"/>
        <item x="236"/>
        <item x="374"/>
        <item x="173"/>
        <item x="488"/>
        <item x="491"/>
        <item x="632"/>
        <item x="137"/>
        <item x="574"/>
        <item x="370"/>
        <item x="465"/>
        <item x="556"/>
        <item x="144"/>
        <item x="381"/>
        <item x="31"/>
        <item x="256"/>
        <item x="571"/>
        <item x="597"/>
        <item x="237"/>
        <item x="375"/>
        <item x="505"/>
        <item x="492"/>
        <item x="599"/>
        <item x="575"/>
        <item x="590"/>
        <item x="633"/>
        <item x="453"/>
        <item x="382"/>
        <item x="572"/>
        <item x="506"/>
        <item x="493"/>
        <item x="576"/>
        <item x="591"/>
        <item x="454"/>
        <item x="573"/>
        <item x="577"/>
        <item x="592"/>
        <item x="578"/>
        <item x="593"/>
        <item x="579"/>
        <item x="594"/>
        <item x="1"/>
        <item t="default"/>
      </items>
    </pivotField>
    <pivotField showAll="0">
      <items count="639">
        <item x="278"/>
        <item x="61"/>
        <item x="465"/>
        <item x="279"/>
        <item x="29"/>
        <item x="599"/>
        <item x="245"/>
        <item x="25"/>
        <item x="42"/>
        <item x="615"/>
        <item x="155"/>
        <item x="466"/>
        <item x="280"/>
        <item x="227"/>
        <item x="187"/>
        <item x="601"/>
        <item x="516"/>
        <item x="618"/>
        <item x="363"/>
        <item x="26"/>
        <item x="582"/>
        <item x="156"/>
        <item x="517"/>
        <item x="467"/>
        <item x="508"/>
        <item x="281"/>
        <item x="246"/>
        <item x="568"/>
        <item x="6"/>
        <item x="27"/>
        <item x="500"/>
        <item x="583"/>
        <item x="616"/>
        <item x="157"/>
        <item x="573"/>
        <item x="0"/>
        <item x="247"/>
        <item x="619"/>
        <item x="594"/>
        <item x="570"/>
        <item x="28"/>
        <item x="501"/>
        <item x="584"/>
        <item x="364"/>
        <item x="248"/>
        <item x="502"/>
        <item x="158"/>
        <item x="463"/>
        <item x="597"/>
        <item x="613"/>
        <item x="503"/>
        <item x="208"/>
        <item x="552"/>
        <item x="611"/>
        <item x="545"/>
        <item x="569"/>
        <item x="504"/>
        <item x="249"/>
        <item x="563"/>
        <item x="480"/>
        <item x="505"/>
        <item x="95"/>
        <item x="440"/>
        <item x="34"/>
        <item x="539"/>
        <item x="66"/>
        <item x="35"/>
        <item x="540"/>
        <item x="190"/>
        <item x="67"/>
        <item x="96"/>
        <item x="36"/>
        <item x="397"/>
        <item x="62"/>
        <item x="68"/>
        <item x="37"/>
        <item x="71"/>
        <item x="63"/>
        <item x="541"/>
        <item x="43"/>
        <item x="520"/>
        <item x="7"/>
        <item x="191"/>
        <item x="69"/>
        <item x="76"/>
        <item x="18"/>
        <item x="97"/>
        <item x="542"/>
        <item x="402"/>
        <item x="398"/>
        <item x="306"/>
        <item x="491"/>
        <item x="536"/>
        <item x="44"/>
        <item x="38"/>
        <item x="8"/>
        <item x="441"/>
        <item x="19"/>
        <item x="557"/>
        <item x="70"/>
        <item x="403"/>
        <item x="298"/>
        <item x="399"/>
        <item x="525"/>
        <item x="528"/>
        <item x="277"/>
        <item x="533"/>
        <item x="45"/>
        <item x="9"/>
        <item x="391"/>
        <item x="492"/>
        <item x="20"/>
        <item x="442"/>
        <item x="404"/>
        <item x="474"/>
        <item x="558"/>
        <item x="283"/>
        <item x="299"/>
        <item x="392"/>
        <item x="64"/>
        <item x="443"/>
        <item x="46"/>
        <item x="65"/>
        <item x="543"/>
        <item x="624"/>
        <item x="425"/>
        <item x="10"/>
        <item x="21"/>
        <item x="114"/>
        <item x="393"/>
        <item x="300"/>
        <item x="307"/>
        <item x="546"/>
        <item x="39"/>
        <item x="407"/>
        <item x="493"/>
        <item x="205"/>
        <item x="527"/>
        <item x="400"/>
        <item x="390"/>
        <item x="426"/>
        <item x="544"/>
        <item x="430"/>
        <item x="33"/>
        <item x="627"/>
        <item x="11"/>
        <item x="22"/>
        <item x="115"/>
        <item x="394"/>
        <item x="564"/>
        <item x="301"/>
        <item x="40"/>
        <item x="554"/>
        <item x="494"/>
        <item x="336"/>
        <item x="401"/>
        <item x="529"/>
        <item x="80"/>
        <item x="445"/>
        <item x="427"/>
        <item x="377"/>
        <item x="555"/>
        <item x="116"/>
        <item x="534"/>
        <item x="54"/>
        <item x="408"/>
        <item x="302"/>
        <item x="41"/>
        <item x="308"/>
        <item x="234"/>
        <item x="282"/>
        <item x="625"/>
        <item x="604"/>
        <item x="396"/>
        <item x="81"/>
        <item x="385"/>
        <item x="378"/>
        <item x="434"/>
        <item x="631"/>
        <item x="506"/>
        <item x="117"/>
        <item x="446"/>
        <item x="55"/>
        <item x="409"/>
        <item x="581"/>
        <item x="333"/>
        <item x="23"/>
        <item x="303"/>
        <item x="314"/>
        <item x="464"/>
        <item x="338"/>
        <item x="509"/>
        <item x="513"/>
        <item x="605"/>
        <item x="12"/>
        <item x="386"/>
        <item x="340"/>
        <item x="337"/>
        <item x="118"/>
        <item x="352"/>
        <item x="559"/>
        <item x="321"/>
        <item x="127"/>
        <item x="530"/>
        <item x="410"/>
        <item x="197"/>
        <item x="547"/>
        <item x="56"/>
        <item x="620"/>
        <item x="468"/>
        <item x="626"/>
        <item x="72"/>
        <item x="435"/>
        <item x="519"/>
        <item x="13"/>
        <item x="621"/>
        <item x="526"/>
        <item x="53"/>
        <item x="146"/>
        <item x="632"/>
        <item x="82"/>
        <item x="379"/>
        <item x="119"/>
        <item x="622"/>
        <item x="334"/>
        <item x="128"/>
        <item x="617"/>
        <item x="411"/>
        <item x="109"/>
        <item x="57"/>
        <item x="469"/>
        <item x="512"/>
        <item x="113"/>
        <item x="488"/>
        <item x="73"/>
        <item x="450"/>
        <item x="518"/>
        <item x="14"/>
        <item x="330"/>
        <item x="339"/>
        <item x="376"/>
        <item x="24"/>
        <item x="633"/>
        <item x="147"/>
        <item x="556"/>
        <item x="120"/>
        <item x="83"/>
        <item x="449"/>
        <item x="521"/>
        <item x="623"/>
        <item x="129"/>
        <item x="365"/>
        <item x="176"/>
        <item x="447"/>
        <item x="2"/>
        <item x="240"/>
        <item x="198"/>
        <item x="510"/>
        <item x="242"/>
        <item x="531"/>
        <item x="610"/>
        <item x="444"/>
        <item x="15"/>
        <item x="405"/>
        <item x="74"/>
        <item x="292"/>
        <item x="634"/>
        <item x="456"/>
        <item x="322"/>
        <item x="344"/>
        <item x="341"/>
        <item x="121"/>
        <item x="86"/>
        <item x="628"/>
        <item x="345"/>
        <item x="130"/>
        <item x="412"/>
        <item x="3"/>
        <item x="436"/>
        <item x="284"/>
        <item x="537"/>
        <item x="139"/>
        <item x="507"/>
        <item x="329"/>
        <item x="199"/>
        <item x="511"/>
        <item x="215"/>
        <item x="16"/>
        <item x="495"/>
        <item x="335"/>
        <item x="293"/>
        <item x="309"/>
        <item x="323"/>
        <item x="353"/>
        <item x="612"/>
        <item x="423"/>
        <item x="315"/>
        <item x="350"/>
        <item x="87"/>
        <item x="346"/>
        <item x="318"/>
        <item x="131"/>
        <item x="4"/>
        <item x="235"/>
        <item x="250"/>
        <item x="437"/>
        <item x="58"/>
        <item x="489"/>
        <item x="351"/>
        <item x="413"/>
        <item x="216"/>
        <item x="327"/>
        <item x="324"/>
        <item x="148"/>
        <item x="294"/>
        <item x="92"/>
        <item x="452"/>
        <item x="304"/>
        <item x="17"/>
        <item x="132"/>
        <item x="317"/>
        <item x="548"/>
        <item x="481"/>
        <item x="347"/>
        <item x="598"/>
        <item x="332"/>
        <item x="98"/>
        <item x="414"/>
        <item x="241"/>
        <item x="251"/>
        <item x="59"/>
        <item x="5"/>
        <item x="354"/>
        <item x="211"/>
        <item x="47"/>
        <item x="422"/>
        <item x="319"/>
        <item x="431"/>
        <item x="93"/>
        <item x="549"/>
        <item x="608"/>
        <item x="406"/>
        <item x="295"/>
        <item x="310"/>
        <item x="133"/>
        <item x="289"/>
        <item x="122"/>
        <item x="424"/>
        <item x="358"/>
        <item x="432"/>
        <item x="99"/>
        <item x="475"/>
        <item x="258"/>
        <item x="173"/>
        <item x="60"/>
        <item x="476"/>
        <item x="140"/>
        <item x="342"/>
        <item x="366"/>
        <item x="48"/>
        <item x="550"/>
        <item x="415"/>
        <item x="538"/>
        <item x="296"/>
        <item x="585"/>
        <item x="200"/>
        <item x="471"/>
        <item x="522"/>
        <item x="188"/>
        <item x="134"/>
        <item x="428"/>
        <item x="433"/>
        <item x="123"/>
        <item x="607"/>
        <item x="88"/>
        <item x="562"/>
        <item x="100"/>
        <item x="395"/>
        <item x="110"/>
        <item x="343"/>
        <item x="259"/>
        <item x="328"/>
        <item x="212"/>
        <item x="472"/>
        <item x="451"/>
        <item x="49"/>
        <item x="514"/>
        <item x="174"/>
        <item x="416"/>
        <item x="602"/>
        <item x="297"/>
        <item x="316"/>
        <item x="178"/>
        <item x="368"/>
        <item x="271"/>
        <item x="285"/>
        <item x="287"/>
        <item x="629"/>
        <item x="290"/>
        <item x="124"/>
        <item x="311"/>
        <item x="89"/>
        <item x="600"/>
        <item x="603"/>
        <item x="252"/>
        <item x="101"/>
        <item x="367"/>
        <item x="141"/>
        <item x="490"/>
        <item x="170"/>
        <item x="206"/>
        <item x="51"/>
        <item x="320"/>
        <item x="50"/>
        <item x="417"/>
        <item x="369"/>
        <item x="168"/>
        <item x="276"/>
        <item x="189"/>
        <item x="272"/>
        <item x="388"/>
        <item x="355"/>
        <item x="266"/>
        <item x="201"/>
        <item x="125"/>
        <item x="614"/>
        <item x="90"/>
        <item x="224"/>
        <item x="111"/>
        <item x="325"/>
        <item x="102"/>
        <item x="142"/>
        <item x="635"/>
        <item x="389"/>
        <item x="470"/>
        <item x="52"/>
        <item x="94"/>
        <item x="453"/>
        <item x="149"/>
        <item x="348"/>
        <item x="312"/>
        <item x="356"/>
        <item x="159"/>
        <item x="213"/>
        <item x="273"/>
        <item x="592"/>
        <item x="179"/>
        <item x="286"/>
        <item x="267"/>
        <item x="551"/>
        <item x="126"/>
        <item x="260"/>
        <item x="202"/>
        <item x="253"/>
        <item x="192"/>
        <item x="143"/>
        <item x="580"/>
        <item x="288"/>
        <item x="359"/>
        <item x="107"/>
        <item x="291"/>
        <item x="217"/>
        <item x="349"/>
        <item x="636"/>
        <item x="221"/>
        <item x="169"/>
        <item x="160"/>
        <item x="207"/>
        <item x="210"/>
        <item x="214"/>
        <item x="203"/>
        <item x="112"/>
        <item x="313"/>
        <item x="84"/>
        <item x="261"/>
        <item x="254"/>
        <item x="91"/>
        <item x="360"/>
        <item x="108"/>
        <item x="193"/>
        <item x="459"/>
        <item x="103"/>
        <item x="370"/>
        <item x="357"/>
        <item x="150"/>
        <item x="455"/>
        <item x="421"/>
        <item x="209"/>
        <item x="478"/>
        <item x="438"/>
        <item x="326"/>
        <item x="268"/>
        <item x="85"/>
        <item x="238"/>
        <item x="180"/>
        <item x="262"/>
        <item x="218"/>
        <item x="460"/>
        <item x="195"/>
        <item x="361"/>
        <item x="104"/>
        <item x="166"/>
        <item x="418"/>
        <item x="237"/>
        <item x="151"/>
        <item x="387"/>
        <item x="161"/>
        <item x="171"/>
        <item x="194"/>
        <item x="380"/>
        <item x="175"/>
        <item x="77"/>
        <item x="219"/>
        <item x="183"/>
        <item x="229"/>
        <item x="523"/>
        <item x="162"/>
        <item x="167"/>
        <item x="105"/>
        <item x="233"/>
        <item x="419"/>
        <item x="152"/>
        <item x="606"/>
        <item x="255"/>
        <item x="274"/>
        <item x="439"/>
        <item x="223"/>
        <item x="269"/>
        <item x="78"/>
        <item x="220"/>
        <item x="106"/>
        <item x="163"/>
        <item x="231"/>
        <item x="331"/>
        <item x="225"/>
        <item x="593"/>
        <item x="236"/>
        <item x="461"/>
        <item x="371"/>
        <item x="184"/>
        <item x="420"/>
        <item x="135"/>
        <item x="177"/>
        <item x="448"/>
        <item x="256"/>
        <item x="560"/>
        <item x="270"/>
        <item x="196"/>
        <item x="181"/>
        <item x="79"/>
        <item x="263"/>
        <item x="164"/>
        <item x="75"/>
        <item x="243"/>
        <item x="454"/>
        <item x="462"/>
        <item x="524"/>
        <item x="372"/>
        <item x="136"/>
        <item x="484"/>
        <item x="153"/>
        <item x="275"/>
        <item x="30"/>
        <item x="185"/>
        <item x="482"/>
        <item x="479"/>
        <item x="362"/>
        <item x="239"/>
        <item x="230"/>
        <item x="381"/>
        <item x="264"/>
        <item x="165"/>
        <item x="232"/>
        <item x="630"/>
        <item x="609"/>
        <item x="553"/>
        <item x="204"/>
        <item x="496"/>
        <item x="485"/>
        <item x="137"/>
        <item x="154"/>
        <item x="595"/>
        <item x="566"/>
        <item x="574"/>
        <item x="257"/>
        <item x="586"/>
        <item x="144"/>
        <item x="382"/>
        <item x="228"/>
        <item x="31"/>
        <item x="305"/>
        <item x="571"/>
        <item x="567"/>
        <item x="222"/>
        <item x="172"/>
        <item x="374"/>
        <item x="473"/>
        <item x="497"/>
        <item x="486"/>
        <item x="429"/>
        <item x="182"/>
        <item x="138"/>
        <item x="515"/>
        <item x="575"/>
        <item x="373"/>
        <item x="186"/>
        <item x="145"/>
        <item x="383"/>
        <item x="32"/>
        <item x="265"/>
        <item x="226"/>
        <item x="483"/>
        <item x="244"/>
        <item x="375"/>
        <item x="498"/>
        <item x="477"/>
        <item x="561"/>
        <item x="596"/>
        <item x="535"/>
        <item x="576"/>
        <item x="532"/>
        <item x="587"/>
        <item x="637"/>
        <item x="457"/>
        <item x="384"/>
        <item x="572"/>
        <item x="565"/>
        <item x="499"/>
        <item x="487"/>
        <item x="577"/>
        <item x="588"/>
        <item x="458"/>
        <item x="578"/>
        <item x="589"/>
        <item x="579"/>
        <item x="590"/>
        <item x="591"/>
        <item x="1"/>
        <item t="default"/>
      </items>
    </pivotField>
    <pivotField dataField="1" numFmtId="20" showAll="0">
      <items count="124">
        <item x="105"/>
        <item x="93"/>
        <item x="58"/>
        <item x="95"/>
        <item x="88"/>
        <item x="111"/>
        <item x="96"/>
        <item x="72"/>
        <item x="40"/>
        <item x="49"/>
        <item x="67"/>
        <item x="37"/>
        <item x="46"/>
        <item x="42"/>
        <item x="10"/>
        <item x="57"/>
        <item x="20"/>
        <item x="47"/>
        <item x="12"/>
        <item x="2"/>
        <item x="6"/>
        <item x="8"/>
        <item x="7"/>
        <item x="3"/>
        <item x="39"/>
        <item x="19"/>
        <item x="28"/>
        <item x="27"/>
        <item x="13"/>
        <item x="21"/>
        <item x="11"/>
        <item x="14"/>
        <item x="83"/>
        <item x="4"/>
        <item x="16"/>
        <item x="76"/>
        <item x="29"/>
        <item x="31"/>
        <item x="48"/>
        <item x="18"/>
        <item x="64"/>
        <item x="23"/>
        <item x="73"/>
        <item x="36"/>
        <item x="1"/>
        <item x="50"/>
        <item x="15"/>
        <item x="65"/>
        <item x="86"/>
        <item x="69"/>
        <item x="41"/>
        <item x="30"/>
        <item x="26"/>
        <item x="60"/>
        <item x="32"/>
        <item x="44"/>
        <item x="71"/>
        <item x="84"/>
        <item x="66"/>
        <item x="24"/>
        <item x="53"/>
        <item x="22"/>
        <item x="43"/>
        <item x="54"/>
        <item x="68"/>
        <item x="38"/>
        <item x="91"/>
        <item x="45"/>
        <item x="122"/>
        <item x="52"/>
        <item x="62"/>
        <item x="101"/>
        <item x="94"/>
        <item x="70"/>
        <item x="79"/>
        <item x="5"/>
        <item x="103"/>
        <item x="100"/>
        <item x="59"/>
        <item x="75"/>
        <item x="35"/>
        <item x="87"/>
        <item x="34"/>
        <item x="82"/>
        <item x="55"/>
        <item x="61"/>
        <item x="51"/>
        <item x="63"/>
        <item x="90"/>
        <item x="9"/>
        <item x="98"/>
        <item x="17"/>
        <item x="25"/>
        <item x="112"/>
        <item x="97"/>
        <item x="113"/>
        <item x="104"/>
        <item x="80"/>
        <item x="121"/>
        <item x="120"/>
        <item x="99"/>
        <item x="92"/>
        <item x="85"/>
        <item x="0"/>
        <item x="116"/>
        <item x="78"/>
        <item x="106"/>
        <item x="119"/>
        <item x="33"/>
        <item x="56"/>
        <item x="74"/>
        <item x="109"/>
        <item x="114"/>
        <item x="81"/>
        <item x="108"/>
        <item x="110"/>
        <item x="102"/>
        <item x="118"/>
        <item x="89"/>
        <item x="107"/>
        <item x="77"/>
        <item x="117"/>
        <item x="115"/>
        <item t="default"/>
      </items>
    </pivotField>
    <pivotField axis="axisPage" multipleItemSelectionAllowed="1" showAll="0">
      <items count="9">
        <item h="1" x="4"/>
        <item x="6"/>
        <item x="0"/>
        <item x="5"/>
        <item x="1"/>
        <item x="3"/>
        <item x="2"/>
        <item x="7"/>
        <item t="default"/>
      </items>
    </pivotField>
    <pivotField axis="axisPage" multipleItemSelectionAllowed="1" showAll="0">
      <items count="3">
        <item h="1" x="1"/>
        <item x="0"/>
        <item t="default"/>
      </items>
    </pivotField>
    <pivotField showAll="0">
      <items count="63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h="1" x="61"/>
        <item t="default"/>
      </items>
    </pivotField>
    <pivotField showAll="0">
      <items count="27">
        <item h="1" sd="0" x="0"/>
        <item sd="0" x="1"/>
        <item sd="0" x="2"/>
        <item sd="0" x="3"/>
        <item sd="0" x="4"/>
        <item x="5"/>
        <item x="6"/>
        <item x="7"/>
        <item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h="1" x="25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6">
        <item sd="0" x="0"/>
        <item sd="0" x="1"/>
        <item sd="0" x="2"/>
        <item sd="0" x="3"/>
        <item sd="0" x="4"/>
        <item t="default"/>
      </items>
    </pivotField>
  </pivotFields>
  <rowFields count="1">
    <field x="0"/>
  </rowFields>
  <rowItems count="26">
    <i>
      <x v="17"/>
    </i>
    <i>
      <x v="18"/>
    </i>
    <i>
      <x v="19"/>
    </i>
    <i>
      <x v="20"/>
    </i>
    <i>
      <x v="21"/>
    </i>
    <i>
      <x v="22"/>
    </i>
    <i>
      <x v="34"/>
    </i>
    <i>
      <x v="35"/>
    </i>
    <i>
      <x v="36"/>
    </i>
    <i>
      <x v="37"/>
    </i>
    <i>
      <x v="44"/>
    </i>
    <i>
      <x v="45"/>
    </i>
    <i>
      <x v="46"/>
    </i>
    <i>
      <x v="47"/>
    </i>
    <i>
      <x v="48"/>
    </i>
    <i>
      <x v="49"/>
    </i>
    <i>
      <x v="50"/>
    </i>
    <i>
      <x v="69"/>
    </i>
    <i>
      <x v="70"/>
    </i>
    <i>
      <x v="71"/>
    </i>
    <i>
      <x v="72"/>
    </i>
    <i>
      <x v="208"/>
    </i>
    <i>
      <x v="209"/>
    </i>
    <i>
      <x v="210"/>
    </i>
    <i>
      <x v="211"/>
    </i>
    <i t="grand">
      <x/>
    </i>
  </rowItems>
  <colItems count="1">
    <i/>
  </colItems>
  <pageFields count="2">
    <pageField fld="7" hier="-1"/>
    <pageField fld="6" hier="-1"/>
  </pageFields>
  <dataFields count="1">
    <dataField name="Sum of DURATION" fld="5" baseField="0" baseItem="17" numFmtId="166"/>
  </dataFields>
  <formats count="1">
    <format dxfId="3">
      <pivotArea outline="0" collapsedLevelsAreSubtotals="1" fieldPosition="0"/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60F27E-DB3A-401A-B6CE-D727E4B0CEBB}" name="PivotTable9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93:B112" firstHeaderRow="1" firstDataRow="1" firstDataCol="1" rowPageCount="1" colPageCount="1"/>
  <pivotFields count="14">
    <pivotField dataField="1" numFmtId="165" showAll="0">
      <items count="3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3"/>
        <item x="231"/>
        <item x="232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t="default"/>
      </items>
    </pivotField>
    <pivotField showAll="0"/>
    <pivotField showAll="0"/>
    <pivotField showAll="0" sortType="descending">
      <items count="635">
        <item x="0"/>
        <item x="563"/>
        <item x="466"/>
        <item x="603"/>
        <item x="601"/>
        <item x="543"/>
        <item x="526"/>
        <item x="25"/>
        <item x="187"/>
        <item x="220"/>
        <item x="155"/>
        <item x="467"/>
        <item x="356"/>
        <item x="566"/>
        <item x="238"/>
        <item x="518"/>
        <item x="602"/>
        <item x="357"/>
        <item x="26"/>
        <item x="585"/>
        <item x="156"/>
        <item x="468"/>
        <item x="6"/>
        <item x="558"/>
        <item x="239"/>
        <item x="544"/>
        <item x="519"/>
        <item x="600"/>
        <item x="27"/>
        <item x="608"/>
        <item x="507"/>
        <item x="586"/>
        <item x="596"/>
        <item x="157"/>
        <item x="358"/>
        <item x="240"/>
        <item x="569"/>
        <item x="609"/>
        <item x="564"/>
        <item x="613"/>
        <item x="28"/>
        <item x="508"/>
        <item x="587"/>
        <item x="241"/>
        <item x="463"/>
        <item x="158"/>
        <item x="509"/>
        <item x="469"/>
        <item x="545"/>
        <item x="512"/>
        <item x="206"/>
        <item x="617"/>
        <item x="615"/>
        <item x="510"/>
        <item x="483"/>
        <item x="242"/>
        <item x="511"/>
        <item x="95"/>
        <item x="190"/>
        <item x="33"/>
        <item x="532"/>
        <item x="436"/>
        <item x="65"/>
        <item x="437"/>
        <item x="34"/>
        <item x="96"/>
        <item x="533"/>
        <item x="66"/>
        <item x="35"/>
        <item x="393"/>
        <item x="61"/>
        <item x="191"/>
        <item x="550"/>
        <item x="67"/>
        <item x="528"/>
        <item x="553"/>
        <item x="284"/>
        <item x="525"/>
        <item x="530"/>
        <item x="36"/>
        <item x="70"/>
        <item x="62"/>
        <item x="534"/>
        <item x="97"/>
        <item x="41"/>
        <item x="76"/>
        <item x="7"/>
        <item x="68"/>
        <item x="18"/>
        <item x="400"/>
        <item x="394"/>
        <item x="535"/>
        <item x="37"/>
        <item x="42"/>
        <item x="8"/>
        <item x="551"/>
        <item x="536"/>
        <item x="19"/>
        <item x="69"/>
        <item x="401"/>
        <item x="559"/>
        <item x="523"/>
        <item x="279"/>
        <item x="298"/>
        <item x="273"/>
        <item x="64"/>
        <item x="43"/>
        <item x="499"/>
        <item x="9"/>
        <item x="391"/>
        <item x="20"/>
        <item x="552"/>
        <item x="402"/>
        <item x="395"/>
        <item x="438"/>
        <item x="292"/>
        <item x="527"/>
        <item x="63"/>
        <item x="624"/>
        <item x="203"/>
        <item x="44"/>
        <item x="194"/>
        <item x="10"/>
        <item x="285"/>
        <item x="425"/>
        <item x="299"/>
        <item x="21"/>
        <item x="113"/>
        <item x="392"/>
        <item x="293"/>
        <item x="38"/>
        <item x="500"/>
        <item x="423"/>
        <item x="396"/>
        <item x="389"/>
        <item x="407"/>
        <item x="422"/>
        <item x="537"/>
        <item x="23"/>
        <item x="560"/>
        <item x="32"/>
        <item x="11"/>
        <item x="22"/>
        <item x="114"/>
        <item x="45"/>
        <item x="294"/>
        <item x="39"/>
        <item x="497"/>
        <item x="547"/>
        <item x="324"/>
        <item x="274"/>
        <item x="397"/>
        <item x="604"/>
        <item x="538"/>
        <item x="80"/>
        <item x="440"/>
        <item x="12"/>
        <item x="304"/>
        <item x="430"/>
        <item x="554"/>
        <item x="115"/>
        <item x="226"/>
        <item x="539"/>
        <item x="54"/>
        <item x="300"/>
        <item x="439"/>
        <item x="295"/>
        <item x="40"/>
        <item x="435"/>
        <item x="501"/>
        <item x="359"/>
        <item x="441"/>
        <item x="605"/>
        <item x="398"/>
        <item x="81"/>
        <item x="628"/>
        <item x="383"/>
        <item x="277"/>
        <item x="116"/>
        <item x="334"/>
        <item x="312"/>
        <item x="557"/>
        <item x="445"/>
        <item x="408"/>
        <item x="328"/>
        <item x="55"/>
        <item x="386"/>
        <item x="584"/>
        <item x="71"/>
        <item x="296"/>
        <item x="548"/>
        <item x="52"/>
        <item x="399"/>
        <item x="360"/>
        <item x="197"/>
        <item x="517"/>
        <item x="606"/>
        <item x="82"/>
        <item x="310"/>
        <item x="376"/>
        <item x="117"/>
        <item x="301"/>
        <item x="227"/>
        <item x="555"/>
        <item x="126"/>
        <item x="276"/>
        <item x="318"/>
        <item x="56"/>
        <item x="297"/>
        <item x="175"/>
        <item x="464"/>
        <item x="53"/>
        <item x="72"/>
        <item x="567"/>
        <item x="278"/>
        <item x="521"/>
        <item x="549"/>
        <item x="13"/>
        <item x="620"/>
        <item x="623"/>
        <item x="322"/>
        <item x="145"/>
        <item x="449"/>
        <item x="83"/>
        <item x="377"/>
        <item x="514"/>
        <item x="118"/>
        <item x="621"/>
        <item x="520"/>
        <item x="540"/>
        <item x="127"/>
        <item x="335"/>
        <item x="409"/>
        <item x="313"/>
        <item x="109"/>
        <item x="57"/>
        <item x="325"/>
        <item x="446"/>
        <item x="112"/>
        <item x="73"/>
        <item x="522"/>
        <item x="14"/>
        <item x="361"/>
        <item x="24"/>
        <item x="329"/>
        <item x="263"/>
        <item x="629"/>
        <item x="146"/>
        <item x="269"/>
        <item x="176"/>
        <item x="119"/>
        <item x="84"/>
        <item x="443"/>
        <item x="317"/>
        <item x="622"/>
        <item x="128"/>
        <item x="404"/>
        <item x="452"/>
        <item x="343"/>
        <item x="2"/>
        <item x="431"/>
        <item x="470"/>
        <item x="541"/>
        <item x="234"/>
        <item x="561"/>
        <item x="362"/>
        <item x="498"/>
        <item x="15"/>
        <item x="326"/>
        <item x="405"/>
        <item x="74"/>
        <item x="286"/>
        <item x="630"/>
        <item x="302"/>
        <item x="147"/>
        <item x="218"/>
        <item x="120"/>
        <item x="87"/>
        <item x="339"/>
        <item x="129"/>
        <item x="410"/>
        <item x="3"/>
        <item x="306"/>
        <item x="323"/>
        <item x="198"/>
        <item x="524"/>
        <item x="138"/>
        <item x="515"/>
        <item x="580"/>
        <item x="210"/>
        <item x="448"/>
        <item x="16"/>
        <item x="450"/>
        <item x="459"/>
        <item x="287"/>
        <item x="121"/>
        <item x="531"/>
        <item x="616"/>
        <item x="305"/>
        <item x="588"/>
        <item x="130"/>
        <item x="88"/>
        <item x="411"/>
        <item x="148"/>
        <item x="350"/>
        <item x="233"/>
        <item x="4"/>
        <item x="476"/>
        <item x="243"/>
        <item x="447"/>
        <item x="315"/>
        <item x="58"/>
        <item x="336"/>
        <item x="314"/>
        <item x="581"/>
        <item x="412"/>
        <item x="188"/>
        <item x="494"/>
        <item x="331"/>
        <item x="321"/>
        <item x="502"/>
        <item x="288"/>
        <item x="17"/>
        <item x="455"/>
        <item x="131"/>
        <item x="342"/>
        <item x="338"/>
        <item x="340"/>
        <item x="432"/>
        <item x="98"/>
        <item x="307"/>
        <item x="5"/>
        <item x="480"/>
        <item x="199"/>
        <item x="59"/>
        <item x="485"/>
        <item x="332"/>
        <item x="495"/>
        <item x="413"/>
        <item x="46"/>
        <item x="319"/>
        <item x="257"/>
        <item x="93"/>
        <item x="426"/>
        <item x="403"/>
        <item x="330"/>
        <item x="611"/>
        <item x="406"/>
        <item x="327"/>
        <item x="479"/>
        <item x="132"/>
        <item x="568"/>
        <item x="363"/>
        <item x="122"/>
        <item x="351"/>
        <item x="244"/>
        <item x="99"/>
        <item x="477"/>
        <item x="252"/>
        <item x="516"/>
        <item x="60"/>
        <item x="139"/>
        <item x="427"/>
        <item x="47"/>
        <item x="282"/>
        <item x="271"/>
        <item x="414"/>
        <item x="204"/>
        <item x="496"/>
        <item x="612"/>
        <item x="316"/>
        <item x="364"/>
        <item x="251"/>
        <item x="344"/>
        <item x="133"/>
        <item x="308"/>
        <item x="428"/>
        <item x="123"/>
        <item x="311"/>
        <item x="89"/>
        <item x="100"/>
        <item x="283"/>
        <item x="140"/>
        <item x="478"/>
        <item x="337"/>
        <item x="471"/>
        <item x="110"/>
        <item x="345"/>
        <item x="48"/>
        <item x="542"/>
        <item x="415"/>
        <item x="219"/>
        <item x="289"/>
        <item x="456"/>
        <item x="200"/>
        <item x="474"/>
        <item x="281"/>
        <item x="264"/>
        <item x="192"/>
        <item x="309"/>
        <item x="268"/>
        <item x="429"/>
        <item x="124"/>
        <item x="90"/>
        <item x="189"/>
        <item x="366"/>
        <item x="245"/>
        <item x="101"/>
        <item x="167"/>
        <item x="365"/>
        <item x="111"/>
        <item x="472"/>
        <item x="346"/>
        <item x="50"/>
        <item x="442"/>
        <item x="49"/>
        <item x="416"/>
        <item x="367"/>
        <item x="290"/>
        <item x="384"/>
        <item x="208"/>
        <item x="265"/>
        <item x="179"/>
        <item x="387"/>
        <item x="513"/>
        <item x="258"/>
        <item x="125"/>
        <item x="618"/>
        <item x="91"/>
        <item x="174"/>
        <item x="102"/>
        <item x="141"/>
        <item x="473"/>
        <item x="51"/>
        <item x="177"/>
        <item x="94"/>
        <item x="149"/>
        <item x="205"/>
        <item x="625"/>
        <item x="169"/>
        <item x="280"/>
        <item x="347"/>
        <item x="159"/>
        <item x="266"/>
        <item x="626"/>
        <item x="352"/>
        <item x="216"/>
        <item x="221"/>
        <item x="222"/>
        <item x="619"/>
        <item x="103"/>
        <item x="168"/>
        <item x="92"/>
        <item x="142"/>
        <item x="272"/>
        <item x="291"/>
        <item x="150"/>
        <item x="107"/>
        <item x="631"/>
        <item x="211"/>
        <item x="225"/>
        <item x="582"/>
        <item x="303"/>
        <item x="348"/>
        <item x="160"/>
        <item x="458"/>
        <item x="259"/>
        <item x="481"/>
        <item x="209"/>
        <item x="444"/>
        <item x="275"/>
        <item x="85"/>
        <item x="183"/>
        <item x="246"/>
        <item x="193"/>
        <item x="201"/>
        <item x="484"/>
        <item x="212"/>
        <item x="108"/>
        <item x="475"/>
        <item x="230"/>
        <item x="385"/>
        <item x="341"/>
        <item x="368"/>
        <item x="195"/>
        <item x="349"/>
        <item x="161"/>
        <item x="451"/>
        <item x="420"/>
        <item x="217"/>
        <item x="417"/>
        <item x="170"/>
        <item x="388"/>
        <item x="247"/>
        <item x="503"/>
        <item x="86"/>
        <item x="583"/>
        <item x="565"/>
        <item x="253"/>
        <item x="433"/>
        <item x="353"/>
        <item x="104"/>
        <item x="457"/>
        <item x="172"/>
        <item x="231"/>
        <item x="151"/>
        <item x="607"/>
        <item x="180"/>
        <item x="223"/>
        <item x="162"/>
        <item x="482"/>
        <item x="260"/>
        <item x="267"/>
        <item x="77"/>
        <item x="213"/>
        <item x="333"/>
        <item x="178"/>
        <item x="595"/>
        <item x="207"/>
        <item x="460"/>
        <item x="105"/>
        <item x="354"/>
        <item x="418"/>
        <item x="196"/>
        <item x="152"/>
        <item x="486"/>
        <item x="163"/>
        <item x="228"/>
        <item x="248"/>
        <item x="434"/>
        <item x="320"/>
        <item x="421"/>
        <item x="261"/>
        <item x="78"/>
        <item x="214"/>
        <item x="164"/>
        <item x="270"/>
        <item x="184"/>
        <item x="461"/>
        <item x="181"/>
        <item x="106"/>
        <item x="419"/>
        <item x="134"/>
        <item x="614"/>
        <item x="224"/>
        <item x="171"/>
        <item x="249"/>
        <item x="610"/>
        <item x="215"/>
        <item x="75"/>
        <item x="202"/>
        <item x="79"/>
        <item x="254"/>
        <item x="165"/>
        <item x="562"/>
        <item x="627"/>
        <item x="232"/>
        <item x="371"/>
        <item x="462"/>
        <item x="378"/>
        <item x="229"/>
        <item x="390"/>
        <item x="135"/>
        <item x="153"/>
        <item x="487"/>
        <item x="185"/>
        <item x="29"/>
        <item x="372"/>
        <item x="355"/>
        <item x="262"/>
        <item x="379"/>
        <item x="255"/>
        <item x="489"/>
        <item x="166"/>
        <item x="424"/>
        <item x="235"/>
        <item x="182"/>
        <item x="369"/>
        <item x="546"/>
        <item x="373"/>
        <item x="504"/>
        <item x="490"/>
        <item x="136"/>
        <item x="598"/>
        <item x="154"/>
        <item x="186"/>
        <item x="529"/>
        <item x="250"/>
        <item x="589"/>
        <item x="143"/>
        <item x="380"/>
        <item x="30"/>
        <item x="570"/>
        <item x="236"/>
        <item x="374"/>
        <item x="173"/>
        <item x="488"/>
        <item x="491"/>
        <item x="632"/>
        <item x="137"/>
        <item x="574"/>
        <item x="370"/>
        <item x="465"/>
        <item x="556"/>
        <item x="144"/>
        <item x="381"/>
        <item x="31"/>
        <item x="256"/>
        <item x="571"/>
        <item x="597"/>
        <item x="237"/>
        <item x="375"/>
        <item x="505"/>
        <item x="492"/>
        <item x="599"/>
        <item x="575"/>
        <item x="590"/>
        <item x="633"/>
        <item x="453"/>
        <item x="382"/>
        <item x="572"/>
        <item x="506"/>
        <item x="493"/>
        <item x="576"/>
        <item x="591"/>
        <item x="454"/>
        <item x="573"/>
        <item x="577"/>
        <item x="592"/>
        <item x="578"/>
        <item x="593"/>
        <item x="579"/>
        <item x="594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639">
        <item x="278"/>
        <item x="61"/>
        <item x="465"/>
        <item x="279"/>
        <item x="29"/>
        <item x="599"/>
        <item x="245"/>
        <item x="25"/>
        <item x="42"/>
        <item x="615"/>
        <item x="155"/>
        <item x="466"/>
        <item x="280"/>
        <item x="227"/>
        <item x="187"/>
        <item x="601"/>
        <item x="516"/>
        <item x="618"/>
        <item x="363"/>
        <item x="26"/>
        <item x="582"/>
        <item x="156"/>
        <item x="517"/>
        <item x="467"/>
        <item x="508"/>
        <item x="281"/>
        <item x="246"/>
        <item x="568"/>
        <item x="6"/>
        <item x="27"/>
        <item x="500"/>
        <item x="583"/>
        <item x="616"/>
        <item x="157"/>
        <item x="573"/>
        <item x="0"/>
        <item x="247"/>
        <item x="619"/>
        <item x="594"/>
        <item x="570"/>
        <item x="28"/>
        <item x="501"/>
        <item x="584"/>
        <item x="364"/>
        <item x="248"/>
        <item x="502"/>
        <item x="158"/>
        <item x="463"/>
        <item x="597"/>
        <item x="613"/>
        <item x="503"/>
        <item x="208"/>
        <item x="552"/>
        <item x="611"/>
        <item x="545"/>
        <item x="569"/>
        <item x="504"/>
        <item x="249"/>
        <item x="563"/>
        <item x="480"/>
        <item x="505"/>
        <item x="95"/>
        <item x="440"/>
        <item x="34"/>
        <item x="539"/>
        <item x="66"/>
        <item x="35"/>
        <item x="540"/>
        <item x="190"/>
        <item x="67"/>
        <item x="96"/>
        <item x="36"/>
        <item x="397"/>
        <item x="62"/>
        <item x="68"/>
        <item x="37"/>
        <item x="71"/>
        <item x="63"/>
        <item x="541"/>
        <item x="43"/>
        <item x="520"/>
        <item x="7"/>
        <item x="191"/>
        <item x="69"/>
        <item x="76"/>
        <item x="18"/>
        <item x="97"/>
        <item x="542"/>
        <item x="402"/>
        <item x="398"/>
        <item x="306"/>
        <item x="491"/>
        <item x="536"/>
        <item x="44"/>
        <item x="38"/>
        <item x="8"/>
        <item x="441"/>
        <item x="19"/>
        <item x="557"/>
        <item x="70"/>
        <item x="403"/>
        <item x="298"/>
        <item x="399"/>
        <item x="525"/>
        <item x="528"/>
        <item x="277"/>
        <item x="533"/>
        <item x="45"/>
        <item x="9"/>
        <item x="391"/>
        <item x="492"/>
        <item x="20"/>
        <item x="442"/>
        <item x="404"/>
        <item x="474"/>
        <item x="558"/>
        <item x="283"/>
        <item x="299"/>
        <item x="392"/>
        <item x="64"/>
        <item x="443"/>
        <item x="46"/>
        <item x="65"/>
        <item x="543"/>
        <item x="624"/>
        <item x="425"/>
        <item x="10"/>
        <item x="21"/>
        <item x="114"/>
        <item x="393"/>
        <item x="300"/>
        <item x="307"/>
        <item x="546"/>
        <item x="39"/>
        <item x="407"/>
        <item x="493"/>
        <item x="205"/>
        <item x="527"/>
        <item x="400"/>
        <item x="390"/>
        <item x="426"/>
        <item x="544"/>
        <item x="430"/>
        <item x="33"/>
        <item x="627"/>
        <item x="11"/>
        <item x="22"/>
        <item x="115"/>
        <item x="394"/>
        <item x="564"/>
        <item x="301"/>
        <item x="40"/>
        <item x="554"/>
        <item x="494"/>
        <item x="336"/>
        <item x="401"/>
        <item x="529"/>
        <item x="80"/>
        <item x="445"/>
        <item x="427"/>
        <item x="377"/>
        <item x="555"/>
        <item x="116"/>
        <item x="534"/>
        <item x="54"/>
        <item x="408"/>
        <item x="302"/>
        <item x="41"/>
        <item x="308"/>
        <item x="234"/>
        <item x="282"/>
        <item x="625"/>
        <item x="604"/>
        <item x="396"/>
        <item x="81"/>
        <item x="385"/>
        <item x="378"/>
        <item x="434"/>
        <item x="631"/>
        <item x="506"/>
        <item x="117"/>
        <item x="446"/>
        <item x="55"/>
        <item x="409"/>
        <item x="581"/>
        <item x="333"/>
        <item x="23"/>
        <item x="303"/>
        <item x="314"/>
        <item x="464"/>
        <item x="338"/>
        <item x="509"/>
        <item x="513"/>
        <item x="605"/>
        <item x="12"/>
        <item x="386"/>
        <item x="340"/>
        <item x="337"/>
        <item x="118"/>
        <item x="352"/>
        <item x="559"/>
        <item x="321"/>
        <item x="127"/>
        <item x="530"/>
        <item x="410"/>
        <item x="197"/>
        <item x="547"/>
        <item x="56"/>
        <item x="620"/>
        <item x="468"/>
        <item x="626"/>
        <item x="72"/>
        <item x="435"/>
        <item x="519"/>
        <item x="13"/>
        <item x="621"/>
        <item x="526"/>
        <item x="53"/>
        <item x="146"/>
        <item x="632"/>
        <item x="82"/>
        <item x="379"/>
        <item x="119"/>
        <item x="622"/>
        <item x="334"/>
        <item x="128"/>
        <item x="617"/>
        <item x="411"/>
        <item x="109"/>
        <item x="57"/>
        <item x="469"/>
        <item x="512"/>
        <item x="113"/>
        <item x="488"/>
        <item x="73"/>
        <item x="450"/>
        <item x="518"/>
        <item x="14"/>
        <item x="330"/>
        <item x="339"/>
        <item x="376"/>
        <item x="24"/>
        <item x="633"/>
        <item x="147"/>
        <item x="556"/>
        <item x="120"/>
        <item x="83"/>
        <item x="449"/>
        <item x="521"/>
        <item x="623"/>
        <item x="129"/>
        <item x="365"/>
        <item x="176"/>
        <item x="447"/>
        <item x="2"/>
        <item x="240"/>
        <item x="198"/>
        <item x="510"/>
        <item x="242"/>
        <item x="531"/>
        <item x="610"/>
        <item x="444"/>
        <item x="15"/>
        <item x="405"/>
        <item x="74"/>
        <item x="292"/>
        <item x="634"/>
        <item x="456"/>
        <item x="322"/>
        <item x="344"/>
        <item x="341"/>
        <item x="121"/>
        <item x="86"/>
        <item x="628"/>
        <item x="345"/>
        <item x="130"/>
        <item x="412"/>
        <item x="3"/>
        <item x="436"/>
        <item x="284"/>
        <item x="537"/>
        <item x="139"/>
        <item x="507"/>
        <item x="329"/>
        <item x="199"/>
        <item x="511"/>
        <item x="215"/>
        <item x="16"/>
        <item x="495"/>
        <item x="335"/>
        <item x="293"/>
        <item x="309"/>
        <item x="323"/>
        <item x="353"/>
        <item x="612"/>
        <item x="423"/>
        <item x="315"/>
        <item x="350"/>
        <item x="87"/>
        <item x="346"/>
        <item x="318"/>
        <item x="131"/>
        <item x="4"/>
        <item x="235"/>
        <item x="250"/>
        <item x="437"/>
        <item x="58"/>
        <item x="489"/>
        <item x="351"/>
        <item x="413"/>
        <item x="216"/>
        <item x="327"/>
        <item x="324"/>
        <item x="148"/>
        <item x="294"/>
        <item x="92"/>
        <item x="452"/>
        <item x="304"/>
        <item x="17"/>
        <item x="132"/>
        <item x="317"/>
        <item x="548"/>
        <item x="481"/>
        <item x="347"/>
        <item x="598"/>
        <item x="332"/>
        <item x="98"/>
        <item x="414"/>
        <item x="241"/>
        <item x="251"/>
        <item x="59"/>
        <item x="5"/>
        <item x="354"/>
        <item x="211"/>
        <item x="47"/>
        <item x="422"/>
        <item x="319"/>
        <item x="431"/>
        <item x="93"/>
        <item x="549"/>
        <item x="608"/>
        <item x="406"/>
        <item x="295"/>
        <item x="310"/>
        <item x="133"/>
        <item x="289"/>
        <item x="122"/>
        <item x="424"/>
        <item x="358"/>
        <item x="432"/>
        <item x="99"/>
        <item x="475"/>
        <item x="258"/>
        <item x="173"/>
        <item x="60"/>
        <item x="476"/>
        <item x="140"/>
        <item x="342"/>
        <item x="366"/>
        <item x="48"/>
        <item x="550"/>
        <item x="415"/>
        <item x="538"/>
        <item x="296"/>
        <item x="585"/>
        <item x="200"/>
        <item x="471"/>
        <item x="522"/>
        <item x="188"/>
        <item x="134"/>
        <item x="428"/>
        <item x="433"/>
        <item x="123"/>
        <item x="607"/>
        <item x="88"/>
        <item x="562"/>
        <item x="100"/>
        <item x="395"/>
        <item x="110"/>
        <item x="343"/>
        <item x="259"/>
        <item x="328"/>
        <item x="212"/>
        <item x="472"/>
        <item x="451"/>
        <item x="49"/>
        <item x="514"/>
        <item x="174"/>
        <item x="416"/>
        <item x="602"/>
        <item x="297"/>
        <item x="316"/>
        <item x="178"/>
        <item x="368"/>
        <item x="271"/>
        <item x="285"/>
        <item x="287"/>
        <item x="629"/>
        <item x="290"/>
        <item x="124"/>
        <item x="311"/>
        <item x="89"/>
        <item x="600"/>
        <item x="603"/>
        <item x="252"/>
        <item x="101"/>
        <item x="367"/>
        <item x="141"/>
        <item x="490"/>
        <item x="170"/>
        <item x="206"/>
        <item x="51"/>
        <item x="320"/>
        <item x="50"/>
        <item x="417"/>
        <item x="369"/>
        <item x="168"/>
        <item x="276"/>
        <item x="189"/>
        <item x="272"/>
        <item x="388"/>
        <item x="355"/>
        <item x="266"/>
        <item x="201"/>
        <item x="125"/>
        <item x="614"/>
        <item x="90"/>
        <item x="224"/>
        <item x="111"/>
        <item x="325"/>
        <item x="102"/>
        <item x="142"/>
        <item x="635"/>
        <item x="389"/>
        <item x="470"/>
        <item x="52"/>
        <item x="94"/>
        <item x="453"/>
        <item x="149"/>
        <item x="348"/>
        <item x="312"/>
        <item x="356"/>
        <item x="159"/>
        <item x="213"/>
        <item x="273"/>
        <item x="592"/>
        <item x="179"/>
        <item x="286"/>
        <item x="267"/>
        <item x="551"/>
        <item x="126"/>
        <item x="260"/>
        <item x="202"/>
        <item x="253"/>
        <item x="192"/>
        <item x="143"/>
        <item x="580"/>
        <item x="288"/>
        <item x="359"/>
        <item x="107"/>
        <item x="291"/>
        <item x="217"/>
        <item x="349"/>
        <item x="636"/>
        <item x="221"/>
        <item x="169"/>
        <item x="160"/>
        <item x="207"/>
        <item x="210"/>
        <item x="214"/>
        <item x="203"/>
        <item x="112"/>
        <item x="313"/>
        <item x="84"/>
        <item x="261"/>
        <item x="254"/>
        <item x="91"/>
        <item x="360"/>
        <item x="108"/>
        <item x="193"/>
        <item x="459"/>
        <item x="103"/>
        <item x="370"/>
        <item x="357"/>
        <item x="150"/>
        <item x="455"/>
        <item x="421"/>
        <item x="209"/>
        <item x="478"/>
        <item x="438"/>
        <item x="326"/>
        <item x="268"/>
        <item x="85"/>
        <item x="238"/>
        <item x="180"/>
        <item x="262"/>
        <item x="218"/>
        <item x="460"/>
        <item x="195"/>
        <item x="361"/>
        <item x="104"/>
        <item x="166"/>
        <item x="418"/>
        <item x="237"/>
        <item x="151"/>
        <item x="387"/>
        <item x="161"/>
        <item x="171"/>
        <item x="194"/>
        <item x="380"/>
        <item x="175"/>
        <item x="77"/>
        <item x="219"/>
        <item x="183"/>
        <item x="229"/>
        <item x="523"/>
        <item x="162"/>
        <item x="167"/>
        <item x="105"/>
        <item x="233"/>
        <item x="419"/>
        <item x="152"/>
        <item x="606"/>
        <item x="255"/>
        <item x="274"/>
        <item x="439"/>
        <item x="223"/>
        <item x="269"/>
        <item x="78"/>
        <item x="220"/>
        <item x="106"/>
        <item x="163"/>
        <item x="231"/>
        <item x="331"/>
        <item x="225"/>
        <item x="593"/>
        <item x="236"/>
        <item x="461"/>
        <item x="371"/>
        <item x="184"/>
        <item x="420"/>
        <item x="135"/>
        <item x="177"/>
        <item x="448"/>
        <item x="256"/>
        <item x="560"/>
        <item x="270"/>
        <item x="196"/>
        <item x="181"/>
        <item x="79"/>
        <item x="263"/>
        <item x="164"/>
        <item x="75"/>
        <item x="243"/>
        <item x="454"/>
        <item x="462"/>
        <item x="524"/>
        <item x="372"/>
        <item x="136"/>
        <item x="484"/>
        <item x="153"/>
        <item x="275"/>
        <item x="30"/>
        <item x="185"/>
        <item x="482"/>
        <item x="479"/>
        <item x="362"/>
        <item x="239"/>
        <item x="230"/>
        <item x="381"/>
        <item x="264"/>
        <item x="165"/>
        <item x="232"/>
        <item x="630"/>
        <item x="609"/>
        <item x="553"/>
        <item x="204"/>
        <item x="496"/>
        <item x="485"/>
        <item x="137"/>
        <item x="154"/>
        <item x="595"/>
        <item x="566"/>
        <item x="574"/>
        <item x="257"/>
        <item x="586"/>
        <item x="144"/>
        <item x="382"/>
        <item x="228"/>
        <item x="31"/>
        <item x="305"/>
        <item x="571"/>
        <item x="567"/>
        <item x="222"/>
        <item x="172"/>
        <item x="374"/>
        <item x="473"/>
        <item x="497"/>
        <item x="486"/>
        <item x="429"/>
        <item x="182"/>
        <item x="138"/>
        <item x="515"/>
        <item x="575"/>
        <item x="373"/>
        <item x="186"/>
        <item x="145"/>
        <item x="383"/>
        <item x="32"/>
        <item x="265"/>
        <item x="226"/>
        <item x="483"/>
        <item x="244"/>
        <item x="375"/>
        <item x="498"/>
        <item x="477"/>
        <item x="561"/>
        <item x="596"/>
        <item x="535"/>
        <item x="576"/>
        <item x="532"/>
        <item x="587"/>
        <item x="637"/>
        <item x="457"/>
        <item x="384"/>
        <item x="572"/>
        <item x="565"/>
        <item x="499"/>
        <item x="487"/>
        <item x="577"/>
        <item x="588"/>
        <item x="458"/>
        <item x="578"/>
        <item x="589"/>
        <item x="579"/>
        <item x="590"/>
        <item x="591"/>
        <item x="1"/>
        <item t="default"/>
      </items>
    </pivotField>
    <pivotField numFmtId="20" showAll="0"/>
    <pivotField showAll="0"/>
    <pivotField axis="axisPage" multipleItemSelectionAllowed="1" showAll="0">
      <items count="3">
        <item x="1"/>
        <item h="1" x="0"/>
        <item t="default"/>
      </items>
    </pivotField>
    <pivotField axis="axisRow" showAll="0">
      <items count="63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h="1" x="61"/>
        <item t="default"/>
      </items>
    </pivotField>
    <pivotField axis="axisRow" showAll="0" sortType="descending">
      <items count="27">
        <item h="1" sd="0" x="0"/>
        <item sd="0" x="1"/>
        <item sd="0" x="2"/>
        <item sd="0" x="3"/>
        <item sd="0" x="4"/>
        <item x="5"/>
        <item x="6"/>
        <item x="7"/>
        <item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h="1"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2">
    <field x="9"/>
    <field x="8"/>
  </rowFields>
  <rowItems count="19">
    <i>
      <x v="21"/>
    </i>
    <i>
      <x v="22"/>
    </i>
    <i>
      <x v="20"/>
    </i>
    <i>
      <x v="23"/>
    </i>
    <i>
      <x v="18"/>
    </i>
    <i>
      <x v="17"/>
    </i>
    <i>
      <x v="19"/>
    </i>
    <i>
      <x v="16"/>
    </i>
    <i>
      <x v="24"/>
    </i>
    <i>
      <x v="2"/>
    </i>
    <i>
      <x v="1"/>
    </i>
    <i>
      <x v="4"/>
    </i>
    <i>
      <x v="11"/>
    </i>
    <i>
      <x v="10"/>
    </i>
    <i>
      <x v="13"/>
    </i>
    <i>
      <x v="12"/>
    </i>
    <i>
      <x v="14"/>
    </i>
    <i>
      <x v="15"/>
    </i>
    <i t="grand">
      <x/>
    </i>
  </rowItems>
  <colItems count="1">
    <i/>
  </colItems>
  <pageFields count="1">
    <pageField fld="7" hier="-1"/>
  </pageFields>
  <dataFields count="1">
    <dataField name="Count of DATE" fld="0" subtotal="count" baseField="0" baseItem="0"/>
  </dataFields>
  <chartFormats count="2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49D93-1079-4EE6-8A00-D6C421C5075D}" name="PivotTable6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66:B87" firstHeaderRow="1" firstDataRow="1" firstDataCol="1" rowPageCount="1" colPageCount="1"/>
  <pivotFields count="14">
    <pivotField dataField="1" numFmtId="165" showAll="0">
      <items count="3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3"/>
        <item x="231"/>
        <item x="232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t="default"/>
      </items>
    </pivotField>
    <pivotField showAll="0"/>
    <pivotField showAll="0"/>
    <pivotField showAll="0" sortType="descending">
      <items count="635">
        <item x="0"/>
        <item x="563"/>
        <item x="466"/>
        <item x="603"/>
        <item x="601"/>
        <item x="543"/>
        <item x="526"/>
        <item x="25"/>
        <item x="187"/>
        <item x="220"/>
        <item x="155"/>
        <item x="467"/>
        <item x="356"/>
        <item x="566"/>
        <item x="238"/>
        <item x="518"/>
        <item x="602"/>
        <item x="357"/>
        <item x="26"/>
        <item x="585"/>
        <item x="156"/>
        <item x="468"/>
        <item x="6"/>
        <item x="558"/>
        <item x="239"/>
        <item x="544"/>
        <item x="519"/>
        <item x="600"/>
        <item x="27"/>
        <item x="608"/>
        <item x="507"/>
        <item x="586"/>
        <item x="596"/>
        <item x="157"/>
        <item x="358"/>
        <item x="240"/>
        <item x="569"/>
        <item x="609"/>
        <item x="564"/>
        <item x="613"/>
        <item x="28"/>
        <item x="508"/>
        <item x="587"/>
        <item x="241"/>
        <item x="463"/>
        <item x="158"/>
        <item x="509"/>
        <item x="469"/>
        <item x="545"/>
        <item x="512"/>
        <item x="206"/>
        <item x="617"/>
        <item x="615"/>
        <item x="510"/>
        <item x="483"/>
        <item x="242"/>
        <item x="511"/>
        <item x="95"/>
        <item x="190"/>
        <item x="33"/>
        <item x="532"/>
        <item x="436"/>
        <item x="65"/>
        <item x="437"/>
        <item x="34"/>
        <item x="96"/>
        <item x="533"/>
        <item x="66"/>
        <item x="35"/>
        <item x="393"/>
        <item x="61"/>
        <item x="191"/>
        <item x="550"/>
        <item x="67"/>
        <item x="528"/>
        <item x="553"/>
        <item x="284"/>
        <item x="525"/>
        <item x="530"/>
        <item x="36"/>
        <item x="70"/>
        <item x="62"/>
        <item x="534"/>
        <item x="97"/>
        <item x="41"/>
        <item x="76"/>
        <item x="7"/>
        <item x="68"/>
        <item x="18"/>
        <item x="400"/>
        <item x="394"/>
        <item x="535"/>
        <item x="37"/>
        <item x="42"/>
        <item x="8"/>
        <item x="551"/>
        <item x="536"/>
        <item x="19"/>
        <item x="69"/>
        <item x="401"/>
        <item x="559"/>
        <item x="523"/>
        <item x="279"/>
        <item x="298"/>
        <item x="273"/>
        <item x="64"/>
        <item x="43"/>
        <item x="499"/>
        <item x="9"/>
        <item x="391"/>
        <item x="20"/>
        <item x="552"/>
        <item x="402"/>
        <item x="395"/>
        <item x="438"/>
        <item x="292"/>
        <item x="527"/>
        <item x="63"/>
        <item x="624"/>
        <item x="203"/>
        <item x="44"/>
        <item x="194"/>
        <item x="10"/>
        <item x="285"/>
        <item x="425"/>
        <item x="299"/>
        <item x="21"/>
        <item x="113"/>
        <item x="392"/>
        <item x="293"/>
        <item x="38"/>
        <item x="500"/>
        <item x="423"/>
        <item x="396"/>
        <item x="389"/>
        <item x="407"/>
        <item x="422"/>
        <item x="537"/>
        <item x="23"/>
        <item x="560"/>
        <item x="32"/>
        <item x="11"/>
        <item x="22"/>
        <item x="114"/>
        <item x="45"/>
        <item x="294"/>
        <item x="39"/>
        <item x="497"/>
        <item x="547"/>
        <item x="324"/>
        <item x="274"/>
        <item x="397"/>
        <item x="604"/>
        <item x="538"/>
        <item x="80"/>
        <item x="440"/>
        <item x="12"/>
        <item x="304"/>
        <item x="430"/>
        <item x="554"/>
        <item x="115"/>
        <item x="226"/>
        <item x="539"/>
        <item x="54"/>
        <item x="300"/>
        <item x="439"/>
        <item x="295"/>
        <item x="40"/>
        <item x="435"/>
        <item x="501"/>
        <item x="359"/>
        <item x="441"/>
        <item x="605"/>
        <item x="398"/>
        <item x="81"/>
        <item x="628"/>
        <item x="383"/>
        <item x="277"/>
        <item x="116"/>
        <item x="334"/>
        <item x="312"/>
        <item x="557"/>
        <item x="445"/>
        <item x="408"/>
        <item x="328"/>
        <item x="55"/>
        <item x="386"/>
        <item x="584"/>
        <item x="71"/>
        <item x="296"/>
        <item x="548"/>
        <item x="52"/>
        <item x="399"/>
        <item x="360"/>
        <item x="197"/>
        <item x="517"/>
        <item x="606"/>
        <item x="82"/>
        <item x="310"/>
        <item x="376"/>
        <item x="117"/>
        <item x="301"/>
        <item x="227"/>
        <item x="555"/>
        <item x="126"/>
        <item x="276"/>
        <item x="318"/>
        <item x="56"/>
        <item x="297"/>
        <item x="175"/>
        <item x="464"/>
        <item x="53"/>
        <item x="72"/>
        <item x="567"/>
        <item x="278"/>
        <item x="521"/>
        <item x="549"/>
        <item x="13"/>
        <item x="620"/>
        <item x="623"/>
        <item x="322"/>
        <item x="145"/>
        <item x="449"/>
        <item x="83"/>
        <item x="377"/>
        <item x="514"/>
        <item x="118"/>
        <item x="621"/>
        <item x="520"/>
        <item x="540"/>
        <item x="127"/>
        <item x="335"/>
        <item x="409"/>
        <item x="313"/>
        <item x="109"/>
        <item x="57"/>
        <item x="325"/>
        <item x="446"/>
        <item x="112"/>
        <item x="73"/>
        <item x="522"/>
        <item x="14"/>
        <item x="361"/>
        <item x="24"/>
        <item x="329"/>
        <item x="263"/>
        <item x="629"/>
        <item x="146"/>
        <item x="269"/>
        <item x="176"/>
        <item x="119"/>
        <item x="84"/>
        <item x="443"/>
        <item x="317"/>
        <item x="622"/>
        <item x="128"/>
        <item x="404"/>
        <item x="452"/>
        <item x="343"/>
        <item x="2"/>
        <item x="431"/>
        <item x="470"/>
        <item x="541"/>
        <item x="234"/>
        <item x="561"/>
        <item x="362"/>
        <item x="498"/>
        <item x="15"/>
        <item x="326"/>
        <item x="405"/>
        <item x="74"/>
        <item x="286"/>
        <item x="630"/>
        <item x="302"/>
        <item x="147"/>
        <item x="218"/>
        <item x="120"/>
        <item x="87"/>
        <item x="339"/>
        <item x="129"/>
        <item x="410"/>
        <item x="3"/>
        <item x="306"/>
        <item x="323"/>
        <item x="198"/>
        <item x="524"/>
        <item x="138"/>
        <item x="515"/>
        <item x="580"/>
        <item x="210"/>
        <item x="448"/>
        <item x="16"/>
        <item x="450"/>
        <item x="459"/>
        <item x="287"/>
        <item x="121"/>
        <item x="531"/>
        <item x="616"/>
        <item x="305"/>
        <item x="588"/>
        <item x="130"/>
        <item x="88"/>
        <item x="411"/>
        <item x="148"/>
        <item x="350"/>
        <item x="233"/>
        <item x="4"/>
        <item x="476"/>
        <item x="243"/>
        <item x="447"/>
        <item x="315"/>
        <item x="58"/>
        <item x="336"/>
        <item x="314"/>
        <item x="581"/>
        <item x="412"/>
        <item x="188"/>
        <item x="494"/>
        <item x="331"/>
        <item x="321"/>
        <item x="502"/>
        <item x="288"/>
        <item x="17"/>
        <item x="455"/>
        <item x="131"/>
        <item x="342"/>
        <item x="338"/>
        <item x="340"/>
        <item x="432"/>
        <item x="98"/>
        <item x="307"/>
        <item x="5"/>
        <item x="480"/>
        <item x="199"/>
        <item x="59"/>
        <item x="485"/>
        <item x="332"/>
        <item x="495"/>
        <item x="413"/>
        <item x="46"/>
        <item x="319"/>
        <item x="257"/>
        <item x="93"/>
        <item x="426"/>
        <item x="403"/>
        <item x="330"/>
        <item x="611"/>
        <item x="406"/>
        <item x="327"/>
        <item x="479"/>
        <item x="132"/>
        <item x="568"/>
        <item x="363"/>
        <item x="122"/>
        <item x="351"/>
        <item x="244"/>
        <item x="99"/>
        <item x="477"/>
        <item x="252"/>
        <item x="516"/>
        <item x="60"/>
        <item x="139"/>
        <item x="427"/>
        <item x="47"/>
        <item x="282"/>
        <item x="271"/>
        <item x="414"/>
        <item x="204"/>
        <item x="496"/>
        <item x="612"/>
        <item x="316"/>
        <item x="364"/>
        <item x="251"/>
        <item x="344"/>
        <item x="133"/>
        <item x="308"/>
        <item x="428"/>
        <item x="123"/>
        <item x="311"/>
        <item x="89"/>
        <item x="100"/>
        <item x="283"/>
        <item x="140"/>
        <item x="478"/>
        <item x="337"/>
        <item x="471"/>
        <item x="110"/>
        <item x="345"/>
        <item x="48"/>
        <item x="542"/>
        <item x="415"/>
        <item x="219"/>
        <item x="289"/>
        <item x="456"/>
        <item x="200"/>
        <item x="474"/>
        <item x="281"/>
        <item x="264"/>
        <item x="192"/>
        <item x="309"/>
        <item x="268"/>
        <item x="429"/>
        <item x="124"/>
        <item x="90"/>
        <item x="189"/>
        <item x="366"/>
        <item x="245"/>
        <item x="101"/>
        <item x="167"/>
        <item x="365"/>
        <item x="111"/>
        <item x="472"/>
        <item x="346"/>
        <item x="50"/>
        <item x="442"/>
        <item x="49"/>
        <item x="416"/>
        <item x="367"/>
        <item x="290"/>
        <item x="384"/>
        <item x="208"/>
        <item x="265"/>
        <item x="179"/>
        <item x="387"/>
        <item x="513"/>
        <item x="258"/>
        <item x="125"/>
        <item x="618"/>
        <item x="91"/>
        <item x="174"/>
        <item x="102"/>
        <item x="141"/>
        <item x="473"/>
        <item x="51"/>
        <item x="177"/>
        <item x="94"/>
        <item x="149"/>
        <item x="205"/>
        <item x="625"/>
        <item x="169"/>
        <item x="280"/>
        <item x="347"/>
        <item x="159"/>
        <item x="266"/>
        <item x="626"/>
        <item x="352"/>
        <item x="216"/>
        <item x="221"/>
        <item x="222"/>
        <item x="619"/>
        <item x="103"/>
        <item x="168"/>
        <item x="92"/>
        <item x="142"/>
        <item x="272"/>
        <item x="291"/>
        <item x="150"/>
        <item x="107"/>
        <item x="631"/>
        <item x="211"/>
        <item x="225"/>
        <item x="582"/>
        <item x="303"/>
        <item x="348"/>
        <item x="160"/>
        <item x="458"/>
        <item x="259"/>
        <item x="481"/>
        <item x="209"/>
        <item x="444"/>
        <item x="275"/>
        <item x="85"/>
        <item x="183"/>
        <item x="246"/>
        <item x="193"/>
        <item x="201"/>
        <item x="484"/>
        <item x="212"/>
        <item x="108"/>
        <item x="475"/>
        <item x="230"/>
        <item x="385"/>
        <item x="341"/>
        <item x="368"/>
        <item x="195"/>
        <item x="349"/>
        <item x="161"/>
        <item x="451"/>
        <item x="420"/>
        <item x="217"/>
        <item x="417"/>
        <item x="170"/>
        <item x="388"/>
        <item x="247"/>
        <item x="503"/>
        <item x="86"/>
        <item x="583"/>
        <item x="565"/>
        <item x="253"/>
        <item x="433"/>
        <item x="353"/>
        <item x="104"/>
        <item x="457"/>
        <item x="172"/>
        <item x="231"/>
        <item x="151"/>
        <item x="607"/>
        <item x="180"/>
        <item x="223"/>
        <item x="162"/>
        <item x="482"/>
        <item x="260"/>
        <item x="267"/>
        <item x="77"/>
        <item x="213"/>
        <item x="333"/>
        <item x="178"/>
        <item x="595"/>
        <item x="207"/>
        <item x="460"/>
        <item x="105"/>
        <item x="354"/>
        <item x="418"/>
        <item x="196"/>
        <item x="152"/>
        <item x="486"/>
        <item x="163"/>
        <item x="228"/>
        <item x="248"/>
        <item x="434"/>
        <item x="320"/>
        <item x="421"/>
        <item x="261"/>
        <item x="78"/>
        <item x="214"/>
        <item x="164"/>
        <item x="270"/>
        <item x="184"/>
        <item x="461"/>
        <item x="181"/>
        <item x="106"/>
        <item x="419"/>
        <item x="134"/>
        <item x="614"/>
        <item x="224"/>
        <item x="171"/>
        <item x="249"/>
        <item x="610"/>
        <item x="215"/>
        <item x="75"/>
        <item x="202"/>
        <item x="79"/>
        <item x="254"/>
        <item x="165"/>
        <item x="562"/>
        <item x="627"/>
        <item x="232"/>
        <item x="371"/>
        <item x="462"/>
        <item x="378"/>
        <item x="229"/>
        <item x="390"/>
        <item x="135"/>
        <item x="153"/>
        <item x="487"/>
        <item x="185"/>
        <item x="29"/>
        <item x="372"/>
        <item x="355"/>
        <item x="262"/>
        <item x="379"/>
        <item x="255"/>
        <item x="489"/>
        <item x="166"/>
        <item x="424"/>
        <item x="235"/>
        <item x="182"/>
        <item x="369"/>
        <item x="546"/>
        <item x="373"/>
        <item x="504"/>
        <item x="490"/>
        <item x="136"/>
        <item x="598"/>
        <item x="154"/>
        <item x="186"/>
        <item x="529"/>
        <item x="250"/>
        <item x="589"/>
        <item x="143"/>
        <item x="380"/>
        <item x="30"/>
        <item x="570"/>
        <item x="236"/>
        <item x="374"/>
        <item x="173"/>
        <item x="488"/>
        <item x="491"/>
        <item x="632"/>
        <item x="137"/>
        <item x="574"/>
        <item x="370"/>
        <item x="465"/>
        <item x="556"/>
        <item x="144"/>
        <item x="381"/>
        <item x="31"/>
        <item x="256"/>
        <item x="571"/>
        <item x="597"/>
        <item x="237"/>
        <item x="375"/>
        <item x="505"/>
        <item x="492"/>
        <item x="599"/>
        <item x="575"/>
        <item x="590"/>
        <item x="633"/>
        <item x="453"/>
        <item x="382"/>
        <item x="572"/>
        <item x="506"/>
        <item x="493"/>
        <item x="576"/>
        <item x="591"/>
        <item x="454"/>
        <item x="573"/>
        <item x="577"/>
        <item x="592"/>
        <item x="578"/>
        <item x="593"/>
        <item x="579"/>
        <item x="594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639">
        <item x="278"/>
        <item x="61"/>
        <item x="465"/>
        <item x="279"/>
        <item x="29"/>
        <item x="599"/>
        <item x="245"/>
        <item x="25"/>
        <item x="42"/>
        <item x="615"/>
        <item x="155"/>
        <item x="466"/>
        <item x="280"/>
        <item x="227"/>
        <item x="187"/>
        <item x="601"/>
        <item x="516"/>
        <item x="618"/>
        <item x="363"/>
        <item x="26"/>
        <item x="582"/>
        <item x="156"/>
        <item x="517"/>
        <item x="467"/>
        <item x="508"/>
        <item x="281"/>
        <item x="246"/>
        <item x="568"/>
        <item x="6"/>
        <item x="27"/>
        <item x="500"/>
        <item x="583"/>
        <item x="616"/>
        <item x="157"/>
        <item x="573"/>
        <item x="0"/>
        <item x="247"/>
        <item x="619"/>
        <item x="594"/>
        <item x="570"/>
        <item x="28"/>
        <item x="501"/>
        <item x="584"/>
        <item x="364"/>
        <item x="248"/>
        <item x="502"/>
        <item x="158"/>
        <item x="463"/>
        <item x="597"/>
        <item x="613"/>
        <item x="503"/>
        <item x="208"/>
        <item x="552"/>
        <item x="611"/>
        <item x="545"/>
        <item x="569"/>
        <item x="504"/>
        <item x="249"/>
        <item x="563"/>
        <item x="480"/>
        <item x="505"/>
        <item x="95"/>
        <item x="440"/>
        <item x="34"/>
        <item x="539"/>
        <item x="66"/>
        <item x="35"/>
        <item x="540"/>
        <item x="190"/>
        <item x="67"/>
        <item x="96"/>
        <item x="36"/>
        <item x="397"/>
        <item x="62"/>
        <item x="68"/>
        <item x="37"/>
        <item x="71"/>
        <item x="63"/>
        <item x="541"/>
        <item x="43"/>
        <item x="520"/>
        <item x="7"/>
        <item x="191"/>
        <item x="69"/>
        <item x="76"/>
        <item x="18"/>
        <item x="97"/>
        <item x="542"/>
        <item x="402"/>
        <item x="398"/>
        <item x="306"/>
        <item x="491"/>
        <item x="536"/>
        <item x="44"/>
        <item x="38"/>
        <item x="8"/>
        <item x="441"/>
        <item x="19"/>
        <item x="557"/>
        <item x="70"/>
        <item x="403"/>
        <item x="298"/>
        <item x="399"/>
        <item x="525"/>
        <item x="528"/>
        <item x="277"/>
        <item x="533"/>
        <item x="45"/>
        <item x="9"/>
        <item x="391"/>
        <item x="492"/>
        <item x="20"/>
        <item x="442"/>
        <item x="404"/>
        <item x="474"/>
        <item x="558"/>
        <item x="283"/>
        <item x="299"/>
        <item x="392"/>
        <item x="64"/>
        <item x="443"/>
        <item x="46"/>
        <item x="65"/>
        <item x="543"/>
        <item x="624"/>
        <item x="425"/>
        <item x="10"/>
        <item x="21"/>
        <item x="114"/>
        <item x="393"/>
        <item x="300"/>
        <item x="307"/>
        <item x="546"/>
        <item x="39"/>
        <item x="407"/>
        <item x="493"/>
        <item x="205"/>
        <item x="527"/>
        <item x="400"/>
        <item x="390"/>
        <item x="426"/>
        <item x="544"/>
        <item x="430"/>
        <item x="33"/>
        <item x="627"/>
        <item x="11"/>
        <item x="22"/>
        <item x="115"/>
        <item x="394"/>
        <item x="564"/>
        <item x="301"/>
        <item x="40"/>
        <item x="554"/>
        <item x="494"/>
        <item x="336"/>
        <item x="401"/>
        <item x="529"/>
        <item x="80"/>
        <item x="445"/>
        <item x="427"/>
        <item x="377"/>
        <item x="555"/>
        <item x="116"/>
        <item x="534"/>
        <item x="54"/>
        <item x="408"/>
        <item x="302"/>
        <item x="41"/>
        <item x="308"/>
        <item x="234"/>
        <item x="282"/>
        <item x="625"/>
        <item x="604"/>
        <item x="396"/>
        <item x="81"/>
        <item x="385"/>
        <item x="378"/>
        <item x="434"/>
        <item x="631"/>
        <item x="506"/>
        <item x="117"/>
        <item x="446"/>
        <item x="55"/>
        <item x="409"/>
        <item x="581"/>
        <item x="333"/>
        <item x="23"/>
        <item x="303"/>
        <item x="314"/>
        <item x="464"/>
        <item x="338"/>
        <item x="509"/>
        <item x="513"/>
        <item x="605"/>
        <item x="12"/>
        <item x="386"/>
        <item x="340"/>
        <item x="337"/>
        <item x="118"/>
        <item x="352"/>
        <item x="559"/>
        <item x="321"/>
        <item x="127"/>
        <item x="530"/>
        <item x="410"/>
        <item x="197"/>
        <item x="547"/>
        <item x="56"/>
        <item x="620"/>
        <item x="468"/>
        <item x="626"/>
        <item x="72"/>
        <item x="435"/>
        <item x="519"/>
        <item x="13"/>
        <item x="621"/>
        <item x="526"/>
        <item x="53"/>
        <item x="146"/>
        <item x="632"/>
        <item x="82"/>
        <item x="379"/>
        <item x="119"/>
        <item x="622"/>
        <item x="334"/>
        <item x="128"/>
        <item x="617"/>
        <item x="411"/>
        <item x="109"/>
        <item x="57"/>
        <item x="469"/>
        <item x="512"/>
        <item x="113"/>
        <item x="488"/>
        <item x="73"/>
        <item x="450"/>
        <item x="518"/>
        <item x="14"/>
        <item x="330"/>
        <item x="339"/>
        <item x="376"/>
        <item x="24"/>
        <item x="633"/>
        <item x="147"/>
        <item x="556"/>
        <item x="120"/>
        <item x="83"/>
        <item x="449"/>
        <item x="521"/>
        <item x="623"/>
        <item x="129"/>
        <item x="365"/>
        <item x="176"/>
        <item x="447"/>
        <item x="2"/>
        <item x="240"/>
        <item x="198"/>
        <item x="510"/>
        <item x="242"/>
        <item x="531"/>
        <item x="610"/>
        <item x="444"/>
        <item x="15"/>
        <item x="405"/>
        <item x="74"/>
        <item x="292"/>
        <item x="634"/>
        <item x="456"/>
        <item x="322"/>
        <item x="344"/>
        <item x="341"/>
        <item x="121"/>
        <item x="86"/>
        <item x="628"/>
        <item x="345"/>
        <item x="130"/>
        <item x="412"/>
        <item x="3"/>
        <item x="436"/>
        <item x="284"/>
        <item x="537"/>
        <item x="139"/>
        <item x="507"/>
        <item x="329"/>
        <item x="199"/>
        <item x="511"/>
        <item x="215"/>
        <item x="16"/>
        <item x="495"/>
        <item x="335"/>
        <item x="293"/>
        <item x="309"/>
        <item x="323"/>
        <item x="353"/>
        <item x="612"/>
        <item x="423"/>
        <item x="315"/>
        <item x="350"/>
        <item x="87"/>
        <item x="346"/>
        <item x="318"/>
        <item x="131"/>
        <item x="4"/>
        <item x="235"/>
        <item x="250"/>
        <item x="437"/>
        <item x="58"/>
        <item x="489"/>
        <item x="351"/>
        <item x="413"/>
        <item x="216"/>
        <item x="327"/>
        <item x="324"/>
        <item x="148"/>
        <item x="294"/>
        <item x="92"/>
        <item x="452"/>
        <item x="304"/>
        <item x="17"/>
        <item x="132"/>
        <item x="317"/>
        <item x="548"/>
        <item x="481"/>
        <item x="347"/>
        <item x="598"/>
        <item x="332"/>
        <item x="98"/>
        <item x="414"/>
        <item x="241"/>
        <item x="251"/>
        <item x="59"/>
        <item x="5"/>
        <item x="354"/>
        <item x="211"/>
        <item x="47"/>
        <item x="422"/>
        <item x="319"/>
        <item x="431"/>
        <item x="93"/>
        <item x="549"/>
        <item x="608"/>
        <item x="406"/>
        <item x="295"/>
        <item x="310"/>
        <item x="133"/>
        <item x="289"/>
        <item x="122"/>
        <item x="424"/>
        <item x="358"/>
        <item x="432"/>
        <item x="99"/>
        <item x="475"/>
        <item x="258"/>
        <item x="173"/>
        <item x="60"/>
        <item x="476"/>
        <item x="140"/>
        <item x="342"/>
        <item x="366"/>
        <item x="48"/>
        <item x="550"/>
        <item x="415"/>
        <item x="538"/>
        <item x="296"/>
        <item x="585"/>
        <item x="200"/>
        <item x="471"/>
        <item x="522"/>
        <item x="188"/>
        <item x="134"/>
        <item x="428"/>
        <item x="433"/>
        <item x="123"/>
        <item x="607"/>
        <item x="88"/>
        <item x="562"/>
        <item x="100"/>
        <item x="395"/>
        <item x="110"/>
        <item x="343"/>
        <item x="259"/>
        <item x="328"/>
        <item x="212"/>
        <item x="472"/>
        <item x="451"/>
        <item x="49"/>
        <item x="514"/>
        <item x="174"/>
        <item x="416"/>
        <item x="602"/>
        <item x="297"/>
        <item x="316"/>
        <item x="178"/>
        <item x="368"/>
        <item x="271"/>
        <item x="285"/>
        <item x="287"/>
        <item x="629"/>
        <item x="290"/>
        <item x="124"/>
        <item x="311"/>
        <item x="89"/>
        <item x="600"/>
        <item x="603"/>
        <item x="252"/>
        <item x="101"/>
        <item x="367"/>
        <item x="141"/>
        <item x="490"/>
        <item x="170"/>
        <item x="206"/>
        <item x="51"/>
        <item x="320"/>
        <item x="50"/>
        <item x="417"/>
        <item x="369"/>
        <item x="168"/>
        <item x="276"/>
        <item x="189"/>
        <item x="272"/>
        <item x="388"/>
        <item x="355"/>
        <item x="266"/>
        <item x="201"/>
        <item x="125"/>
        <item x="614"/>
        <item x="90"/>
        <item x="224"/>
        <item x="111"/>
        <item x="325"/>
        <item x="102"/>
        <item x="142"/>
        <item x="635"/>
        <item x="389"/>
        <item x="470"/>
        <item x="52"/>
        <item x="94"/>
        <item x="453"/>
        <item x="149"/>
        <item x="348"/>
        <item x="312"/>
        <item x="356"/>
        <item x="159"/>
        <item x="213"/>
        <item x="273"/>
        <item x="592"/>
        <item x="179"/>
        <item x="286"/>
        <item x="267"/>
        <item x="551"/>
        <item x="126"/>
        <item x="260"/>
        <item x="202"/>
        <item x="253"/>
        <item x="192"/>
        <item x="143"/>
        <item x="580"/>
        <item x="288"/>
        <item x="359"/>
        <item x="107"/>
        <item x="291"/>
        <item x="217"/>
        <item x="349"/>
        <item x="636"/>
        <item x="221"/>
        <item x="169"/>
        <item x="160"/>
        <item x="207"/>
        <item x="210"/>
        <item x="214"/>
        <item x="203"/>
        <item x="112"/>
        <item x="313"/>
        <item x="84"/>
        <item x="261"/>
        <item x="254"/>
        <item x="91"/>
        <item x="360"/>
        <item x="108"/>
        <item x="193"/>
        <item x="459"/>
        <item x="103"/>
        <item x="370"/>
        <item x="357"/>
        <item x="150"/>
        <item x="455"/>
        <item x="421"/>
        <item x="209"/>
        <item x="478"/>
        <item x="438"/>
        <item x="326"/>
        <item x="268"/>
        <item x="85"/>
        <item x="238"/>
        <item x="180"/>
        <item x="262"/>
        <item x="218"/>
        <item x="460"/>
        <item x="195"/>
        <item x="361"/>
        <item x="104"/>
        <item x="166"/>
        <item x="418"/>
        <item x="237"/>
        <item x="151"/>
        <item x="387"/>
        <item x="161"/>
        <item x="171"/>
        <item x="194"/>
        <item x="380"/>
        <item x="175"/>
        <item x="77"/>
        <item x="219"/>
        <item x="183"/>
        <item x="229"/>
        <item x="523"/>
        <item x="162"/>
        <item x="167"/>
        <item x="105"/>
        <item x="233"/>
        <item x="419"/>
        <item x="152"/>
        <item x="606"/>
        <item x="255"/>
        <item x="274"/>
        <item x="439"/>
        <item x="223"/>
        <item x="269"/>
        <item x="78"/>
        <item x="220"/>
        <item x="106"/>
        <item x="163"/>
        <item x="231"/>
        <item x="331"/>
        <item x="225"/>
        <item x="593"/>
        <item x="236"/>
        <item x="461"/>
        <item x="371"/>
        <item x="184"/>
        <item x="420"/>
        <item x="135"/>
        <item x="177"/>
        <item x="448"/>
        <item x="256"/>
        <item x="560"/>
        <item x="270"/>
        <item x="196"/>
        <item x="181"/>
        <item x="79"/>
        <item x="263"/>
        <item x="164"/>
        <item x="75"/>
        <item x="243"/>
        <item x="454"/>
        <item x="462"/>
        <item x="524"/>
        <item x="372"/>
        <item x="136"/>
        <item x="484"/>
        <item x="153"/>
        <item x="275"/>
        <item x="30"/>
        <item x="185"/>
        <item x="482"/>
        <item x="479"/>
        <item x="362"/>
        <item x="239"/>
        <item x="230"/>
        <item x="381"/>
        <item x="264"/>
        <item x="165"/>
        <item x="232"/>
        <item x="630"/>
        <item x="609"/>
        <item x="553"/>
        <item x="204"/>
        <item x="496"/>
        <item x="485"/>
        <item x="137"/>
        <item x="154"/>
        <item x="595"/>
        <item x="566"/>
        <item x="574"/>
        <item x="257"/>
        <item x="586"/>
        <item x="144"/>
        <item x="382"/>
        <item x="228"/>
        <item x="31"/>
        <item x="305"/>
        <item x="571"/>
        <item x="567"/>
        <item x="222"/>
        <item x="172"/>
        <item x="374"/>
        <item x="473"/>
        <item x="497"/>
        <item x="486"/>
        <item x="429"/>
        <item x="182"/>
        <item x="138"/>
        <item x="515"/>
        <item x="575"/>
        <item x="373"/>
        <item x="186"/>
        <item x="145"/>
        <item x="383"/>
        <item x="32"/>
        <item x="265"/>
        <item x="226"/>
        <item x="483"/>
        <item x="244"/>
        <item x="375"/>
        <item x="498"/>
        <item x="477"/>
        <item x="561"/>
        <item x="596"/>
        <item x="535"/>
        <item x="576"/>
        <item x="532"/>
        <item x="587"/>
        <item x="637"/>
        <item x="457"/>
        <item x="384"/>
        <item x="572"/>
        <item x="565"/>
        <item x="499"/>
        <item x="487"/>
        <item x="577"/>
        <item x="588"/>
        <item x="458"/>
        <item x="578"/>
        <item x="589"/>
        <item x="579"/>
        <item x="590"/>
        <item x="591"/>
        <item x="1"/>
        <item t="default"/>
      </items>
    </pivotField>
    <pivotField numFmtId="20" showAll="0"/>
    <pivotField showAll="0"/>
    <pivotField axis="axisPage" multipleItemSelectionAllowed="1" showAll="0">
      <items count="3">
        <item h="1" x="1"/>
        <item x="0"/>
        <item t="default"/>
      </items>
    </pivotField>
    <pivotField showAll="0">
      <items count="63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h="1" x="61"/>
        <item t="default"/>
      </items>
    </pivotField>
    <pivotField showAll="0" sortType="descending">
      <items count="27">
        <item h="1" sd="0" x="0"/>
        <item sd="0" x="1"/>
        <item sd="0" x="2"/>
        <item sd="0" x="3"/>
        <item sd="0" x="4"/>
        <item x="5"/>
        <item x="6"/>
        <item x="7"/>
        <item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h="1"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axis="axisRow" showAll="0" sortType="descending">
      <items count="27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h="1" sd="0" x="25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2">
    <field x="11"/>
    <field x="10"/>
  </rowFields>
  <rowItems count="21">
    <i>
      <x v="17"/>
    </i>
    <i>
      <x v="16"/>
    </i>
    <i>
      <x v="18"/>
    </i>
    <i>
      <x v="19"/>
    </i>
    <i>
      <x v="20"/>
    </i>
    <i>
      <x v="15"/>
    </i>
    <i>
      <x v="1"/>
    </i>
    <i>
      <x v="21"/>
    </i>
    <i>
      <x v="22"/>
    </i>
    <i>
      <x v="24"/>
    </i>
    <i>
      <x v="14"/>
    </i>
    <i>
      <x v="23"/>
    </i>
    <i>
      <x v="13"/>
    </i>
    <i>
      <x v="2"/>
    </i>
    <i>
      <x v="12"/>
    </i>
    <i>
      <x v="3"/>
    </i>
    <i>
      <x v="4"/>
    </i>
    <i>
      <x v="11"/>
    </i>
    <i>
      <x v="5"/>
    </i>
    <i>
      <x v="10"/>
    </i>
    <i t="grand">
      <x/>
    </i>
  </rowItems>
  <colItems count="1">
    <i/>
  </colItems>
  <pageFields count="1">
    <pageField fld="7" hier="-1"/>
  </pageFields>
  <dataFields count="1">
    <dataField name="Count of DATE" fld="0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440519-F09A-45FC-BAB8-D8EA7F552A85}" name="PivotTable3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40:B61" firstHeaderRow="1" firstDataRow="1" firstDataCol="1" rowPageCount="1" colPageCount="1"/>
  <pivotFields count="14">
    <pivotField dataField="1" numFmtId="165" showAll="0">
      <items count="3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3"/>
        <item x="231"/>
        <item x="232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t="default"/>
      </items>
    </pivotField>
    <pivotField showAll="0"/>
    <pivotField showAll="0"/>
    <pivotField showAll="0" sortType="descending">
      <items count="635">
        <item x="0"/>
        <item x="563"/>
        <item x="466"/>
        <item x="603"/>
        <item x="601"/>
        <item x="543"/>
        <item x="526"/>
        <item x="25"/>
        <item x="187"/>
        <item x="220"/>
        <item x="155"/>
        <item x="467"/>
        <item x="356"/>
        <item x="566"/>
        <item x="238"/>
        <item x="518"/>
        <item x="602"/>
        <item x="357"/>
        <item x="26"/>
        <item x="585"/>
        <item x="156"/>
        <item x="468"/>
        <item x="6"/>
        <item x="558"/>
        <item x="239"/>
        <item x="544"/>
        <item x="519"/>
        <item x="600"/>
        <item x="27"/>
        <item x="608"/>
        <item x="507"/>
        <item x="586"/>
        <item x="596"/>
        <item x="157"/>
        <item x="358"/>
        <item x="240"/>
        <item x="569"/>
        <item x="609"/>
        <item x="564"/>
        <item x="613"/>
        <item x="28"/>
        <item x="508"/>
        <item x="587"/>
        <item x="241"/>
        <item x="463"/>
        <item x="158"/>
        <item x="509"/>
        <item x="469"/>
        <item x="545"/>
        <item x="512"/>
        <item x="206"/>
        <item x="617"/>
        <item x="615"/>
        <item x="510"/>
        <item x="483"/>
        <item x="242"/>
        <item x="511"/>
        <item x="95"/>
        <item x="190"/>
        <item x="33"/>
        <item x="532"/>
        <item x="436"/>
        <item x="65"/>
        <item x="437"/>
        <item x="34"/>
        <item x="96"/>
        <item x="533"/>
        <item x="66"/>
        <item x="35"/>
        <item x="393"/>
        <item x="61"/>
        <item x="191"/>
        <item x="550"/>
        <item x="67"/>
        <item x="528"/>
        <item x="553"/>
        <item x="284"/>
        <item x="525"/>
        <item x="530"/>
        <item x="36"/>
        <item x="70"/>
        <item x="62"/>
        <item x="534"/>
        <item x="97"/>
        <item x="41"/>
        <item x="76"/>
        <item x="7"/>
        <item x="68"/>
        <item x="18"/>
        <item x="400"/>
        <item x="394"/>
        <item x="535"/>
        <item x="37"/>
        <item x="42"/>
        <item x="8"/>
        <item x="551"/>
        <item x="536"/>
        <item x="19"/>
        <item x="69"/>
        <item x="401"/>
        <item x="559"/>
        <item x="523"/>
        <item x="279"/>
        <item x="298"/>
        <item x="273"/>
        <item x="64"/>
        <item x="43"/>
        <item x="499"/>
        <item x="9"/>
        <item x="391"/>
        <item x="20"/>
        <item x="552"/>
        <item x="402"/>
        <item x="395"/>
        <item x="438"/>
        <item x="292"/>
        <item x="527"/>
        <item x="63"/>
        <item x="624"/>
        <item x="203"/>
        <item x="44"/>
        <item x="194"/>
        <item x="10"/>
        <item x="285"/>
        <item x="425"/>
        <item x="299"/>
        <item x="21"/>
        <item x="113"/>
        <item x="392"/>
        <item x="293"/>
        <item x="38"/>
        <item x="500"/>
        <item x="423"/>
        <item x="396"/>
        <item x="389"/>
        <item x="407"/>
        <item x="422"/>
        <item x="537"/>
        <item x="23"/>
        <item x="560"/>
        <item x="32"/>
        <item x="11"/>
        <item x="22"/>
        <item x="114"/>
        <item x="45"/>
        <item x="294"/>
        <item x="39"/>
        <item x="497"/>
        <item x="547"/>
        <item x="324"/>
        <item x="274"/>
        <item x="397"/>
        <item x="604"/>
        <item x="538"/>
        <item x="80"/>
        <item x="440"/>
        <item x="12"/>
        <item x="304"/>
        <item x="430"/>
        <item x="554"/>
        <item x="115"/>
        <item x="226"/>
        <item x="539"/>
        <item x="54"/>
        <item x="300"/>
        <item x="439"/>
        <item x="295"/>
        <item x="40"/>
        <item x="435"/>
        <item x="501"/>
        <item x="359"/>
        <item x="441"/>
        <item x="605"/>
        <item x="398"/>
        <item x="81"/>
        <item x="628"/>
        <item x="383"/>
        <item x="277"/>
        <item x="116"/>
        <item x="334"/>
        <item x="312"/>
        <item x="557"/>
        <item x="445"/>
        <item x="408"/>
        <item x="328"/>
        <item x="55"/>
        <item x="386"/>
        <item x="584"/>
        <item x="71"/>
        <item x="296"/>
        <item x="548"/>
        <item x="52"/>
        <item x="399"/>
        <item x="360"/>
        <item x="197"/>
        <item x="517"/>
        <item x="606"/>
        <item x="82"/>
        <item x="310"/>
        <item x="376"/>
        <item x="117"/>
        <item x="301"/>
        <item x="227"/>
        <item x="555"/>
        <item x="126"/>
        <item x="276"/>
        <item x="318"/>
        <item x="56"/>
        <item x="297"/>
        <item x="175"/>
        <item x="464"/>
        <item x="53"/>
        <item x="72"/>
        <item x="567"/>
        <item x="278"/>
        <item x="521"/>
        <item x="549"/>
        <item x="13"/>
        <item x="620"/>
        <item x="623"/>
        <item x="322"/>
        <item x="145"/>
        <item x="449"/>
        <item x="83"/>
        <item x="377"/>
        <item x="514"/>
        <item x="118"/>
        <item x="621"/>
        <item x="520"/>
        <item x="540"/>
        <item x="127"/>
        <item x="335"/>
        <item x="409"/>
        <item x="313"/>
        <item x="109"/>
        <item x="57"/>
        <item x="325"/>
        <item x="446"/>
        <item x="112"/>
        <item x="73"/>
        <item x="522"/>
        <item x="14"/>
        <item x="361"/>
        <item x="24"/>
        <item x="329"/>
        <item x="263"/>
        <item x="629"/>
        <item x="146"/>
        <item x="269"/>
        <item x="176"/>
        <item x="119"/>
        <item x="84"/>
        <item x="443"/>
        <item x="317"/>
        <item x="622"/>
        <item x="128"/>
        <item x="404"/>
        <item x="452"/>
        <item x="343"/>
        <item x="2"/>
        <item x="431"/>
        <item x="470"/>
        <item x="541"/>
        <item x="234"/>
        <item x="561"/>
        <item x="362"/>
        <item x="498"/>
        <item x="15"/>
        <item x="326"/>
        <item x="405"/>
        <item x="74"/>
        <item x="286"/>
        <item x="630"/>
        <item x="302"/>
        <item x="147"/>
        <item x="218"/>
        <item x="120"/>
        <item x="87"/>
        <item x="339"/>
        <item x="129"/>
        <item x="410"/>
        <item x="3"/>
        <item x="306"/>
        <item x="323"/>
        <item x="198"/>
        <item x="524"/>
        <item x="138"/>
        <item x="515"/>
        <item x="580"/>
        <item x="210"/>
        <item x="448"/>
        <item x="16"/>
        <item x="450"/>
        <item x="459"/>
        <item x="287"/>
        <item x="121"/>
        <item x="531"/>
        <item x="616"/>
        <item x="305"/>
        <item x="588"/>
        <item x="130"/>
        <item x="88"/>
        <item x="411"/>
        <item x="148"/>
        <item x="350"/>
        <item x="233"/>
        <item x="4"/>
        <item x="476"/>
        <item x="243"/>
        <item x="447"/>
        <item x="315"/>
        <item x="58"/>
        <item x="336"/>
        <item x="314"/>
        <item x="581"/>
        <item x="412"/>
        <item x="188"/>
        <item x="494"/>
        <item x="331"/>
        <item x="321"/>
        <item x="502"/>
        <item x="288"/>
        <item x="17"/>
        <item x="455"/>
        <item x="131"/>
        <item x="342"/>
        <item x="338"/>
        <item x="340"/>
        <item x="432"/>
        <item x="98"/>
        <item x="307"/>
        <item x="5"/>
        <item x="480"/>
        <item x="199"/>
        <item x="59"/>
        <item x="485"/>
        <item x="332"/>
        <item x="495"/>
        <item x="413"/>
        <item x="46"/>
        <item x="319"/>
        <item x="257"/>
        <item x="93"/>
        <item x="426"/>
        <item x="403"/>
        <item x="330"/>
        <item x="611"/>
        <item x="406"/>
        <item x="327"/>
        <item x="479"/>
        <item x="132"/>
        <item x="568"/>
        <item x="363"/>
        <item x="122"/>
        <item x="351"/>
        <item x="244"/>
        <item x="99"/>
        <item x="477"/>
        <item x="252"/>
        <item x="516"/>
        <item x="60"/>
        <item x="139"/>
        <item x="427"/>
        <item x="47"/>
        <item x="282"/>
        <item x="271"/>
        <item x="414"/>
        <item x="204"/>
        <item x="496"/>
        <item x="612"/>
        <item x="316"/>
        <item x="364"/>
        <item x="251"/>
        <item x="344"/>
        <item x="133"/>
        <item x="308"/>
        <item x="428"/>
        <item x="123"/>
        <item x="311"/>
        <item x="89"/>
        <item x="100"/>
        <item x="283"/>
        <item x="140"/>
        <item x="478"/>
        <item x="337"/>
        <item x="471"/>
        <item x="110"/>
        <item x="345"/>
        <item x="48"/>
        <item x="542"/>
        <item x="415"/>
        <item x="219"/>
        <item x="289"/>
        <item x="456"/>
        <item x="200"/>
        <item x="474"/>
        <item x="281"/>
        <item x="264"/>
        <item x="192"/>
        <item x="309"/>
        <item x="268"/>
        <item x="429"/>
        <item x="124"/>
        <item x="90"/>
        <item x="189"/>
        <item x="366"/>
        <item x="245"/>
        <item x="101"/>
        <item x="167"/>
        <item x="365"/>
        <item x="111"/>
        <item x="472"/>
        <item x="346"/>
        <item x="50"/>
        <item x="442"/>
        <item x="49"/>
        <item x="416"/>
        <item x="367"/>
        <item x="290"/>
        <item x="384"/>
        <item x="208"/>
        <item x="265"/>
        <item x="179"/>
        <item x="387"/>
        <item x="513"/>
        <item x="258"/>
        <item x="125"/>
        <item x="618"/>
        <item x="91"/>
        <item x="174"/>
        <item x="102"/>
        <item x="141"/>
        <item x="473"/>
        <item x="51"/>
        <item x="177"/>
        <item x="94"/>
        <item x="149"/>
        <item x="205"/>
        <item x="625"/>
        <item x="169"/>
        <item x="280"/>
        <item x="347"/>
        <item x="159"/>
        <item x="266"/>
        <item x="626"/>
        <item x="352"/>
        <item x="216"/>
        <item x="221"/>
        <item x="222"/>
        <item x="619"/>
        <item x="103"/>
        <item x="168"/>
        <item x="92"/>
        <item x="142"/>
        <item x="272"/>
        <item x="291"/>
        <item x="150"/>
        <item x="107"/>
        <item x="631"/>
        <item x="211"/>
        <item x="225"/>
        <item x="582"/>
        <item x="303"/>
        <item x="348"/>
        <item x="160"/>
        <item x="458"/>
        <item x="259"/>
        <item x="481"/>
        <item x="209"/>
        <item x="444"/>
        <item x="275"/>
        <item x="85"/>
        <item x="183"/>
        <item x="246"/>
        <item x="193"/>
        <item x="201"/>
        <item x="484"/>
        <item x="212"/>
        <item x="108"/>
        <item x="475"/>
        <item x="230"/>
        <item x="385"/>
        <item x="341"/>
        <item x="368"/>
        <item x="195"/>
        <item x="349"/>
        <item x="161"/>
        <item x="451"/>
        <item x="420"/>
        <item x="217"/>
        <item x="417"/>
        <item x="170"/>
        <item x="388"/>
        <item x="247"/>
        <item x="503"/>
        <item x="86"/>
        <item x="583"/>
        <item x="565"/>
        <item x="253"/>
        <item x="433"/>
        <item x="353"/>
        <item x="104"/>
        <item x="457"/>
        <item x="172"/>
        <item x="231"/>
        <item x="151"/>
        <item x="607"/>
        <item x="180"/>
        <item x="223"/>
        <item x="162"/>
        <item x="482"/>
        <item x="260"/>
        <item x="267"/>
        <item x="77"/>
        <item x="213"/>
        <item x="333"/>
        <item x="178"/>
        <item x="595"/>
        <item x="207"/>
        <item x="460"/>
        <item x="105"/>
        <item x="354"/>
        <item x="418"/>
        <item x="196"/>
        <item x="152"/>
        <item x="486"/>
        <item x="163"/>
        <item x="228"/>
        <item x="248"/>
        <item x="434"/>
        <item x="320"/>
        <item x="421"/>
        <item x="261"/>
        <item x="78"/>
        <item x="214"/>
        <item x="164"/>
        <item x="270"/>
        <item x="184"/>
        <item x="461"/>
        <item x="181"/>
        <item x="106"/>
        <item x="419"/>
        <item x="134"/>
        <item x="614"/>
        <item x="224"/>
        <item x="171"/>
        <item x="249"/>
        <item x="610"/>
        <item x="215"/>
        <item x="75"/>
        <item x="202"/>
        <item x="79"/>
        <item x="254"/>
        <item x="165"/>
        <item x="562"/>
        <item x="627"/>
        <item x="232"/>
        <item x="371"/>
        <item x="462"/>
        <item x="378"/>
        <item x="229"/>
        <item x="390"/>
        <item x="135"/>
        <item x="153"/>
        <item x="487"/>
        <item x="185"/>
        <item x="29"/>
        <item x="372"/>
        <item x="355"/>
        <item x="262"/>
        <item x="379"/>
        <item x="255"/>
        <item x="489"/>
        <item x="166"/>
        <item x="424"/>
        <item x="235"/>
        <item x="182"/>
        <item x="369"/>
        <item x="546"/>
        <item x="373"/>
        <item x="504"/>
        <item x="490"/>
        <item x="136"/>
        <item x="598"/>
        <item x="154"/>
        <item x="186"/>
        <item x="529"/>
        <item x="250"/>
        <item x="589"/>
        <item x="143"/>
        <item x="380"/>
        <item x="30"/>
        <item x="570"/>
        <item x="236"/>
        <item x="374"/>
        <item x="173"/>
        <item x="488"/>
        <item x="491"/>
        <item x="632"/>
        <item x="137"/>
        <item x="574"/>
        <item x="370"/>
        <item x="465"/>
        <item x="556"/>
        <item x="144"/>
        <item x="381"/>
        <item x="31"/>
        <item x="256"/>
        <item x="571"/>
        <item x="597"/>
        <item x="237"/>
        <item x="375"/>
        <item x="505"/>
        <item x="492"/>
        <item x="599"/>
        <item x="575"/>
        <item x="590"/>
        <item x="633"/>
        <item x="453"/>
        <item x="382"/>
        <item x="572"/>
        <item x="506"/>
        <item x="493"/>
        <item x="576"/>
        <item x="591"/>
        <item x="454"/>
        <item x="573"/>
        <item x="577"/>
        <item x="592"/>
        <item x="578"/>
        <item x="593"/>
        <item x="579"/>
        <item x="594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639">
        <item x="278"/>
        <item x="61"/>
        <item x="465"/>
        <item x="279"/>
        <item x="29"/>
        <item x="599"/>
        <item x="245"/>
        <item x="25"/>
        <item x="42"/>
        <item x="615"/>
        <item x="155"/>
        <item x="466"/>
        <item x="280"/>
        <item x="227"/>
        <item x="187"/>
        <item x="601"/>
        <item x="516"/>
        <item x="618"/>
        <item x="363"/>
        <item x="26"/>
        <item x="582"/>
        <item x="156"/>
        <item x="517"/>
        <item x="467"/>
        <item x="508"/>
        <item x="281"/>
        <item x="246"/>
        <item x="568"/>
        <item x="6"/>
        <item x="27"/>
        <item x="500"/>
        <item x="583"/>
        <item x="616"/>
        <item x="157"/>
        <item x="573"/>
        <item x="0"/>
        <item x="247"/>
        <item x="619"/>
        <item x="594"/>
        <item x="570"/>
        <item x="28"/>
        <item x="501"/>
        <item x="584"/>
        <item x="364"/>
        <item x="248"/>
        <item x="502"/>
        <item x="158"/>
        <item x="463"/>
        <item x="597"/>
        <item x="613"/>
        <item x="503"/>
        <item x="208"/>
        <item x="552"/>
        <item x="611"/>
        <item x="545"/>
        <item x="569"/>
        <item x="504"/>
        <item x="249"/>
        <item x="563"/>
        <item x="480"/>
        <item x="505"/>
        <item x="95"/>
        <item x="440"/>
        <item x="34"/>
        <item x="539"/>
        <item x="66"/>
        <item x="35"/>
        <item x="540"/>
        <item x="190"/>
        <item x="67"/>
        <item x="96"/>
        <item x="36"/>
        <item x="397"/>
        <item x="62"/>
        <item x="68"/>
        <item x="37"/>
        <item x="71"/>
        <item x="63"/>
        <item x="541"/>
        <item x="43"/>
        <item x="520"/>
        <item x="7"/>
        <item x="191"/>
        <item x="69"/>
        <item x="76"/>
        <item x="18"/>
        <item x="97"/>
        <item x="542"/>
        <item x="402"/>
        <item x="398"/>
        <item x="306"/>
        <item x="491"/>
        <item x="536"/>
        <item x="44"/>
        <item x="38"/>
        <item x="8"/>
        <item x="441"/>
        <item x="19"/>
        <item x="557"/>
        <item x="70"/>
        <item x="403"/>
        <item x="298"/>
        <item x="399"/>
        <item x="525"/>
        <item x="528"/>
        <item x="277"/>
        <item x="533"/>
        <item x="45"/>
        <item x="9"/>
        <item x="391"/>
        <item x="492"/>
        <item x="20"/>
        <item x="442"/>
        <item x="404"/>
        <item x="474"/>
        <item x="558"/>
        <item x="283"/>
        <item x="299"/>
        <item x="392"/>
        <item x="64"/>
        <item x="443"/>
        <item x="46"/>
        <item x="65"/>
        <item x="543"/>
        <item x="624"/>
        <item x="425"/>
        <item x="10"/>
        <item x="21"/>
        <item x="114"/>
        <item x="393"/>
        <item x="300"/>
        <item x="307"/>
        <item x="546"/>
        <item x="39"/>
        <item x="407"/>
        <item x="493"/>
        <item x="205"/>
        <item x="527"/>
        <item x="400"/>
        <item x="390"/>
        <item x="426"/>
        <item x="544"/>
        <item x="430"/>
        <item x="33"/>
        <item x="627"/>
        <item x="11"/>
        <item x="22"/>
        <item x="115"/>
        <item x="394"/>
        <item x="564"/>
        <item x="301"/>
        <item x="40"/>
        <item x="554"/>
        <item x="494"/>
        <item x="336"/>
        <item x="401"/>
        <item x="529"/>
        <item x="80"/>
        <item x="445"/>
        <item x="427"/>
        <item x="377"/>
        <item x="555"/>
        <item x="116"/>
        <item x="534"/>
        <item x="54"/>
        <item x="408"/>
        <item x="302"/>
        <item x="41"/>
        <item x="308"/>
        <item x="234"/>
        <item x="282"/>
        <item x="625"/>
        <item x="604"/>
        <item x="396"/>
        <item x="81"/>
        <item x="385"/>
        <item x="378"/>
        <item x="434"/>
        <item x="631"/>
        <item x="506"/>
        <item x="117"/>
        <item x="446"/>
        <item x="55"/>
        <item x="409"/>
        <item x="581"/>
        <item x="333"/>
        <item x="23"/>
        <item x="303"/>
        <item x="314"/>
        <item x="464"/>
        <item x="338"/>
        <item x="509"/>
        <item x="513"/>
        <item x="605"/>
        <item x="12"/>
        <item x="386"/>
        <item x="340"/>
        <item x="337"/>
        <item x="118"/>
        <item x="352"/>
        <item x="559"/>
        <item x="321"/>
        <item x="127"/>
        <item x="530"/>
        <item x="410"/>
        <item x="197"/>
        <item x="547"/>
        <item x="56"/>
        <item x="620"/>
        <item x="468"/>
        <item x="626"/>
        <item x="72"/>
        <item x="435"/>
        <item x="519"/>
        <item x="13"/>
        <item x="621"/>
        <item x="526"/>
        <item x="53"/>
        <item x="146"/>
        <item x="632"/>
        <item x="82"/>
        <item x="379"/>
        <item x="119"/>
        <item x="622"/>
        <item x="334"/>
        <item x="128"/>
        <item x="617"/>
        <item x="411"/>
        <item x="109"/>
        <item x="57"/>
        <item x="469"/>
        <item x="512"/>
        <item x="113"/>
        <item x="488"/>
        <item x="73"/>
        <item x="450"/>
        <item x="518"/>
        <item x="14"/>
        <item x="330"/>
        <item x="339"/>
        <item x="376"/>
        <item x="24"/>
        <item x="633"/>
        <item x="147"/>
        <item x="556"/>
        <item x="120"/>
        <item x="83"/>
        <item x="449"/>
        <item x="521"/>
        <item x="623"/>
        <item x="129"/>
        <item x="365"/>
        <item x="176"/>
        <item x="447"/>
        <item x="2"/>
        <item x="240"/>
        <item x="198"/>
        <item x="510"/>
        <item x="242"/>
        <item x="531"/>
        <item x="610"/>
        <item x="444"/>
        <item x="15"/>
        <item x="405"/>
        <item x="74"/>
        <item x="292"/>
        <item x="634"/>
        <item x="456"/>
        <item x="322"/>
        <item x="344"/>
        <item x="341"/>
        <item x="121"/>
        <item x="86"/>
        <item x="628"/>
        <item x="345"/>
        <item x="130"/>
        <item x="412"/>
        <item x="3"/>
        <item x="436"/>
        <item x="284"/>
        <item x="537"/>
        <item x="139"/>
        <item x="507"/>
        <item x="329"/>
        <item x="199"/>
        <item x="511"/>
        <item x="215"/>
        <item x="16"/>
        <item x="495"/>
        <item x="335"/>
        <item x="293"/>
        <item x="309"/>
        <item x="323"/>
        <item x="353"/>
        <item x="612"/>
        <item x="423"/>
        <item x="315"/>
        <item x="350"/>
        <item x="87"/>
        <item x="346"/>
        <item x="318"/>
        <item x="131"/>
        <item x="4"/>
        <item x="235"/>
        <item x="250"/>
        <item x="437"/>
        <item x="58"/>
        <item x="489"/>
        <item x="351"/>
        <item x="413"/>
        <item x="216"/>
        <item x="327"/>
        <item x="324"/>
        <item x="148"/>
        <item x="294"/>
        <item x="92"/>
        <item x="452"/>
        <item x="304"/>
        <item x="17"/>
        <item x="132"/>
        <item x="317"/>
        <item x="548"/>
        <item x="481"/>
        <item x="347"/>
        <item x="598"/>
        <item x="332"/>
        <item x="98"/>
        <item x="414"/>
        <item x="241"/>
        <item x="251"/>
        <item x="59"/>
        <item x="5"/>
        <item x="354"/>
        <item x="211"/>
        <item x="47"/>
        <item x="422"/>
        <item x="319"/>
        <item x="431"/>
        <item x="93"/>
        <item x="549"/>
        <item x="608"/>
        <item x="406"/>
        <item x="295"/>
        <item x="310"/>
        <item x="133"/>
        <item x="289"/>
        <item x="122"/>
        <item x="424"/>
        <item x="358"/>
        <item x="432"/>
        <item x="99"/>
        <item x="475"/>
        <item x="258"/>
        <item x="173"/>
        <item x="60"/>
        <item x="476"/>
        <item x="140"/>
        <item x="342"/>
        <item x="366"/>
        <item x="48"/>
        <item x="550"/>
        <item x="415"/>
        <item x="538"/>
        <item x="296"/>
        <item x="585"/>
        <item x="200"/>
        <item x="471"/>
        <item x="522"/>
        <item x="188"/>
        <item x="134"/>
        <item x="428"/>
        <item x="433"/>
        <item x="123"/>
        <item x="607"/>
        <item x="88"/>
        <item x="562"/>
        <item x="100"/>
        <item x="395"/>
        <item x="110"/>
        <item x="343"/>
        <item x="259"/>
        <item x="328"/>
        <item x="212"/>
        <item x="472"/>
        <item x="451"/>
        <item x="49"/>
        <item x="514"/>
        <item x="174"/>
        <item x="416"/>
        <item x="602"/>
        <item x="297"/>
        <item x="316"/>
        <item x="178"/>
        <item x="368"/>
        <item x="271"/>
        <item x="285"/>
        <item x="287"/>
        <item x="629"/>
        <item x="290"/>
        <item x="124"/>
        <item x="311"/>
        <item x="89"/>
        <item x="600"/>
        <item x="603"/>
        <item x="252"/>
        <item x="101"/>
        <item x="367"/>
        <item x="141"/>
        <item x="490"/>
        <item x="170"/>
        <item x="206"/>
        <item x="51"/>
        <item x="320"/>
        <item x="50"/>
        <item x="417"/>
        <item x="369"/>
        <item x="168"/>
        <item x="276"/>
        <item x="189"/>
        <item x="272"/>
        <item x="388"/>
        <item x="355"/>
        <item x="266"/>
        <item x="201"/>
        <item x="125"/>
        <item x="614"/>
        <item x="90"/>
        <item x="224"/>
        <item x="111"/>
        <item x="325"/>
        <item x="102"/>
        <item x="142"/>
        <item x="635"/>
        <item x="389"/>
        <item x="470"/>
        <item x="52"/>
        <item x="94"/>
        <item x="453"/>
        <item x="149"/>
        <item x="348"/>
        <item x="312"/>
        <item x="356"/>
        <item x="159"/>
        <item x="213"/>
        <item x="273"/>
        <item x="592"/>
        <item x="179"/>
        <item x="286"/>
        <item x="267"/>
        <item x="551"/>
        <item x="126"/>
        <item x="260"/>
        <item x="202"/>
        <item x="253"/>
        <item x="192"/>
        <item x="143"/>
        <item x="580"/>
        <item x="288"/>
        <item x="359"/>
        <item x="107"/>
        <item x="291"/>
        <item x="217"/>
        <item x="349"/>
        <item x="636"/>
        <item x="221"/>
        <item x="169"/>
        <item x="160"/>
        <item x="207"/>
        <item x="210"/>
        <item x="214"/>
        <item x="203"/>
        <item x="112"/>
        <item x="313"/>
        <item x="84"/>
        <item x="261"/>
        <item x="254"/>
        <item x="91"/>
        <item x="360"/>
        <item x="108"/>
        <item x="193"/>
        <item x="459"/>
        <item x="103"/>
        <item x="370"/>
        <item x="357"/>
        <item x="150"/>
        <item x="455"/>
        <item x="421"/>
        <item x="209"/>
        <item x="478"/>
        <item x="438"/>
        <item x="326"/>
        <item x="268"/>
        <item x="85"/>
        <item x="238"/>
        <item x="180"/>
        <item x="262"/>
        <item x="218"/>
        <item x="460"/>
        <item x="195"/>
        <item x="361"/>
        <item x="104"/>
        <item x="166"/>
        <item x="418"/>
        <item x="237"/>
        <item x="151"/>
        <item x="387"/>
        <item x="161"/>
        <item x="171"/>
        <item x="194"/>
        <item x="380"/>
        <item x="175"/>
        <item x="77"/>
        <item x="219"/>
        <item x="183"/>
        <item x="229"/>
        <item x="523"/>
        <item x="162"/>
        <item x="167"/>
        <item x="105"/>
        <item x="233"/>
        <item x="419"/>
        <item x="152"/>
        <item x="606"/>
        <item x="255"/>
        <item x="274"/>
        <item x="439"/>
        <item x="223"/>
        <item x="269"/>
        <item x="78"/>
        <item x="220"/>
        <item x="106"/>
        <item x="163"/>
        <item x="231"/>
        <item x="331"/>
        <item x="225"/>
        <item x="593"/>
        <item x="236"/>
        <item x="461"/>
        <item x="371"/>
        <item x="184"/>
        <item x="420"/>
        <item x="135"/>
        <item x="177"/>
        <item x="448"/>
        <item x="256"/>
        <item x="560"/>
        <item x="270"/>
        <item x="196"/>
        <item x="181"/>
        <item x="79"/>
        <item x="263"/>
        <item x="164"/>
        <item x="75"/>
        <item x="243"/>
        <item x="454"/>
        <item x="462"/>
        <item x="524"/>
        <item x="372"/>
        <item x="136"/>
        <item x="484"/>
        <item x="153"/>
        <item x="275"/>
        <item x="30"/>
        <item x="185"/>
        <item x="482"/>
        <item x="479"/>
        <item x="362"/>
        <item x="239"/>
        <item x="230"/>
        <item x="381"/>
        <item x="264"/>
        <item x="165"/>
        <item x="232"/>
        <item x="630"/>
        <item x="609"/>
        <item x="553"/>
        <item x="204"/>
        <item x="496"/>
        <item x="485"/>
        <item x="137"/>
        <item x="154"/>
        <item x="595"/>
        <item x="566"/>
        <item x="574"/>
        <item x="257"/>
        <item x="586"/>
        <item x="144"/>
        <item x="382"/>
        <item x="228"/>
        <item x="31"/>
        <item x="305"/>
        <item x="571"/>
        <item x="567"/>
        <item x="222"/>
        <item x="172"/>
        <item x="374"/>
        <item x="473"/>
        <item x="497"/>
        <item x="486"/>
        <item x="429"/>
        <item x="182"/>
        <item x="138"/>
        <item x="515"/>
        <item x="575"/>
        <item x="373"/>
        <item x="186"/>
        <item x="145"/>
        <item x="383"/>
        <item x="32"/>
        <item x="265"/>
        <item x="226"/>
        <item x="483"/>
        <item x="244"/>
        <item x="375"/>
        <item x="498"/>
        <item x="477"/>
        <item x="561"/>
        <item x="596"/>
        <item x="535"/>
        <item x="576"/>
        <item x="532"/>
        <item x="587"/>
        <item x="637"/>
        <item x="457"/>
        <item x="384"/>
        <item x="572"/>
        <item x="565"/>
        <item x="499"/>
        <item x="487"/>
        <item x="577"/>
        <item x="588"/>
        <item x="458"/>
        <item x="578"/>
        <item x="589"/>
        <item x="579"/>
        <item x="590"/>
        <item x="591"/>
        <item x="1"/>
        <item t="default"/>
      </items>
    </pivotField>
    <pivotField numFmtId="20" showAll="0"/>
    <pivotField showAll="0"/>
    <pivotField axis="axisPage" multipleItemSelectionAllowed="1" showAll="0">
      <items count="3">
        <item h="1" x="1"/>
        <item x="0"/>
        <item t="default"/>
      </items>
    </pivotField>
    <pivotField axis="axisRow" showAll="0">
      <items count="63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h="1" x="61"/>
        <item t="default"/>
      </items>
    </pivotField>
    <pivotField axis="axisRow" showAll="0" sortType="descending">
      <items count="27">
        <item h="1" sd="0" x="0"/>
        <item sd="0" x="1"/>
        <item sd="0" x="2"/>
        <item sd="0" x="3"/>
        <item sd="0" x="4"/>
        <item x="5"/>
        <item x="6"/>
        <item x="7"/>
        <item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h="1"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2">
    <field x="9"/>
    <field x="8"/>
  </rowFields>
  <rowItems count="21">
    <i>
      <x v="17"/>
    </i>
    <i>
      <x v="16"/>
    </i>
    <i>
      <x v="18"/>
    </i>
    <i>
      <x v="19"/>
    </i>
    <i>
      <x v="15"/>
    </i>
    <i>
      <x v="20"/>
    </i>
    <i>
      <x v="14"/>
    </i>
    <i>
      <x v="23"/>
    </i>
    <i>
      <x v="22"/>
    </i>
    <i>
      <x v="21"/>
    </i>
    <i>
      <x v="13"/>
    </i>
    <i>
      <x v="24"/>
    </i>
    <i>
      <x v="1"/>
    </i>
    <i>
      <x v="12"/>
    </i>
    <i>
      <x v="2"/>
    </i>
    <i>
      <x v="11"/>
    </i>
    <i>
      <x v="3"/>
    </i>
    <i>
      <x v="10"/>
    </i>
    <i>
      <x v="4"/>
    </i>
    <i>
      <x v="9"/>
    </i>
    <i t="grand">
      <x/>
    </i>
  </rowItems>
  <colItems count="1">
    <i/>
  </colItems>
  <pageFields count="1">
    <pageField fld="7" hier="-1"/>
  </pageFields>
  <dataFields count="1">
    <dataField name="Count of DATE" fld="0" subtotal="count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15BEDC-CF31-45B6-9B22-4A7AFD756324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5">
  <location ref="A5:I31" firstHeaderRow="1" firstDataRow="2" firstDataCol="1" rowPageCount="1" colPageCount="1"/>
  <pivotFields count="8">
    <pivotField numFmtId="165" showAll="0" defaultSubtotal="0"/>
    <pivotField axis="axisRow" showAll="0">
      <items count="13">
        <item x="4"/>
        <item x="5"/>
        <item x="6"/>
        <item x="7"/>
        <item x="8"/>
        <item x="9"/>
        <item x="10"/>
        <item x="11"/>
        <item x="0"/>
        <item x="1"/>
        <item x="2"/>
        <item x="3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numFmtId="20" showAll="0"/>
    <pivotField axis="axisCol" showAll="0">
      <items count="11">
        <item h="1" x="4"/>
        <item x="6"/>
        <item x="0"/>
        <item x="5"/>
        <item x="1"/>
        <item x="3"/>
        <item x="2"/>
        <item x="7"/>
        <item h="1" m="1" x="8"/>
        <item h="1" m="1" x="9"/>
        <item t="default"/>
      </items>
    </pivotField>
    <pivotField axis="axisPage" multipleItemSelectionAllowed="1" showAll="0">
      <items count="4">
        <item h="1" x="1"/>
        <item x="0"/>
        <item m="1" x="2"/>
        <item t="default"/>
      </items>
    </pivotField>
  </pivotFields>
  <rowFields count="2">
    <field x="2"/>
    <field x="1"/>
  </rowFields>
  <rowItems count="25">
    <i>
      <x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t="grand">
      <x/>
    </i>
  </rowItems>
  <colFields count="1">
    <field x="6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pageFields count="1">
    <pageField fld="7" hier="-1"/>
  </pageFields>
  <dataFields count="1">
    <dataField name="Sum of DURATION" fld="5" baseField="0" baseItem="327" numFmtId="169"/>
  </dataFields>
  <formats count="2">
    <format dxfId="5">
      <pivotArea grandRow="1"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80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5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5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5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7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7" format="1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7" format="1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7" format="2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9" format="2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9" format="2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9" format="3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9" format="3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9" format="3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9" format="3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9" format="3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10" format="3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3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3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0" format="3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10" format="3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10" format="4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10" format="4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14" format="5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5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5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4" format="5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14" format="6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14" format="6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14" format="6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16" format="7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6" format="7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6" format="7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6" format="7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16" format="7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16" format="7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16" format="7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23" format="7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3" format="7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3" format="7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3" format="7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23" format="7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23" format="7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23" format="7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24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4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4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4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24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24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24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C41F7F-6CB9-4097-A748-D2255D3A93FC}" name="AutoPomodoro" displayName="AutoPomodoro" ref="A1:H1662" totalsRowShown="0" headerRowDxfId="13">
  <autoFilter ref="A1:H1662" xr:uid="{49C41F7F-6CB9-4097-A748-D2255D3A93FC}"/>
  <tableColumns count="8">
    <tableColumn id="1" xr3:uid="{65C5510F-602F-4E56-9BD9-8B0654E279FB}" name="DATE" dataDxfId="12"/>
    <tableColumn id="6" xr3:uid="{D51D96B6-6E56-4DBC-9A81-B38C7C7DCA77}" name="MONTH" dataDxfId="11">
      <calculatedColumnFormula>TEXT(AutoPomodoro[[#This Row],[DATE]],"mmmm")</calculatedColumnFormula>
    </tableColumn>
    <tableColumn id="8" xr3:uid="{1705E6FE-4BFE-4418-A4CE-9CB0E24DE5A1}" name="YEAR" dataDxfId="10">
      <calculatedColumnFormula>TEXT(AutoPomodoro[[#This Row],[DATE]],"yyyy")</calculatedColumnFormula>
    </tableColumn>
    <tableColumn id="2" xr3:uid="{8E8F4C04-AAA3-427D-8692-CD4F806ABFE3}" name="STARTING TIME" dataDxfId="9" totalsRowDxfId="8"/>
    <tableColumn id="3" xr3:uid="{E55F7357-13BE-483B-B243-5A02A6FECDD5}" name="ENDING TIME" dataDxfId="7" totalsRowDxfId="6">
      <calculatedColumnFormula>D2+$T$15</calculatedColumnFormula>
    </tableColumn>
    <tableColumn id="4" xr3:uid="{66F19162-9BDA-4397-8855-A8A6C15F8553}" name="DURATION">
      <calculatedColumnFormula>E2-D2</calculatedColumnFormula>
    </tableColumn>
    <tableColumn id="5" xr3:uid="{28CEDF24-5801-4CDE-80F0-0A710FB43B67}" name="COURSE"/>
    <tableColumn id="7" xr3:uid="{93073974-3696-4B60-907C-6B74F0207A36}" name="RESULT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2509BA-839D-42A0-B182-76821112895B}" name="Table2" displayName="Table2" ref="D119:E144" totalsRowShown="0">
  <autoFilter ref="D119:E144" xr:uid="{222509BA-839D-42A0-B182-76821112895B}"/>
  <tableColumns count="2">
    <tableColumn id="1" xr3:uid="{2A687828-44AE-4F94-BF00-9CB293576379}" name="DATES" dataDxfId="1"/>
    <tableColumn id="2" xr3:uid="{6AA59A5D-3F55-49AE-9611-EEEEEB183CC4}" name="Sum of Duration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C2521-983E-4317-9144-696B14AB93E0}">
  <sheetPr codeName="Sheet5"/>
  <dimension ref="A1:U1681"/>
  <sheetViews>
    <sheetView tabSelected="1" zoomScale="106" zoomScaleNormal="106" workbookViewId="0">
      <pane ySplit="1" topLeftCell="A2" activePane="bottomLeft" state="frozen"/>
      <selection pane="bottomLeft" activeCell="I1668" sqref="I1668"/>
    </sheetView>
  </sheetViews>
  <sheetFormatPr defaultRowHeight="14.4" x14ac:dyDescent="0.3"/>
  <cols>
    <col min="1" max="1" width="15.88671875" bestFit="1" customWidth="1"/>
    <col min="2" max="3" width="15.88671875" customWidth="1"/>
    <col min="4" max="4" width="18.109375" customWidth="1"/>
    <col min="5" max="5" width="12.5546875" customWidth="1"/>
    <col min="6" max="6" width="20.33203125" bestFit="1" customWidth="1"/>
    <col min="7" max="7" width="19.77734375" customWidth="1"/>
    <col min="8" max="8" width="12.6640625" bestFit="1" customWidth="1"/>
    <col min="9" max="9" width="15.33203125" bestFit="1" customWidth="1"/>
    <col min="10" max="10" width="16.6640625" bestFit="1" customWidth="1"/>
    <col min="11" max="11" width="12.5546875" bestFit="1" customWidth="1"/>
    <col min="12" max="12" width="13.33203125" bestFit="1" customWidth="1"/>
    <col min="13" max="13" width="15.109375" bestFit="1" customWidth="1"/>
    <col min="14" max="14" width="14.21875" bestFit="1" customWidth="1"/>
    <col min="15" max="16" width="15.88671875" bestFit="1" customWidth="1"/>
    <col min="17" max="17" width="15.109375" bestFit="1" customWidth="1"/>
    <col min="18" max="18" width="15.88671875" bestFit="1" customWidth="1"/>
    <col min="19" max="19" width="15.109375" bestFit="1" customWidth="1"/>
    <col min="20" max="20" width="15.88671875" bestFit="1" customWidth="1"/>
    <col min="21" max="21" width="15.109375" bestFit="1" customWidth="1"/>
    <col min="22" max="22" width="14.21875" bestFit="1" customWidth="1"/>
    <col min="23" max="23" width="15.109375" bestFit="1" customWidth="1"/>
    <col min="24" max="24" width="15.88671875" bestFit="1" customWidth="1"/>
    <col min="25" max="25" width="15.109375" bestFit="1" customWidth="1"/>
    <col min="26" max="26" width="15.88671875" bestFit="1" customWidth="1"/>
    <col min="27" max="27" width="15.109375" bestFit="1" customWidth="1"/>
    <col min="28" max="28" width="14.21875" bestFit="1" customWidth="1"/>
    <col min="29" max="29" width="15.109375" bestFit="1" customWidth="1"/>
    <col min="30" max="30" width="15.88671875" bestFit="1" customWidth="1"/>
    <col min="31" max="31" width="15.109375" bestFit="1" customWidth="1"/>
    <col min="32" max="32" width="15.88671875" bestFit="1" customWidth="1"/>
    <col min="33" max="33" width="15.109375" bestFit="1" customWidth="1"/>
    <col min="34" max="34" width="14.21875" bestFit="1" customWidth="1"/>
    <col min="35" max="35" width="15.109375" bestFit="1" customWidth="1"/>
    <col min="36" max="36" width="15.88671875" bestFit="1" customWidth="1"/>
    <col min="37" max="37" width="15.109375" bestFit="1" customWidth="1"/>
    <col min="38" max="38" width="15.88671875" bestFit="1" customWidth="1"/>
    <col min="39" max="39" width="14.21875" bestFit="1" customWidth="1"/>
    <col min="40" max="40" width="14.6640625" bestFit="1" customWidth="1"/>
    <col min="41" max="41" width="15.88671875" bestFit="1" customWidth="1"/>
    <col min="42" max="42" width="15.109375" bestFit="1" customWidth="1"/>
    <col min="43" max="43" width="15.88671875" bestFit="1" customWidth="1"/>
    <col min="44" max="44" width="15.109375" bestFit="1" customWidth="1"/>
    <col min="45" max="45" width="14.21875" bestFit="1" customWidth="1"/>
    <col min="46" max="46" width="15.109375" bestFit="1" customWidth="1"/>
    <col min="47" max="47" width="15.88671875" bestFit="1" customWidth="1"/>
    <col min="48" max="48" width="15.109375" bestFit="1" customWidth="1"/>
    <col min="49" max="49" width="15.88671875" bestFit="1" customWidth="1"/>
    <col min="50" max="50" width="14.21875" bestFit="1" customWidth="1"/>
    <col min="51" max="51" width="14.6640625" bestFit="1" customWidth="1"/>
    <col min="52" max="52" width="15.109375" bestFit="1" customWidth="1"/>
    <col min="53" max="53" width="15.88671875" bestFit="1" customWidth="1"/>
    <col min="54" max="54" width="15.109375" bestFit="1" customWidth="1"/>
    <col min="55" max="55" width="15.88671875" bestFit="1" customWidth="1"/>
    <col min="56" max="56" width="14.21875" bestFit="1" customWidth="1"/>
    <col min="57" max="57" width="14.6640625" bestFit="1" customWidth="1"/>
    <col min="58" max="58" width="15.109375" bestFit="1" customWidth="1"/>
    <col min="59" max="59" width="15.88671875" bestFit="1" customWidth="1"/>
    <col min="60" max="60" width="15.109375" bestFit="1" customWidth="1"/>
    <col min="61" max="61" width="15.88671875" bestFit="1" customWidth="1"/>
    <col min="62" max="62" width="15.109375" bestFit="1" customWidth="1"/>
    <col min="63" max="63" width="14.6640625" bestFit="1" customWidth="1"/>
    <col min="64" max="64" width="15.88671875" bestFit="1" customWidth="1"/>
    <col min="65" max="65" width="15.109375" bestFit="1" customWidth="1"/>
    <col min="66" max="66" width="14.21875" bestFit="1" customWidth="1"/>
    <col min="67" max="67" width="14.6640625" bestFit="1" customWidth="1"/>
    <col min="68" max="68" width="15.88671875" bestFit="1" customWidth="1"/>
    <col min="69" max="69" width="15.109375" bestFit="1" customWidth="1"/>
    <col min="70" max="70" width="14.21875" bestFit="1" customWidth="1"/>
    <col min="71" max="71" width="15.88671875" bestFit="1" customWidth="1"/>
    <col min="72" max="72" width="14.21875" bestFit="1" customWidth="1"/>
    <col min="73" max="73" width="14.6640625" bestFit="1" customWidth="1"/>
    <col min="74" max="74" width="15.109375" bestFit="1" customWidth="1"/>
    <col min="75" max="76" width="15.88671875" bestFit="1" customWidth="1"/>
    <col min="77" max="77" width="14.21875" bestFit="1" customWidth="1"/>
    <col min="78" max="78" width="14.6640625" bestFit="1" customWidth="1"/>
    <col min="79" max="80" width="15.109375" bestFit="1" customWidth="1"/>
    <col min="81" max="81" width="14.6640625" bestFit="1" customWidth="1"/>
    <col min="82" max="82" width="15.109375" bestFit="1" customWidth="1"/>
    <col min="83" max="83" width="15.88671875" bestFit="1" customWidth="1"/>
    <col min="84" max="85" width="15.109375" bestFit="1" customWidth="1"/>
    <col min="86" max="86" width="14.6640625" bestFit="1" customWidth="1"/>
    <col min="87" max="87" width="15.109375" bestFit="1" customWidth="1"/>
    <col min="88" max="88" width="15.88671875" bestFit="1" customWidth="1"/>
    <col min="89" max="89" width="15.109375" bestFit="1" customWidth="1"/>
    <col min="90" max="90" width="14.21875" bestFit="1" customWidth="1"/>
    <col min="91" max="91" width="15.109375" bestFit="1" customWidth="1"/>
    <col min="92" max="92" width="15.88671875" bestFit="1" customWidth="1"/>
    <col min="93" max="93" width="15.109375" bestFit="1" customWidth="1"/>
    <col min="94" max="94" width="15.88671875" bestFit="1" customWidth="1"/>
    <col min="95" max="95" width="15.109375" bestFit="1" customWidth="1"/>
    <col min="96" max="96" width="15.88671875" bestFit="1" customWidth="1"/>
    <col min="97" max="97" width="15.109375" bestFit="1" customWidth="1"/>
    <col min="98" max="99" width="15.88671875" bestFit="1" customWidth="1"/>
    <col min="100" max="100" width="15.109375" bestFit="1" customWidth="1"/>
    <col min="101" max="101" width="14.6640625" bestFit="1" customWidth="1"/>
    <col min="102" max="102" width="15.88671875" bestFit="1" customWidth="1"/>
    <col min="103" max="103" width="15.109375" bestFit="1" customWidth="1"/>
    <col min="104" max="104" width="15.88671875" bestFit="1" customWidth="1"/>
    <col min="105" max="105" width="15.109375" bestFit="1" customWidth="1"/>
    <col min="106" max="106" width="14.6640625" bestFit="1" customWidth="1"/>
    <col min="107" max="107" width="15.88671875" bestFit="1" customWidth="1"/>
    <col min="108" max="108" width="15.109375" bestFit="1" customWidth="1"/>
    <col min="109" max="109" width="14.21875" bestFit="1" customWidth="1"/>
    <col min="110" max="110" width="14.6640625" bestFit="1" customWidth="1"/>
    <col min="111" max="111" width="15.109375" bestFit="1" customWidth="1"/>
    <col min="112" max="112" width="15.88671875" bestFit="1" customWidth="1"/>
    <col min="113" max="113" width="15.109375" bestFit="1" customWidth="1"/>
    <col min="114" max="114" width="15.88671875" bestFit="1" customWidth="1"/>
    <col min="115" max="115" width="15.109375" bestFit="1" customWidth="1"/>
    <col min="116" max="116" width="14.6640625" bestFit="1" customWidth="1"/>
    <col min="117" max="117" width="15.109375" bestFit="1" customWidth="1"/>
    <col min="118" max="118" width="15.88671875" bestFit="1" customWidth="1"/>
    <col min="119" max="119" width="15.109375" bestFit="1" customWidth="1"/>
    <col min="120" max="120" width="15.88671875" bestFit="1" customWidth="1"/>
    <col min="121" max="121" width="15.109375" bestFit="1" customWidth="1"/>
    <col min="122" max="122" width="14.21875" bestFit="1" customWidth="1"/>
    <col min="123" max="123" width="15.109375" bestFit="1" customWidth="1"/>
    <col min="124" max="124" width="15.88671875" bestFit="1" customWidth="1"/>
    <col min="125" max="125" width="15.109375" bestFit="1" customWidth="1"/>
    <col min="126" max="126" width="14.21875" bestFit="1" customWidth="1"/>
    <col min="127" max="127" width="14.6640625" bestFit="1" customWidth="1"/>
    <col min="128" max="128" width="15.109375" bestFit="1" customWidth="1"/>
    <col min="129" max="129" width="15.88671875" bestFit="1" customWidth="1"/>
    <col min="130" max="131" width="15.109375" bestFit="1" customWidth="1"/>
    <col min="132" max="132" width="14.21875" bestFit="1" customWidth="1"/>
    <col min="133" max="133" width="15.88671875" bestFit="1" customWidth="1"/>
    <col min="134" max="134" width="15.109375" bestFit="1" customWidth="1"/>
    <col min="135" max="135" width="15.88671875" bestFit="1" customWidth="1"/>
    <col min="136" max="136" width="15.109375" bestFit="1" customWidth="1"/>
    <col min="137" max="137" width="14.21875" bestFit="1" customWidth="1"/>
    <col min="138" max="138" width="14.6640625" bestFit="1" customWidth="1"/>
    <col min="139" max="139" width="15.109375" bestFit="1" customWidth="1"/>
    <col min="140" max="140" width="15.88671875" bestFit="1" customWidth="1"/>
    <col min="141" max="141" width="15.109375" bestFit="1" customWidth="1"/>
    <col min="142" max="142" width="15.88671875" bestFit="1" customWidth="1"/>
    <col min="143" max="143" width="15.109375" bestFit="1" customWidth="1"/>
    <col min="144" max="144" width="14.21875" bestFit="1" customWidth="1"/>
    <col min="145" max="145" width="14.6640625" bestFit="1" customWidth="1"/>
    <col min="146" max="146" width="15.88671875" bestFit="1" customWidth="1"/>
    <col min="147" max="147" width="15.109375" bestFit="1" customWidth="1"/>
    <col min="148" max="148" width="15.88671875" bestFit="1" customWidth="1"/>
    <col min="149" max="149" width="15.109375" bestFit="1" customWidth="1"/>
    <col min="150" max="150" width="14.21875" bestFit="1" customWidth="1"/>
    <col min="151" max="151" width="15.88671875" bestFit="1" customWidth="1"/>
    <col min="152" max="153" width="15.109375" bestFit="1" customWidth="1"/>
    <col min="154" max="154" width="14.21875" bestFit="1" customWidth="1"/>
    <col min="155" max="157" width="15.109375" bestFit="1" customWidth="1"/>
    <col min="158" max="158" width="15.88671875" bestFit="1" customWidth="1"/>
    <col min="159" max="159" width="14.6640625" bestFit="1" customWidth="1"/>
    <col min="160" max="160" width="15.109375" bestFit="1" customWidth="1"/>
    <col min="161" max="161" width="15.88671875" bestFit="1" customWidth="1"/>
    <col min="162" max="162" width="15.109375" bestFit="1" customWidth="1"/>
    <col min="163" max="163" width="15.88671875" bestFit="1" customWidth="1"/>
    <col min="164" max="164" width="14.21875" bestFit="1" customWidth="1"/>
    <col min="165" max="165" width="14.6640625" bestFit="1" customWidth="1"/>
    <col min="166" max="166" width="15.109375" bestFit="1" customWidth="1"/>
    <col min="167" max="167" width="15.88671875" bestFit="1" customWidth="1"/>
    <col min="168" max="170" width="15.109375" bestFit="1" customWidth="1"/>
    <col min="171" max="171" width="15.88671875" bestFit="1" customWidth="1"/>
    <col min="172" max="172" width="15.109375" bestFit="1" customWidth="1"/>
    <col min="173" max="173" width="14.6640625" bestFit="1" customWidth="1"/>
    <col min="174" max="175" width="15.88671875" bestFit="1" customWidth="1"/>
    <col min="176" max="176" width="15.109375" bestFit="1" customWidth="1"/>
    <col min="177" max="177" width="14.21875" bestFit="1" customWidth="1"/>
    <col min="178" max="178" width="14.6640625" bestFit="1" customWidth="1"/>
    <col min="179" max="179" width="15.109375" bestFit="1" customWidth="1"/>
    <col min="180" max="180" width="14.6640625" bestFit="1" customWidth="1"/>
    <col min="181" max="181" width="15.109375" bestFit="1" customWidth="1"/>
    <col min="182" max="182" width="15.88671875" bestFit="1" customWidth="1"/>
    <col min="183" max="183" width="15.109375" bestFit="1" customWidth="1"/>
    <col min="184" max="184" width="14.21875" bestFit="1" customWidth="1"/>
    <col min="185" max="186" width="15.88671875" bestFit="1" customWidth="1"/>
    <col min="187" max="187" width="15.109375" bestFit="1" customWidth="1"/>
    <col min="188" max="188" width="14.6640625" bestFit="1" customWidth="1"/>
    <col min="189" max="189" width="15.109375" bestFit="1" customWidth="1"/>
    <col min="190" max="190" width="15.88671875" bestFit="1" customWidth="1"/>
    <col min="191" max="191" width="15.109375" bestFit="1" customWidth="1"/>
    <col min="192" max="192" width="14.21875" bestFit="1" customWidth="1"/>
    <col min="193" max="193" width="15.109375" bestFit="1" customWidth="1"/>
    <col min="194" max="194" width="15.88671875" bestFit="1" customWidth="1"/>
    <col min="195" max="195" width="15.109375" bestFit="1" customWidth="1"/>
    <col min="196" max="196" width="15.88671875" bestFit="1" customWidth="1"/>
    <col min="197" max="197" width="15.109375" bestFit="1" customWidth="1"/>
    <col min="198" max="198" width="14.21875" bestFit="1" customWidth="1"/>
    <col min="199" max="199" width="15.88671875" bestFit="1" customWidth="1"/>
    <col min="200" max="200" width="15.109375" bestFit="1" customWidth="1"/>
    <col min="201" max="201" width="15.88671875" bestFit="1" customWidth="1"/>
    <col min="202" max="202" width="15.109375" bestFit="1" customWidth="1"/>
    <col min="203" max="203" width="14.21875" bestFit="1" customWidth="1"/>
    <col min="204" max="205" width="15.109375" bestFit="1" customWidth="1"/>
    <col min="206" max="206" width="14.21875" bestFit="1" customWidth="1"/>
    <col min="207" max="207" width="14.6640625" bestFit="1" customWidth="1"/>
    <col min="208" max="208" width="15.109375" bestFit="1" customWidth="1"/>
    <col min="209" max="209" width="15.88671875" bestFit="1" customWidth="1"/>
    <col min="210" max="210" width="15.109375" bestFit="1" customWidth="1"/>
    <col min="211" max="211" width="15.88671875" bestFit="1" customWidth="1"/>
    <col min="212" max="212" width="15.109375" bestFit="1" customWidth="1"/>
    <col min="213" max="213" width="15.88671875" bestFit="1" customWidth="1"/>
    <col min="214" max="214" width="14.6640625" bestFit="1" customWidth="1"/>
    <col min="215" max="215" width="15.109375" bestFit="1" customWidth="1"/>
    <col min="216" max="216" width="15.88671875" bestFit="1" customWidth="1"/>
    <col min="217" max="217" width="15.109375" bestFit="1" customWidth="1"/>
    <col min="218" max="218" width="15.88671875" bestFit="1" customWidth="1"/>
    <col min="219" max="219" width="15.109375" bestFit="1" customWidth="1"/>
    <col min="220" max="220" width="15.88671875" bestFit="1" customWidth="1"/>
    <col min="221" max="221" width="15.109375" bestFit="1" customWidth="1"/>
    <col min="222" max="222" width="15.88671875" bestFit="1" customWidth="1"/>
    <col min="223" max="223" width="15.109375" bestFit="1" customWidth="1"/>
    <col min="224" max="224" width="15.88671875" bestFit="1" customWidth="1"/>
    <col min="225" max="225" width="15.109375" bestFit="1" customWidth="1"/>
    <col min="226" max="226" width="15.88671875" bestFit="1" customWidth="1"/>
    <col min="227" max="228" width="15.109375" bestFit="1" customWidth="1"/>
    <col min="229" max="229" width="15.88671875" bestFit="1" customWidth="1"/>
    <col min="230" max="231" width="15.109375" bestFit="1" customWidth="1"/>
    <col min="232" max="232" width="14.21875" bestFit="1" customWidth="1"/>
    <col min="233" max="233" width="15.109375" bestFit="1" customWidth="1"/>
    <col min="234" max="234" width="15.88671875" bestFit="1" customWidth="1"/>
    <col min="235" max="236" width="15.109375" bestFit="1" customWidth="1"/>
    <col min="237" max="237" width="14.21875" bestFit="1" customWidth="1"/>
    <col min="238" max="238" width="15.109375" bestFit="1" customWidth="1"/>
    <col min="239" max="239" width="15.88671875" bestFit="1" customWidth="1"/>
    <col min="240" max="240" width="15.109375" bestFit="1" customWidth="1"/>
    <col min="241" max="241" width="15.88671875" bestFit="1" customWidth="1"/>
    <col min="242" max="242" width="15.109375" bestFit="1" customWidth="1"/>
    <col min="243" max="243" width="14.21875" bestFit="1" customWidth="1"/>
    <col min="244" max="244" width="15.88671875" bestFit="1" customWidth="1"/>
    <col min="245" max="245" width="15.109375" bestFit="1" customWidth="1"/>
    <col min="246" max="246" width="15.88671875" bestFit="1" customWidth="1"/>
    <col min="247" max="247" width="15.109375" bestFit="1" customWidth="1"/>
    <col min="248" max="248" width="14.21875" bestFit="1" customWidth="1"/>
    <col min="249" max="249" width="14.6640625" bestFit="1" customWidth="1"/>
    <col min="250" max="250" width="15.109375" bestFit="1" customWidth="1"/>
    <col min="251" max="251" width="15.88671875" bestFit="1" customWidth="1"/>
    <col min="252" max="252" width="15.109375" bestFit="1" customWidth="1"/>
    <col min="253" max="253" width="14.21875" bestFit="1" customWidth="1"/>
    <col min="254" max="254" width="14.6640625" bestFit="1" customWidth="1"/>
    <col min="255" max="255" width="15.109375" bestFit="1" customWidth="1"/>
    <col min="256" max="256" width="15.88671875" bestFit="1" customWidth="1"/>
    <col min="257" max="258" width="15.109375" bestFit="1" customWidth="1"/>
    <col min="259" max="259" width="14.21875" bestFit="1" customWidth="1"/>
    <col min="260" max="260" width="15.88671875" bestFit="1" customWidth="1"/>
    <col min="261" max="261" width="15.109375" bestFit="1" customWidth="1"/>
    <col min="262" max="262" width="15.88671875" bestFit="1" customWidth="1"/>
    <col min="263" max="263" width="15.109375" bestFit="1" customWidth="1"/>
    <col min="264" max="264" width="15.88671875" bestFit="1" customWidth="1"/>
    <col min="265" max="265" width="15.109375" bestFit="1" customWidth="1"/>
    <col min="266" max="266" width="15.88671875" bestFit="1" customWidth="1"/>
    <col min="267" max="267" width="14.21875" bestFit="1" customWidth="1"/>
    <col min="268" max="268" width="14.6640625" bestFit="1" customWidth="1"/>
    <col min="269" max="269" width="15.88671875" bestFit="1" customWidth="1"/>
    <col min="270" max="270" width="14.21875" bestFit="1" customWidth="1"/>
    <col min="271" max="271" width="14.6640625" bestFit="1" customWidth="1"/>
    <col min="272" max="272" width="15.109375" bestFit="1" customWidth="1"/>
    <col min="273" max="273" width="15.88671875" bestFit="1" customWidth="1"/>
    <col min="274" max="274" width="15.109375" bestFit="1" customWidth="1"/>
    <col min="275" max="275" width="14.21875" bestFit="1" customWidth="1"/>
    <col min="276" max="276" width="14.6640625" bestFit="1" customWidth="1"/>
    <col min="277" max="277" width="15.88671875" bestFit="1" customWidth="1"/>
    <col min="278" max="278" width="15.109375" bestFit="1" customWidth="1"/>
    <col min="279" max="279" width="14.21875" bestFit="1" customWidth="1"/>
    <col min="280" max="280" width="15.109375" bestFit="1" customWidth="1"/>
    <col min="281" max="281" width="15.88671875" bestFit="1" customWidth="1"/>
    <col min="282" max="282" width="15.109375" bestFit="1" customWidth="1"/>
    <col min="283" max="283" width="15.88671875" bestFit="1" customWidth="1"/>
    <col min="284" max="284" width="15.109375" bestFit="1" customWidth="1"/>
    <col min="285" max="285" width="15.88671875" bestFit="1" customWidth="1"/>
    <col min="286" max="286" width="15.109375" bestFit="1" customWidth="1"/>
    <col min="287" max="287" width="15.88671875" bestFit="1" customWidth="1"/>
    <col min="288" max="288" width="15.109375" bestFit="1" customWidth="1"/>
    <col min="289" max="289" width="15.88671875" bestFit="1" customWidth="1"/>
    <col min="290" max="290" width="15.109375" bestFit="1" customWidth="1"/>
    <col min="291" max="292" width="15.88671875" bestFit="1" customWidth="1"/>
    <col min="293" max="294" width="15.109375" bestFit="1" customWidth="1"/>
    <col min="295" max="295" width="15.88671875" bestFit="1" customWidth="1"/>
    <col min="296" max="296" width="15.109375" bestFit="1" customWidth="1"/>
    <col min="297" max="297" width="14.21875" bestFit="1" customWidth="1"/>
    <col min="298" max="299" width="15.109375" bestFit="1" customWidth="1"/>
    <col min="300" max="300" width="15.88671875" bestFit="1" customWidth="1"/>
    <col min="301" max="301" width="15.109375" bestFit="1" customWidth="1"/>
    <col min="302" max="302" width="14.21875" bestFit="1" customWidth="1"/>
    <col min="303" max="303" width="14.6640625" bestFit="1" customWidth="1"/>
    <col min="304" max="304" width="15.88671875" bestFit="1" customWidth="1"/>
    <col min="305" max="305" width="15.109375" bestFit="1" customWidth="1"/>
    <col min="306" max="306" width="15.88671875" bestFit="1" customWidth="1"/>
    <col min="307" max="307" width="15.109375" bestFit="1" customWidth="1"/>
    <col min="308" max="308" width="14.21875" bestFit="1" customWidth="1"/>
    <col min="309" max="309" width="14.6640625" bestFit="1" customWidth="1"/>
    <col min="310" max="310" width="15.109375" bestFit="1" customWidth="1"/>
    <col min="311" max="311" width="15.88671875" bestFit="1" customWidth="1"/>
    <col min="312" max="312" width="15.109375" bestFit="1" customWidth="1"/>
    <col min="313" max="313" width="14.6640625" bestFit="1" customWidth="1"/>
    <col min="314" max="314" width="15.88671875" bestFit="1" customWidth="1"/>
    <col min="315" max="315" width="15.109375" bestFit="1" customWidth="1"/>
    <col min="316" max="316" width="14.6640625" bestFit="1" customWidth="1"/>
    <col min="317" max="317" width="15.109375" bestFit="1" customWidth="1"/>
    <col min="318" max="318" width="15.88671875" bestFit="1" customWidth="1"/>
    <col min="319" max="319" width="15.109375" bestFit="1" customWidth="1"/>
    <col min="320" max="320" width="14.21875" bestFit="1" customWidth="1"/>
    <col min="321" max="321" width="14.6640625" bestFit="1" customWidth="1"/>
    <col min="322" max="322" width="15.88671875" bestFit="1" customWidth="1"/>
    <col min="323" max="323" width="15.109375" bestFit="1" customWidth="1"/>
    <col min="324" max="324" width="15.88671875" bestFit="1" customWidth="1"/>
    <col min="325" max="325" width="15.109375" bestFit="1" customWidth="1"/>
    <col min="326" max="326" width="14.21875" bestFit="1" customWidth="1"/>
    <col min="327" max="327" width="14.6640625" bestFit="1" customWidth="1"/>
    <col min="328" max="329" width="15.109375" bestFit="1" customWidth="1"/>
    <col min="330" max="330" width="15.88671875" bestFit="1" customWidth="1"/>
    <col min="331" max="333" width="15.109375" bestFit="1" customWidth="1"/>
    <col min="334" max="334" width="14.21875" bestFit="1" customWidth="1"/>
    <col min="335" max="335" width="14.6640625" bestFit="1" customWidth="1"/>
    <col min="336" max="338" width="15.109375" bestFit="1" customWidth="1"/>
    <col min="339" max="339" width="15.88671875" bestFit="1" customWidth="1"/>
    <col min="340" max="341" width="15.109375" bestFit="1" customWidth="1"/>
    <col min="342" max="342" width="15.88671875" bestFit="1" customWidth="1"/>
    <col min="343" max="343" width="15.109375" bestFit="1" customWidth="1"/>
    <col min="344" max="344" width="15.88671875" bestFit="1" customWidth="1"/>
    <col min="345" max="345" width="15.109375" bestFit="1" customWidth="1"/>
    <col min="346" max="346" width="15.88671875" bestFit="1" customWidth="1"/>
    <col min="347" max="347" width="15.109375" bestFit="1" customWidth="1"/>
    <col min="348" max="348" width="15.88671875" bestFit="1" customWidth="1"/>
    <col min="349" max="349" width="15.109375" bestFit="1" customWidth="1"/>
    <col min="350" max="350" width="15.88671875" bestFit="1" customWidth="1"/>
    <col min="351" max="351" width="15.109375" bestFit="1" customWidth="1"/>
    <col min="352" max="352" width="14.21875" bestFit="1" customWidth="1"/>
    <col min="353" max="353" width="15.109375" bestFit="1" customWidth="1"/>
    <col min="354" max="355" width="15.88671875" bestFit="1" customWidth="1"/>
    <col min="356" max="356" width="15.109375" bestFit="1" customWidth="1"/>
    <col min="357" max="357" width="15.88671875" bestFit="1" customWidth="1"/>
    <col min="358" max="358" width="15.109375" bestFit="1" customWidth="1"/>
    <col min="359" max="359" width="14.21875" bestFit="1" customWidth="1"/>
    <col min="360" max="360" width="14.6640625" bestFit="1" customWidth="1"/>
    <col min="361" max="361" width="15.109375" bestFit="1" customWidth="1"/>
    <col min="362" max="362" width="15.88671875" bestFit="1" customWidth="1"/>
    <col min="363" max="363" width="15.109375" bestFit="1" customWidth="1"/>
    <col min="364" max="364" width="15.88671875" bestFit="1" customWidth="1"/>
    <col min="365" max="365" width="15.109375" bestFit="1" customWidth="1"/>
    <col min="366" max="366" width="14.21875" bestFit="1" customWidth="1"/>
    <col min="367" max="367" width="15.88671875" bestFit="1" customWidth="1"/>
    <col min="368" max="368" width="10.77734375" bestFit="1" customWidth="1"/>
    <col min="369" max="522" width="10.6640625" bestFit="1" customWidth="1"/>
    <col min="523" max="588" width="11.77734375" bestFit="1" customWidth="1"/>
    <col min="589" max="589" width="9" bestFit="1" customWidth="1"/>
    <col min="590" max="607" width="13.21875" bestFit="1" customWidth="1"/>
    <col min="608" max="608" width="7.21875" bestFit="1" customWidth="1"/>
    <col min="609" max="609" width="11.44140625" bestFit="1" customWidth="1"/>
    <col min="610" max="726" width="20.88671875" bestFit="1" customWidth="1"/>
    <col min="727" max="727" width="24.5546875" bestFit="1" customWidth="1"/>
    <col min="728" max="805" width="11.88671875" bestFit="1" customWidth="1"/>
    <col min="806" max="806" width="12" bestFit="1" customWidth="1"/>
    <col min="807" max="871" width="11.88671875" bestFit="1" customWidth="1"/>
    <col min="872" max="872" width="14.21875" bestFit="1" customWidth="1"/>
    <col min="873" max="925" width="12.44140625" bestFit="1" customWidth="1"/>
    <col min="926" max="926" width="15.77734375" bestFit="1" customWidth="1"/>
    <col min="927" max="927" width="11.44140625" bestFit="1" customWidth="1"/>
  </cols>
  <sheetData>
    <row r="1" spans="1:21" ht="25.8" customHeight="1" x14ac:dyDescent="0.3">
      <c r="A1" s="1" t="s">
        <v>10</v>
      </c>
      <c r="B1" s="1" t="s">
        <v>31</v>
      </c>
      <c r="C1" s="1" t="s">
        <v>30</v>
      </c>
      <c r="D1" s="15" t="s">
        <v>11</v>
      </c>
      <c r="E1" s="1" t="s">
        <v>12</v>
      </c>
      <c r="F1" s="1" t="s">
        <v>13</v>
      </c>
      <c r="G1" s="1" t="s">
        <v>14</v>
      </c>
      <c r="H1" s="1" t="s">
        <v>15</v>
      </c>
    </row>
    <row r="2" spans="1:21" ht="15.6" x14ac:dyDescent="0.3">
      <c r="A2" s="2">
        <v>44468</v>
      </c>
      <c r="B2" s="2" t="str">
        <f>TEXT(AutoPomodoro[[#This Row],[DATE]],"mmmm")</f>
        <v>September</v>
      </c>
      <c r="C2" s="2" t="str">
        <f>TEXT(AutoPomodoro[[#This Row],[DATE]],"yyyy")</f>
        <v>2021</v>
      </c>
      <c r="D2" s="8">
        <v>0</v>
      </c>
      <c r="E2" s="8">
        <v>8.3333333333333329E-2</v>
      </c>
      <c r="F2" s="3">
        <f>E2-D2</f>
        <v>8.3333333333333329E-2</v>
      </c>
      <c r="G2" t="s">
        <v>16</v>
      </c>
      <c r="H2" t="s">
        <v>1</v>
      </c>
      <c r="N2" s="3"/>
      <c r="O2" s="3"/>
      <c r="R2" s="9" t="s">
        <v>22</v>
      </c>
    </row>
    <row r="3" spans="1:21" x14ac:dyDescent="0.3">
      <c r="A3" s="2">
        <v>44468</v>
      </c>
      <c r="B3" s="2" t="str">
        <f>TEXT(AutoPomodoro[[#This Row],[DATE]],"mmmm")</f>
        <v>September</v>
      </c>
      <c r="C3" s="2" t="str">
        <f>TEXT(AutoPomodoro[[#This Row],[DATE]],"yyyy")</f>
        <v>2021</v>
      </c>
      <c r="D3" s="8"/>
      <c r="E3" s="8"/>
      <c r="F3" s="3">
        <v>3.4722222222222224E-2</v>
      </c>
      <c r="G3" t="s">
        <v>18</v>
      </c>
      <c r="H3" t="s">
        <v>1</v>
      </c>
      <c r="R3" s="2">
        <f ca="1">TODAY()</f>
        <v>45077</v>
      </c>
    </row>
    <row r="4" spans="1:21" x14ac:dyDescent="0.3">
      <c r="A4" s="2">
        <v>44468</v>
      </c>
      <c r="B4" s="2" t="str">
        <f>TEXT(AutoPomodoro[[#This Row],[DATE]],"mmmm")</f>
        <v>September</v>
      </c>
      <c r="C4" s="2" t="str">
        <f>TEXT(AutoPomodoro[[#This Row],[DATE]],"yyyy")</f>
        <v>2021</v>
      </c>
      <c r="D4" s="8">
        <v>0.65972222222222221</v>
      </c>
      <c r="E4" s="8">
        <f>D4+$T$15</f>
        <v>0.67708333333333337</v>
      </c>
      <c r="F4" s="3">
        <f t="shared" ref="F4:F16" si="0">E4-D4</f>
        <v>1.736111111111116E-2</v>
      </c>
      <c r="G4" t="s">
        <v>18</v>
      </c>
      <c r="H4" t="s">
        <v>1</v>
      </c>
    </row>
    <row r="5" spans="1:21" x14ac:dyDescent="0.3">
      <c r="A5" s="2">
        <v>44468</v>
      </c>
      <c r="B5" s="2" t="str">
        <f>TEXT(AutoPomodoro[[#This Row],[DATE]],"mmmm")</f>
        <v>September</v>
      </c>
      <c r="C5" s="2" t="str">
        <f>TEXT(AutoPomodoro[[#This Row],[DATE]],"yyyy")</f>
        <v>2021</v>
      </c>
      <c r="D5" s="8">
        <f>E4+$T$16</f>
        <v>0.68055555555555558</v>
      </c>
      <c r="E5" s="8">
        <f>D5+$T$15</f>
        <v>0.69791666666666674</v>
      </c>
      <c r="F5" s="3">
        <f t="shared" si="0"/>
        <v>1.736111111111116E-2</v>
      </c>
      <c r="G5" t="s">
        <v>18</v>
      </c>
      <c r="H5" t="s">
        <v>1</v>
      </c>
      <c r="N5" s="3"/>
      <c r="O5" s="3"/>
    </row>
    <row r="6" spans="1:21" x14ac:dyDescent="0.3">
      <c r="A6" s="2">
        <v>44468</v>
      </c>
      <c r="B6" s="2" t="str">
        <f>TEXT(AutoPomodoro[[#This Row],[DATE]],"mmmm")</f>
        <v>September</v>
      </c>
      <c r="C6" s="2" t="str">
        <f>TEXT(AutoPomodoro[[#This Row],[DATE]],"yyyy")</f>
        <v>2021</v>
      </c>
      <c r="D6" s="8">
        <f>E5+$T$16</f>
        <v>0.70138888888888895</v>
      </c>
      <c r="E6" s="8">
        <f>D6+$T$15</f>
        <v>0.71875000000000011</v>
      </c>
      <c r="F6" s="3">
        <f t="shared" si="0"/>
        <v>1.736111111111116E-2</v>
      </c>
      <c r="G6" t="s">
        <v>18</v>
      </c>
      <c r="H6" t="s">
        <v>1</v>
      </c>
      <c r="N6" s="3"/>
      <c r="O6" s="3"/>
    </row>
    <row r="7" spans="1:21" x14ac:dyDescent="0.3">
      <c r="A7" s="2">
        <v>44468</v>
      </c>
      <c r="B7" s="2" t="str">
        <f>TEXT(AutoPomodoro[[#This Row],[DATE]],"mmmm")</f>
        <v>September</v>
      </c>
      <c r="C7" s="2" t="str">
        <f>TEXT(AutoPomodoro[[#This Row],[DATE]],"yyyy")</f>
        <v>2021</v>
      </c>
      <c r="D7" s="8">
        <f>E6+$T$17</f>
        <v>0.7236111111111112</v>
      </c>
      <c r="E7" s="8">
        <v>0.74375000000000002</v>
      </c>
      <c r="F7" s="3">
        <f t="shared" si="0"/>
        <v>2.0138888888888817E-2</v>
      </c>
      <c r="G7" t="s">
        <v>0</v>
      </c>
      <c r="H7" t="s">
        <v>1</v>
      </c>
      <c r="N7" s="3"/>
      <c r="O7" s="3"/>
    </row>
    <row r="8" spans="1:21" x14ac:dyDescent="0.3">
      <c r="A8" s="2">
        <v>44468</v>
      </c>
      <c r="B8" s="2" t="str">
        <f>TEXT(AutoPomodoro[[#This Row],[DATE]],"mmmm")</f>
        <v>September</v>
      </c>
      <c r="C8" s="2" t="str">
        <f>TEXT(AutoPomodoro[[#This Row],[DATE]],"yyyy")</f>
        <v>2021</v>
      </c>
      <c r="D8" s="8">
        <v>4.4444444444444446E-2</v>
      </c>
      <c r="E8" s="8">
        <v>7.1527777777777787E-2</v>
      </c>
      <c r="F8" s="3">
        <f t="shared" si="0"/>
        <v>2.7083333333333341E-2</v>
      </c>
      <c r="G8" t="s">
        <v>0</v>
      </c>
      <c r="H8" t="s">
        <v>1</v>
      </c>
    </row>
    <row r="9" spans="1:21" x14ac:dyDescent="0.3">
      <c r="A9" s="2">
        <v>44469</v>
      </c>
      <c r="B9" s="2" t="str">
        <f>TEXT(AutoPomodoro[[#This Row],[DATE]],"mmmm")</f>
        <v>September</v>
      </c>
      <c r="C9" s="2" t="str">
        <f>TEXT(AutoPomodoro[[#This Row],[DATE]],"yyyy")</f>
        <v>2021</v>
      </c>
      <c r="D9" s="8">
        <v>0.46180555555555558</v>
      </c>
      <c r="E9" s="8">
        <f>D9+$T$15</f>
        <v>0.47916666666666669</v>
      </c>
      <c r="F9" s="3">
        <f t="shared" si="0"/>
        <v>1.7361111111111105E-2</v>
      </c>
      <c r="G9" t="s">
        <v>17</v>
      </c>
      <c r="H9" t="s">
        <v>1</v>
      </c>
    </row>
    <row r="10" spans="1:21" x14ac:dyDescent="0.3">
      <c r="A10" s="2">
        <v>44469</v>
      </c>
      <c r="B10" s="2" t="str">
        <f>TEXT(AutoPomodoro[[#This Row],[DATE]],"mmmm")</f>
        <v>September</v>
      </c>
      <c r="C10" s="2" t="str">
        <f>TEXT(AutoPomodoro[[#This Row],[DATE]],"yyyy")</f>
        <v>2021</v>
      </c>
      <c r="D10" s="8">
        <f>E9+$T$16</f>
        <v>0.4826388888888889</v>
      </c>
      <c r="E10" s="8">
        <f>D10+$T$15</f>
        <v>0.5</v>
      </c>
      <c r="F10" s="3">
        <f t="shared" si="0"/>
        <v>1.7361111111111105E-2</v>
      </c>
      <c r="G10" t="s">
        <v>17</v>
      </c>
      <c r="H10" t="s">
        <v>1</v>
      </c>
    </row>
    <row r="11" spans="1:21" x14ac:dyDescent="0.3">
      <c r="A11" s="2">
        <v>44469</v>
      </c>
      <c r="B11" s="2" t="str">
        <f>TEXT(AutoPomodoro[[#This Row],[DATE]],"mmmm")</f>
        <v>September</v>
      </c>
      <c r="C11" s="2" t="str">
        <f>TEXT(AutoPomodoro[[#This Row],[DATE]],"yyyy")</f>
        <v>2021</v>
      </c>
      <c r="D11" s="8">
        <f>E10+$T$16</f>
        <v>0.50347222222222221</v>
      </c>
      <c r="E11" s="8">
        <f>D11+$T$15</f>
        <v>0.52083333333333337</v>
      </c>
      <c r="F11" s="3">
        <f t="shared" si="0"/>
        <v>1.736111111111116E-2</v>
      </c>
      <c r="G11" t="s">
        <v>0</v>
      </c>
      <c r="H11" t="s">
        <v>1</v>
      </c>
    </row>
    <row r="12" spans="1:21" x14ac:dyDescent="0.3">
      <c r="A12" s="2">
        <v>44469</v>
      </c>
      <c r="B12" s="2" t="str">
        <f>TEXT(AutoPomodoro[[#This Row],[DATE]],"mmmm")</f>
        <v>September</v>
      </c>
      <c r="C12" s="2" t="str">
        <f>TEXT(AutoPomodoro[[#This Row],[DATE]],"yyyy")</f>
        <v>2021</v>
      </c>
      <c r="D12" s="8">
        <f>E11+$T$17</f>
        <v>0.52569444444444446</v>
      </c>
      <c r="E12" s="8">
        <v>0.54583333333333328</v>
      </c>
      <c r="F12" s="3">
        <f t="shared" si="0"/>
        <v>2.0138888888888817E-2</v>
      </c>
      <c r="G12" t="s">
        <v>0</v>
      </c>
      <c r="H12" t="s">
        <v>1</v>
      </c>
    </row>
    <row r="13" spans="1:21" x14ac:dyDescent="0.3">
      <c r="A13" s="2">
        <v>44469</v>
      </c>
      <c r="B13" s="2" t="str">
        <f>TEXT(AutoPomodoro[[#This Row],[DATE]],"mmmm")</f>
        <v>September</v>
      </c>
      <c r="C13" s="2" t="str">
        <f>TEXT(AutoPomodoro[[#This Row],[DATE]],"yyyy")</f>
        <v>2021</v>
      </c>
      <c r="D13" s="8">
        <v>0.55069444444444449</v>
      </c>
      <c r="E13" s="8">
        <f>D13+$T$15</f>
        <v>0.56805555555555565</v>
      </c>
      <c r="F13" s="3">
        <f t="shared" si="0"/>
        <v>1.736111111111116E-2</v>
      </c>
      <c r="G13" t="s">
        <v>0</v>
      </c>
      <c r="H13" t="s">
        <v>1</v>
      </c>
    </row>
    <row r="14" spans="1:21" ht="31.2" x14ac:dyDescent="0.3">
      <c r="A14" s="2">
        <v>44469</v>
      </c>
      <c r="B14" s="2" t="str">
        <f>TEXT(AutoPomodoro[[#This Row],[DATE]],"mmmm")</f>
        <v>September</v>
      </c>
      <c r="C14" s="2" t="str">
        <f>TEXT(AutoPomodoro[[#This Row],[DATE]],"yyyy")</f>
        <v>2021</v>
      </c>
      <c r="D14" s="8">
        <v>0.56805555555555554</v>
      </c>
      <c r="E14" s="8">
        <v>0.625</v>
      </c>
      <c r="F14" s="3">
        <f t="shared" si="0"/>
        <v>5.6944444444444464E-2</v>
      </c>
      <c r="G14" t="s">
        <v>21</v>
      </c>
      <c r="H14" t="s">
        <v>1</v>
      </c>
      <c r="Q14" s="19" t="s">
        <v>8</v>
      </c>
      <c r="R14" s="19"/>
      <c r="T14" s="10" t="s">
        <v>9</v>
      </c>
      <c r="U14" s="10" t="s">
        <v>25</v>
      </c>
    </row>
    <row r="15" spans="1:21" ht="28.8" x14ac:dyDescent="0.3">
      <c r="A15" s="2">
        <v>44469</v>
      </c>
      <c r="B15" s="2" t="str">
        <f>TEXT(AutoPomodoro[[#This Row],[DATE]],"mmmm")</f>
        <v>September</v>
      </c>
      <c r="C15" s="2" t="str">
        <f>TEXT(AutoPomodoro[[#This Row],[DATE]],"yyyy")</f>
        <v>2021</v>
      </c>
      <c r="D15" s="8">
        <v>0.625</v>
      </c>
      <c r="E15" s="8">
        <f>D15+$T$15</f>
        <v>0.64236111111111116</v>
      </c>
      <c r="F15" s="3">
        <f t="shared" si="0"/>
        <v>1.736111111111116E-2</v>
      </c>
      <c r="G15" t="s">
        <v>16</v>
      </c>
      <c r="H15" t="s">
        <v>1</v>
      </c>
      <c r="Q15" s="8">
        <v>0</v>
      </c>
      <c r="R15" s="8">
        <f>Q15+$T$15</f>
        <v>1.7361111111111112E-2</v>
      </c>
      <c r="S15" s="8"/>
      <c r="T15" s="17">
        <v>1.7361111111111112E-2</v>
      </c>
      <c r="U15" s="13" t="s">
        <v>26</v>
      </c>
    </row>
    <row r="16" spans="1:21" ht="43.2" x14ac:dyDescent="0.3">
      <c r="A16" s="2">
        <v>44469</v>
      </c>
      <c r="B16" s="2" t="str">
        <f>TEXT(AutoPomodoro[[#This Row],[DATE]],"mmmm")</f>
        <v>September</v>
      </c>
      <c r="C16" s="2" t="str">
        <f>TEXT(AutoPomodoro[[#This Row],[DATE]],"yyyy")</f>
        <v>2021</v>
      </c>
      <c r="D16" s="8">
        <f>E15+$T$16</f>
        <v>0.64583333333333337</v>
      </c>
      <c r="E16" s="8">
        <f>D16+$T$15</f>
        <v>0.66319444444444453</v>
      </c>
      <c r="F16" s="3">
        <f t="shared" si="0"/>
        <v>1.736111111111116E-2</v>
      </c>
      <c r="G16" t="s">
        <v>16</v>
      </c>
      <c r="H16" t="s">
        <v>1</v>
      </c>
      <c r="Q16" s="8">
        <f>R15+$T$16</f>
        <v>2.0833333333333336E-2</v>
      </c>
      <c r="R16" s="8">
        <f>Q16+$T$15</f>
        <v>3.8194444444444448E-2</v>
      </c>
      <c r="S16" s="8"/>
      <c r="T16" s="17">
        <v>3.472222222222222E-3</v>
      </c>
      <c r="U16" s="11" t="s">
        <v>27</v>
      </c>
    </row>
    <row r="17" spans="1:21" ht="57.6" x14ac:dyDescent="0.3">
      <c r="A17" s="2">
        <v>44469</v>
      </c>
      <c r="B17" s="2" t="str">
        <f>TEXT(AutoPomodoro[[#This Row],[DATE]],"mmmm")</f>
        <v>September</v>
      </c>
      <c r="C17" s="2" t="str">
        <f>TEXT(AutoPomodoro[[#This Row],[DATE]],"yyyy")</f>
        <v>2021</v>
      </c>
      <c r="D17" s="8">
        <f>E16+$T$16</f>
        <v>0.66666666666666674</v>
      </c>
      <c r="E17" s="8">
        <f>D17+$T$15</f>
        <v>0.6840277777777779</v>
      </c>
      <c r="F17" s="3">
        <v>1.8055555555555557E-2</v>
      </c>
      <c r="G17" t="s">
        <v>16</v>
      </c>
      <c r="H17" t="s">
        <v>1</v>
      </c>
      <c r="Q17" s="8">
        <f>R16+$T$16</f>
        <v>4.1666666666666671E-2</v>
      </c>
      <c r="R17" s="8">
        <f>Q17+$T$15</f>
        <v>5.9027777777777783E-2</v>
      </c>
      <c r="S17" s="8"/>
      <c r="T17" s="17">
        <v>4.8611111111111112E-3</v>
      </c>
      <c r="U17" s="12" t="s">
        <v>28</v>
      </c>
    </row>
    <row r="18" spans="1:21" ht="28.8" x14ac:dyDescent="0.3">
      <c r="A18" s="2">
        <v>44469</v>
      </c>
      <c r="B18" s="2" t="str">
        <f>TEXT(AutoPomodoro[[#This Row],[DATE]],"mmmm")</f>
        <v>September</v>
      </c>
      <c r="C18" s="2" t="str">
        <f>TEXT(AutoPomodoro[[#This Row],[DATE]],"yyyy")</f>
        <v>2021</v>
      </c>
      <c r="D18" s="8">
        <f>E17+$T$17</f>
        <v>0.68888888888888899</v>
      </c>
      <c r="E18" s="8">
        <f>D18+$T$15</f>
        <v>0.70625000000000016</v>
      </c>
      <c r="F18" s="3">
        <f>E18-D18</f>
        <v>1.736111111111116E-2</v>
      </c>
      <c r="G18" t="s">
        <v>18</v>
      </c>
      <c r="H18" t="s">
        <v>1</v>
      </c>
      <c r="Q18" s="8">
        <f>R17+$T$17</f>
        <v>6.3888888888888898E-2</v>
      </c>
      <c r="R18" s="8">
        <f>Q18+$T$15</f>
        <v>8.1250000000000017E-2</v>
      </c>
      <c r="S18" s="8"/>
      <c r="T18" s="17">
        <v>1.0416666666666666E-2</v>
      </c>
      <c r="U18" s="11" t="s">
        <v>29</v>
      </c>
    </row>
    <row r="19" spans="1:21" x14ac:dyDescent="0.3">
      <c r="A19" s="2">
        <v>44469</v>
      </c>
      <c r="B19" s="2" t="str">
        <f>TEXT(AutoPomodoro[[#This Row],[DATE]],"mmmm")</f>
        <v>September</v>
      </c>
      <c r="C19" s="2" t="str">
        <f>TEXT(AutoPomodoro[[#This Row],[DATE]],"yyyy")</f>
        <v>2021</v>
      </c>
      <c r="D19" s="8">
        <v>0.71388888888888891</v>
      </c>
      <c r="E19" s="8">
        <v>0.73333333333333339</v>
      </c>
      <c r="F19" s="3">
        <f>E19-D19</f>
        <v>1.9444444444444486E-2</v>
      </c>
      <c r="G19" t="s">
        <v>18</v>
      </c>
      <c r="H19" t="s">
        <v>1</v>
      </c>
      <c r="J19" s="3"/>
      <c r="K19" s="3"/>
    </row>
    <row r="20" spans="1:21" x14ac:dyDescent="0.3">
      <c r="A20" s="2">
        <v>44470</v>
      </c>
      <c r="B20" s="2" t="str">
        <f>TEXT(AutoPomodoro[[#This Row],[DATE]],"mmmm")</f>
        <v>October</v>
      </c>
      <c r="C20" s="2" t="str">
        <f>TEXT(AutoPomodoro[[#This Row],[DATE]],"yyyy")</f>
        <v>2021</v>
      </c>
      <c r="D20" s="8">
        <v>0.46527777777777773</v>
      </c>
      <c r="E20" s="8">
        <f>D20+$T$15</f>
        <v>0.48263888888888884</v>
      </c>
      <c r="F20" s="3">
        <f>E20-D20</f>
        <v>1.7361111111111105E-2</v>
      </c>
      <c r="G20" t="s">
        <v>16</v>
      </c>
      <c r="H20" t="s">
        <v>1</v>
      </c>
      <c r="J20" s="3"/>
      <c r="K20" s="3"/>
    </row>
    <row r="21" spans="1:21" x14ac:dyDescent="0.3">
      <c r="A21" s="2">
        <v>44470</v>
      </c>
      <c r="B21" s="2" t="str">
        <f>TEXT(AutoPomodoro[[#This Row],[DATE]],"mmmm")</f>
        <v>October</v>
      </c>
      <c r="C21" s="2" t="str">
        <f>TEXT(AutoPomodoro[[#This Row],[DATE]],"yyyy")</f>
        <v>2021</v>
      </c>
      <c r="D21" s="8">
        <f>E20+$T$16</f>
        <v>0.48611111111111105</v>
      </c>
      <c r="E21" s="8">
        <f>D21+$T$15</f>
        <v>0.50347222222222221</v>
      </c>
      <c r="F21" s="3">
        <f>E21-D21</f>
        <v>1.736111111111116E-2</v>
      </c>
      <c r="G21" t="s">
        <v>16</v>
      </c>
      <c r="H21" t="s">
        <v>1</v>
      </c>
      <c r="J21" s="3"/>
      <c r="K21" s="3"/>
    </row>
    <row r="22" spans="1:21" x14ac:dyDescent="0.3">
      <c r="A22" s="2">
        <v>44470</v>
      </c>
      <c r="B22" s="2" t="str">
        <f>TEXT(AutoPomodoro[[#This Row],[DATE]],"mmmm")</f>
        <v>October</v>
      </c>
      <c r="C22" s="2" t="str">
        <f>TEXT(AutoPomodoro[[#This Row],[DATE]],"yyyy")</f>
        <v>2021</v>
      </c>
      <c r="D22" s="8">
        <f>E21+$T$16</f>
        <v>0.50694444444444442</v>
      </c>
      <c r="E22" s="8">
        <f>D22+$T$15</f>
        <v>0.52430555555555558</v>
      </c>
      <c r="F22" s="3">
        <v>2.013888888888889E-2</v>
      </c>
      <c r="G22" t="s">
        <v>16</v>
      </c>
      <c r="H22" t="s">
        <v>1</v>
      </c>
      <c r="J22" s="3"/>
      <c r="K22" s="3"/>
    </row>
    <row r="23" spans="1:21" x14ac:dyDescent="0.3">
      <c r="A23" s="2">
        <v>44470</v>
      </c>
      <c r="B23" s="2" t="str">
        <f>TEXT(AutoPomodoro[[#This Row],[DATE]],"mmmm")</f>
        <v>October</v>
      </c>
      <c r="C23" s="2" t="str">
        <f>TEXT(AutoPomodoro[[#This Row],[DATE]],"yyyy")</f>
        <v>2021</v>
      </c>
      <c r="D23" s="8">
        <f>E22+$T$17</f>
        <v>0.52916666666666667</v>
      </c>
      <c r="E23" s="8">
        <f>D23+$T$15</f>
        <v>0.54652777777777783</v>
      </c>
      <c r="F23" s="3">
        <v>1.8749999999999999E-2</v>
      </c>
      <c r="G23" t="s">
        <v>16</v>
      </c>
      <c r="H23" t="s">
        <v>1</v>
      </c>
    </row>
    <row r="24" spans="1:21" x14ac:dyDescent="0.3">
      <c r="A24" s="2">
        <v>44470</v>
      </c>
      <c r="B24" s="2" t="str">
        <f>TEXT(AutoPomodoro[[#This Row],[DATE]],"mmmm")</f>
        <v>October</v>
      </c>
      <c r="C24" s="2" t="str">
        <f>TEXT(AutoPomodoro[[#This Row],[DATE]],"yyyy")</f>
        <v>2021</v>
      </c>
      <c r="D24" s="8">
        <f>E23+$T$17</f>
        <v>0.55138888888888893</v>
      </c>
      <c r="E24" s="8">
        <f>D24+$T$15</f>
        <v>0.56875000000000009</v>
      </c>
      <c r="F24" s="3">
        <v>1.7361111111111112E-2</v>
      </c>
      <c r="G24" t="s">
        <v>0</v>
      </c>
      <c r="H24" t="s">
        <v>2</v>
      </c>
    </row>
    <row r="25" spans="1:21" x14ac:dyDescent="0.3">
      <c r="A25" s="2">
        <v>44470</v>
      </c>
      <c r="B25" s="2" t="str">
        <f>TEXT(AutoPomodoro[[#This Row],[DATE]],"mmmm")</f>
        <v>October</v>
      </c>
      <c r="C25" s="2" t="str">
        <f>TEXT(AutoPomodoro[[#This Row],[DATE]],"yyyy")</f>
        <v>2021</v>
      </c>
      <c r="D25" s="8">
        <v>0.54861111111111105</v>
      </c>
      <c r="E25" s="8">
        <v>0.61805555555555558</v>
      </c>
      <c r="F25" s="3">
        <f>E25-D25</f>
        <v>6.9444444444444531E-2</v>
      </c>
      <c r="G25" t="s">
        <v>21</v>
      </c>
      <c r="H25" t="s">
        <v>1</v>
      </c>
    </row>
    <row r="26" spans="1:21" x14ac:dyDescent="0.3">
      <c r="A26" s="2">
        <v>44470</v>
      </c>
      <c r="B26" s="2" t="str">
        <f>TEXT(AutoPomodoro[[#This Row],[DATE]],"mmmm")</f>
        <v>October</v>
      </c>
      <c r="C26" s="2" t="str">
        <f>TEXT(AutoPomodoro[[#This Row],[DATE]],"yyyy")</f>
        <v>2021</v>
      </c>
      <c r="D26" s="8">
        <v>0.6479166666666667</v>
      </c>
      <c r="E26" s="8">
        <v>0.66666666666666663</v>
      </c>
      <c r="F26" s="3">
        <f>E26-D26</f>
        <v>1.8749999999999933E-2</v>
      </c>
      <c r="G26" t="s">
        <v>19</v>
      </c>
      <c r="H26" t="s">
        <v>1</v>
      </c>
    </row>
    <row r="27" spans="1:21" x14ac:dyDescent="0.3">
      <c r="A27" s="2">
        <v>44473</v>
      </c>
      <c r="B27" s="2" t="str">
        <f>TEXT(AutoPomodoro[[#This Row],[DATE]],"mmmm")</f>
        <v>October</v>
      </c>
      <c r="C27" s="2" t="str">
        <f>TEXT(AutoPomodoro[[#This Row],[DATE]],"yyyy")</f>
        <v>2021</v>
      </c>
      <c r="D27" s="8">
        <v>1.3888888888888888E-2</v>
      </c>
      <c r="E27" s="8">
        <f>D27+$T$15</f>
        <v>3.125E-2</v>
      </c>
      <c r="F27" s="3">
        <v>1.3888888888888888E-2</v>
      </c>
      <c r="G27" t="s">
        <v>18</v>
      </c>
      <c r="H27" t="s">
        <v>1</v>
      </c>
    </row>
    <row r="28" spans="1:21" x14ac:dyDescent="0.3">
      <c r="A28" s="2">
        <v>44473</v>
      </c>
      <c r="B28" s="2" t="str">
        <f>TEXT(AutoPomodoro[[#This Row],[DATE]],"mmmm")</f>
        <v>October</v>
      </c>
      <c r="C28" s="2" t="str">
        <f>TEXT(AutoPomodoro[[#This Row],[DATE]],"yyyy")</f>
        <v>2021</v>
      </c>
      <c r="D28" s="8">
        <f>E27+$T$16</f>
        <v>3.4722222222222224E-2</v>
      </c>
      <c r="E28" s="8">
        <f>D28+$T$15</f>
        <v>5.2083333333333336E-2</v>
      </c>
      <c r="F28" s="3">
        <f t="shared" ref="F28:F34" si="1">E28-D28</f>
        <v>1.7361111111111112E-2</v>
      </c>
      <c r="G28" t="s">
        <v>18</v>
      </c>
      <c r="H28" t="s">
        <v>2</v>
      </c>
    </row>
    <row r="29" spans="1:21" x14ac:dyDescent="0.3">
      <c r="A29" s="2">
        <v>44473</v>
      </c>
      <c r="B29" s="2" t="str">
        <f>TEXT(AutoPomodoro[[#This Row],[DATE]],"mmmm")</f>
        <v>October</v>
      </c>
      <c r="C29" s="2" t="str">
        <f>TEXT(AutoPomodoro[[#This Row],[DATE]],"yyyy")</f>
        <v>2021</v>
      </c>
      <c r="D29" s="8">
        <f>E28+$T$16</f>
        <v>5.5555555555555559E-2</v>
      </c>
      <c r="E29" s="8">
        <f>D29+$T$15</f>
        <v>7.2916666666666671E-2</v>
      </c>
      <c r="F29" s="3">
        <f t="shared" si="1"/>
        <v>1.7361111111111112E-2</v>
      </c>
      <c r="G29" t="s">
        <v>18</v>
      </c>
      <c r="H29" t="s">
        <v>2</v>
      </c>
    </row>
    <row r="30" spans="1:21" x14ac:dyDescent="0.3">
      <c r="A30" s="2">
        <v>44473</v>
      </c>
      <c r="B30" s="2" t="str">
        <f>TEXT(AutoPomodoro[[#This Row],[DATE]],"mmmm")</f>
        <v>October</v>
      </c>
      <c r="C30" s="2" t="str">
        <f>TEXT(AutoPomodoro[[#This Row],[DATE]],"yyyy")</f>
        <v>2021</v>
      </c>
      <c r="D30" s="8">
        <f>E29+$T$17</f>
        <v>7.7777777777777779E-2</v>
      </c>
      <c r="E30" s="8">
        <f>D30+$T$15</f>
        <v>9.5138888888888884E-2</v>
      </c>
      <c r="F30" s="3">
        <f t="shared" si="1"/>
        <v>1.7361111111111105E-2</v>
      </c>
      <c r="G30" t="s">
        <v>18</v>
      </c>
      <c r="H30" t="s">
        <v>2</v>
      </c>
    </row>
    <row r="31" spans="1:21" x14ac:dyDescent="0.3">
      <c r="A31" s="2">
        <v>44473</v>
      </c>
      <c r="B31" s="2" t="str">
        <f>TEXT(AutoPomodoro[[#This Row],[DATE]],"mmmm")</f>
        <v>October</v>
      </c>
      <c r="C31" s="2" t="str">
        <f>TEXT(AutoPomodoro[[#This Row],[DATE]],"yyyy")</f>
        <v>2021</v>
      </c>
      <c r="D31" s="8">
        <v>0</v>
      </c>
      <c r="E31" s="8">
        <v>2.4999999999999998E-2</v>
      </c>
      <c r="F31" s="3">
        <f t="shared" si="1"/>
        <v>2.4999999999999998E-2</v>
      </c>
      <c r="G31" t="s">
        <v>0</v>
      </c>
      <c r="H31" t="s">
        <v>1</v>
      </c>
    </row>
    <row r="32" spans="1:21" x14ac:dyDescent="0.3">
      <c r="A32" s="2">
        <v>44475</v>
      </c>
      <c r="B32" s="2" t="str">
        <f>TEXT(AutoPomodoro[[#This Row],[DATE]],"mmmm")</f>
        <v>October</v>
      </c>
      <c r="C32" s="2" t="str">
        <f>TEXT(AutoPomodoro[[#This Row],[DATE]],"yyyy")</f>
        <v>2021</v>
      </c>
      <c r="D32" s="8">
        <v>0.94444444444444453</v>
      </c>
      <c r="E32" s="8">
        <f>D32+$T$15</f>
        <v>0.96180555555555569</v>
      </c>
      <c r="F32" s="3">
        <f t="shared" si="1"/>
        <v>1.736111111111116E-2</v>
      </c>
      <c r="G32" t="s">
        <v>18</v>
      </c>
      <c r="H32" t="s">
        <v>1</v>
      </c>
    </row>
    <row r="33" spans="1:16" x14ac:dyDescent="0.3">
      <c r="A33" s="2">
        <v>44475</v>
      </c>
      <c r="B33" s="2" t="str">
        <f>TEXT(AutoPomodoro[[#This Row],[DATE]],"mmmm")</f>
        <v>October</v>
      </c>
      <c r="C33" s="2" t="str">
        <f>TEXT(AutoPomodoro[[#This Row],[DATE]],"yyyy")</f>
        <v>2021</v>
      </c>
      <c r="D33" s="8">
        <v>0.97222222222222221</v>
      </c>
      <c r="E33" s="8">
        <f>D33+$T$15</f>
        <v>0.98958333333333337</v>
      </c>
      <c r="F33" s="3">
        <f t="shared" si="1"/>
        <v>1.736111111111116E-2</v>
      </c>
      <c r="G33" t="s">
        <v>18</v>
      </c>
      <c r="H33" t="s">
        <v>1</v>
      </c>
    </row>
    <row r="34" spans="1:16" x14ac:dyDescent="0.3">
      <c r="A34" s="2">
        <v>44476</v>
      </c>
      <c r="B34" s="2" t="str">
        <f>TEXT(AutoPomodoro[[#This Row],[DATE]],"mmmm")</f>
        <v>October</v>
      </c>
      <c r="C34" s="2" t="str">
        <f>TEXT(AutoPomodoro[[#This Row],[DATE]],"yyyy")</f>
        <v>2021</v>
      </c>
      <c r="D34" s="8">
        <f>E33+$T$16</f>
        <v>0.99305555555555558</v>
      </c>
      <c r="E34" s="8">
        <f>D34+$T$15</f>
        <v>1.0104166666666667</v>
      </c>
      <c r="F34" s="3">
        <f t="shared" si="1"/>
        <v>1.736111111111116E-2</v>
      </c>
      <c r="G34" t="s">
        <v>18</v>
      </c>
      <c r="H34" t="s">
        <v>1</v>
      </c>
    </row>
    <row r="35" spans="1:16" x14ac:dyDescent="0.3">
      <c r="A35" s="2">
        <v>44476</v>
      </c>
      <c r="B35" s="2" t="str">
        <f>TEXT(AutoPomodoro[[#This Row],[DATE]],"mmmm")</f>
        <v>October</v>
      </c>
      <c r="C35" s="2" t="str">
        <f>TEXT(AutoPomodoro[[#This Row],[DATE]],"yyyy")</f>
        <v>2021</v>
      </c>
      <c r="D35" s="8">
        <v>0.54999999999999993</v>
      </c>
      <c r="E35" s="8">
        <v>0.56666666666666665</v>
      </c>
      <c r="F35" s="3">
        <f>AutoPomodoro[[#This Row],[ENDING TIME]]-AutoPomodoro[[#This Row],[STARTING TIME]]</f>
        <v>1.6666666666666718E-2</v>
      </c>
      <c r="G35" t="s">
        <v>0</v>
      </c>
      <c r="H35" t="s">
        <v>1</v>
      </c>
    </row>
    <row r="36" spans="1:16" x14ac:dyDescent="0.3">
      <c r="A36" s="2">
        <v>44480</v>
      </c>
      <c r="B36" s="2" t="str">
        <f>TEXT(AutoPomodoro[[#This Row],[DATE]],"mmmm")</f>
        <v>October</v>
      </c>
      <c r="C36" s="2" t="str">
        <f>TEXT(AutoPomodoro[[#This Row],[DATE]],"yyyy")</f>
        <v>2021</v>
      </c>
      <c r="D36" s="8">
        <v>0.38541666666666669</v>
      </c>
      <c r="E36" s="8">
        <f>D36+$T$15</f>
        <v>0.40277777777777779</v>
      </c>
      <c r="F36" s="3">
        <f t="shared" ref="F36:F42" si="2">E36-D36</f>
        <v>1.7361111111111105E-2</v>
      </c>
      <c r="G36" t="s">
        <v>18</v>
      </c>
      <c r="H36" t="s">
        <v>1</v>
      </c>
    </row>
    <row r="37" spans="1:16" x14ac:dyDescent="0.3">
      <c r="A37" s="2">
        <v>44480</v>
      </c>
      <c r="B37" s="2" t="str">
        <f>TEXT(AutoPomodoro[[#This Row],[DATE]],"mmmm")</f>
        <v>October</v>
      </c>
      <c r="C37" s="2" t="str">
        <f>TEXT(AutoPomodoro[[#This Row],[DATE]],"yyyy")</f>
        <v>2021</v>
      </c>
      <c r="D37" s="8">
        <f>E36+$T$16</f>
        <v>0.40625</v>
      </c>
      <c r="E37" s="8">
        <f>D37+$T$15</f>
        <v>0.4236111111111111</v>
      </c>
      <c r="F37" s="3">
        <f t="shared" si="2"/>
        <v>1.7361111111111105E-2</v>
      </c>
      <c r="G37" t="s">
        <v>18</v>
      </c>
      <c r="H37" t="s">
        <v>1</v>
      </c>
    </row>
    <row r="38" spans="1:16" x14ac:dyDescent="0.3">
      <c r="A38" s="2">
        <v>44480</v>
      </c>
      <c r="B38" s="2" t="str">
        <f>TEXT(AutoPomodoro[[#This Row],[DATE]],"mmmm")</f>
        <v>October</v>
      </c>
      <c r="C38" s="2" t="str">
        <f>TEXT(AutoPomodoro[[#This Row],[DATE]],"yyyy")</f>
        <v>2021</v>
      </c>
      <c r="D38" s="8">
        <v>0.4284722222222222</v>
      </c>
      <c r="E38" s="8">
        <f>D38+$T$15</f>
        <v>0.4458333333333333</v>
      </c>
      <c r="F38" s="3">
        <f t="shared" si="2"/>
        <v>1.7361111111111105E-2</v>
      </c>
      <c r="G38" t="s">
        <v>18</v>
      </c>
      <c r="H38" t="s">
        <v>1</v>
      </c>
      <c r="L38" s="5"/>
      <c r="M38" s="4"/>
      <c r="N38" s="4"/>
      <c r="O38" s="4"/>
      <c r="P38" s="4"/>
    </row>
    <row r="39" spans="1:16" x14ac:dyDescent="0.3">
      <c r="A39" s="2">
        <v>44480</v>
      </c>
      <c r="B39" s="2" t="str">
        <f>TEXT(AutoPomodoro[[#This Row],[DATE]],"mmmm")</f>
        <v>October</v>
      </c>
      <c r="C39" s="2" t="str">
        <f>TEXT(AutoPomodoro[[#This Row],[DATE]],"yyyy")</f>
        <v>2021</v>
      </c>
      <c r="D39" s="8">
        <v>0.4513888888888889</v>
      </c>
      <c r="E39" s="8">
        <f>D39+$T$15</f>
        <v>0.46875</v>
      </c>
      <c r="F39" s="3">
        <f t="shared" si="2"/>
        <v>1.7361111111111105E-2</v>
      </c>
      <c r="G39" t="s">
        <v>18</v>
      </c>
      <c r="H39" t="s">
        <v>1</v>
      </c>
    </row>
    <row r="40" spans="1:16" x14ac:dyDescent="0.3">
      <c r="A40" s="2">
        <v>44480</v>
      </c>
      <c r="B40" s="2" t="str">
        <f>TEXT(AutoPomodoro[[#This Row],[DATE]],"mmmm")</f>
        <v>October</v>
      </c>
      <c r="C40" s="2" t="str">
        <f>TEXT(AutoPomodoro[[#This Row],[DATE]],"yyyy")</f>
        <v>2021</v>
      </c>
      <c r="D40" s="8">
        <v>0.47430555555555554</v>
      </c>
      <c r="E40" s="8">
        <v>0.49791666666666662</v>
      </c>
      <c r="F40" s="3">
        <f t="shared" si="2"/>
        <v>2.3611111111111083E-2</v>
      </c>
      <c r="G40" t="s">
        <v>0</v>
      </c>
      <c r="H40" t="s">
        <v>1</v>
      </c>
    </row>
    <row r="41" spans="1:16" x14ac:dyDescent="0.3">
      <c r="A41" s="2">
        <v>44481</v>
      </c>
      <c r="B41" s="2" t="str">
        <f>TEXT(AutoPomodoro[[#This Row],[DATE]],"mmmm")</f>
        <v>October</v>
      </c>
      <c r="C41" s="2" t="str">
        <f>TEXT(AutoPomodoro[[#This Row],[DATE]],"yyyy")</f>
        <v>2021</v>
      </c>
      <c r="D41" s="8">
        <v>0.53819444444444442</v>
      </c>
      <c r="E41" s="8">
        <f>D41+$T$15</f>
        <v>0.55555555555555558</v>
      </c>
      <c r="F41" s="3">
        <f t="shared" si="2"/>
        <v>1.736111111111116E-2</v>
      </c>
      <c r="G41" t="s">
        <v>18</v>
      </c>
      <c r="H41" t="s">
        <v>1</v>
      </c>
    </row>
    <row r="42" spans="1:16" x14ac:dyDescent="0.3">
      <c r="A42" s="2">
        <v>44481</v>
      </c>
      <c r="B42" s="2" t="str">
        <f>TEXT(AutoPomodoro[[#This Row],[DATE]],"mmmm")</f>
        <v>October</v>
      </c>
      <c r="C42" s="2" t="str">
        <f>TEXT(AutoPomodoro[[#This Row],[DATE]],"yyyy")</f>
        <v>2021</v>
      </c>
      <c r="D42" s="8">
        <f>E41+$T$16</f>
        <v>0.55902777777777779</v>
      </c>
      <c r="E42" s="8">
        <f>D42+$T$15</f>
        <v>0.57638888888888895</v>
      </c>
      <c r="F42" s="3">
        <f t="shared" si="2"/>
        <v>1.736111111111116E-2</v>
      </c>
      <c r="G42" t="s">
        <v>18</v>
      </c>
      <c r="H42" t="s">
        <v>1</v>
      </c>
    </row>
    <row r="43" spans="1:16" x14ac:dyDescent="0.3">
      <c r="A43" s="2">
        <v>44481</v>
      </c>
      <c r="B43" s="2" t="str">
        <f>TEXT(AutoPomodoro[[#This Row],[DATE]],"mmmm")</f>
        <v>October</v>
      </c>
      <c r="C43" s="2" t="str">
        <f>TEXT(AutoPomodoro[[#This Row],[DATE]],"yyyy")</f>
        <v>2021</v>
      </c>
      <c r="D43" s="8">
        <f>E42+$T$16</f>
        <v>0.57986111111111116</v>
      </c>
      <c r="E43" s="8">
        <f>D43+$T$15</f>
        <v>0.59722222222222232</v>
      </c>
      <c r="F43" s="3">
        <v>2.5694444444444447E-2</v>
      </c>
      <c r="G43" t="s">
        <v>18</v>
      </c>
      <c r="H43" t="s">
        <v>1</v>
      </c>
    </row>
    <row r="44" spans="1:16" x14ac:dyDescent="0.3">
      <c r="A44" s="2">
        <v>44481</v>
      </c>
      <c r="B44" s="2" t="str">
        <f>TEXT(AutoPomodoro[[#This Row],[DATE]],"mmmm")</f>
        <v>October</v>
      </c>
      <c r="C44" s="2" t="str">
        <f>TEXT(AutoPomodoro[[#This Row],[DATE]],"yyyy")</f>
        <v>2021</v>
      </c>
      <c r="D44" s="8">
        <v>0</v>
      </c>
      <c r="E44" s="8">
        <v>3.6111111111111115E-2</v>
      </c>
      <c r="F44" s="3">
        <f>E44-D44</f>
        <v>3.6111111111111115E-2</v>
      </c>
      <c r="G44" t="s">
        <v>0</v>
      </c>
      <c r="H44" t="s">
        <v>1</v>
      </c>
    </row>
    <row r="45" spans="1:16" x14ac:dyDescent="0.3">
      <c r="A45" s="2">
        <v>44482</v>
      </c>
      <c r="B45" s="2" t="str">
        <f>TEXT(AutoPomodoro[[#This Row],[DATE]],"mmmm")</f>
        <v>October</v>
      </c>
      <c r="C45" s="2" t="str">
        <f>TEXT(AutoPomodoro[[#This Row],[DATE]],"yyyy")</f>
        <v>2021</v>
      </c>
      <c r="D45" s="8">
        <v>0.45833333333333331</v>
      </c>
      <c r="E45" s="8">
        <f>D45+$T$15</f>
        <v>0.47569444444444442</v>
      </c>
      <c r="F45" s="3">
        <f>E45-D45</f>
        <v>1.7361111111111105E-2</v>
      </c>
      <c r="G45" t="s">
        <v>18</v>
      </c>
      <c r="H45" t="s">
        <v>1</v>
      </c>
    </row>
    <row r="46" spans="1:16" x14ac:dyDescent="0.3">
      <c r="A46" s="2">
        <v>44482</v>
      </c>
      <c r="B46" s="2" t="str">
        <f>TEXT(AutoPomodoro[[#This Row],[DATE]],"mmmm")</f>
        <v>October</v>
      </c>
      <c r="C46" s="2" t="str">
        <f>TEXT(AutoPomodoro[[#This Row],[DATE]],"yyyy")</f>
        <v>2021</v>
      </c>
      <c r="D46" s="8">
        <f>E45+$T$16</f>
        <v>0.47916666666666663</v>
      </c>
      <c r="E46" s="8">
        <f>D46+$T$15</f>
        <v>0.49652777777777773</v>
      </c>
      <c r="F46" s="3">
        <f>E46-D46</f>
        <v>1.7361111111111105E-2</v>
      </c>
      <c r="G46" t="s">
        <v>18</v>
      </c>
      <c r="H46" t="s">
        <v>1</v>
      </c>
    </row>
    <row r="47" spans="1:16" x14ac:dyDescent="0.3">
      <c r="A47" s="2">
        <v>44482</v>
      </c>
      <c r="B47" s="2" t="str">
        <f>TEXT(AutoPomodoro[[#This Row],[DATE]],"mmmm")</f>
        <v>October</v>
      </c>
      <c r="C47" s="2" t="str">
        <f>TEXT(AutoPomodoro[[#This Row],[DATE]],"yyyy")</f>
        <v>2021</v>
      </c>
      <c r="D47" s="8">
        <f>E46+$T$16</f>
        <v>0.49999999999999994</v>
      </c>
      <c r="E47" s="8">
        <f>D47+$T$15</f>
        <v>0.51736111111111105</v>
      </c>
      <c r="F47" s="3">
        <f>E47-D47</f>
        <v>1.7361111111111105E-2</v>
      </c>
      <c r="G47" t="s">
        <v>18</v>
      </c>
      <c r="H47" t="s">
        <v>1</v>
      </c>
    </row>
    <row r="48" spans="1:16" x14ac:dyDescent="0.3">
      <c r="A48" s="2">
        <v>44482</v>
      </c>
      <c r="B48" s="2" t="str">
        <f>TEXT(AutoPomodoro[[#This Row],[DATE]],"mmmm")</f>
        <v>October</v>
      </c>
      <c r="C48" s="2" t="str">
        <f>TEXT(AutoPomodoro[[#This Row],[DATE]],"yyyy")</f>
        <v>2021</v>
      </c>
      <c r="D48" s="8">
        <f>E47+$T$17</f>
        <v>0.52222222222222214</v>
      </c>
      <c r="E48" s="8">
        <f>D48+$T$15</f>
        <v>0.5395833333333333</v>
      </c>
      <c r="F48" s="3">
        <v>2.7777777777777776E-2</v>
      </c>
      <c r="G48" t="s">
        <v>18</v>
      </c>
      <c r="H48" t="s">
        <v>1</v>
      </c>
    </row>
    <row r="49" spans="1:8" x14ac:dyDescent="0.3">
      <c r="A49" s="2">
        <v>44482</v>
      </c>
      <c r="B49" s="2" t="str">
        <f>TEXT(AutoPomodoro[[#This Row],[DATE]],"mmmm")</f>
        <v>October</v>
      </c>
      <c r="C49" s="2" t="str">
        <f>TEXT(AutoPomodoro[[#This Row],[DATE]],"yyyy")</f>
        <v>2021</v>
      </c>
      <c r="D49" s="8">
        <v>0.55347222222222225</v>
      </c>
      <c r="E49" s="8">
        <v>0.625</v>
      </c>
      <c r="F49" s="3">
        <f>E49-D49</f>
        <v>7.1527777777777746E-2</v>
      </c>
      <c r="G49" t="s">
        <v>21</v>
      </c>
      <c r="H49" t="s">
        <v>1</v>
      </c>
    </row>
    <row r="50" spans="1:8" x14ac:dyDescent="0.3">
      <c r="A50" s="2">
        <v>44482</v>
      </c>
      <c r="B50" s="2" t="str">
        <f>TEXT(AutoPomodoro[[#This Row],[DATE]],"mmmm")</f>
        <v>October</v>
      </c>
      <c r="C50" s="2" t="str">
        <f>TEXT(AutoPomodoro[[#This Row],[DATE]],"yyyy")</f>
        <v>2021</v>
      </c>
      <c r="D50" s="8">
        <v>0.625</v>
      </c>
      <c r="E50" s="8">
        <f t="shared" ref="E50:E60" si="3">D50+$T$15</f>
        <v>0.64236111111111116</v>
      </c>
      <c r="F50" s="3">
        <v>1.3888888888888888E-2</v>
      </c>
      <c r="G50" t="s">
        <v>17</v>
      </c>
      <c r="H50" t="s">
        <v>1</v>
      </c>
    </row>
    <row r="51" spans="1:8" x14ac:dyDescent="0.3">
      <c r="A51" s="2">
        <v>44482</v>
      </c>
      <c r="B51" s="2" t="str">
        <f>TEXT(AutoPomodoro[[#This Row],[DATE]],"mmmm")</f>
        <v>October</v>
      </c>
      <c r="C51" s="2" t="str">
        <f>TEXT(AutoPomodoro[[#This Row],[DATE]],"yyyy")</f>
        <v>2021</v>
      </c>
      <c r="D51" s="8">
        <f>E50+$T$16</f>
        <v>0.64583333333333337</v>
      </c>
      <c r="E51" s="8">
        <f t="shared" si="3"/>
        <v>0.66319444444444453</v>
      </c>
      <c r="F51" s="3">
        <f>E51-D51</f>
        <v>1.736111111111116E-2</v>
      </c>
      <c r="G51" t="s">
        <v>17</v>
      </c>
      <c r="H51" t="s">
        <v>1</v>
      </c>
    </row>
    <row r="52" spans="1:8" x14ac:dyDescent="0.3">
      <c r="A52" s="2">
        <v>44482</v>
      </c>
      <c r="B52" s="2" t="str">
        <f>TEXT(AutoPomodoro[[#This Row],[DATE]],"mmmm")</f>
        <v>October</v>
      </c>
      <c r="C52" s="2" t="str">
        <f>TEXT(AutoPomodoro[[#This Row],[DATE]],"yyyy")</f>
        <v>2021</v>
      </c>
      <c r="D52" s="8">
        <f>E51+$T$16</f>
        <v>0.66666666666666674</v>
      </c>
      <c r="E52" s="8">
        <f t="shared" si="3"/>
        <v>0.6840277777777779</v>
      </c>
      <c r="F52" s="3">
        <f>E52-D52</f>
        <v>1.736111111111116E-2</v>
      </c>
      <c r="G52" t="s">
        <v>18</v>
      </c>
      <c r="H52" t="s">
        <v>1</v>
      </c>
    </row>
    <row r="53" spans="1:8" x14ac:dyDescent="0.3">
      <c r="A53" s="2">
        <v>44482</v>
      </c>
      <c r="B53" s="2" t="str">
        <f>TEXT(AutoPomodoro[[#This Row],[DATE]],"mmmm")</f>
        <v>October</v>
      </c>
      <c r="C53" s="2" t="str">
        <f>TEXT(AutoPomodoro[[#This Row],[DATE]],"yyyy")</f>
        <v>2021</v>
      </c>
      <c r="D53" s="8">
        <f>E52+$T$17</f>
        <v>0.68888888888888899</v>
      </c>
      <c r="E53" s="8">
        <f t="shared" si="3"/>
        <v>0.70625000000000016</v>
      </c>
      <c r="F53" s="3">
        <f>E53-D53</f>
        <v>1.736111111111116E-2</v>
      </c>
      <c r="G53" t="s">
        <v>18</v>
      </c>
      <c r="H53" t="s">
        <v>1</v>
      </c>
    </row>
    <row r="54" spans="1:8" x14ac:dyDescent="0.3">
      <c r="A54" s="2">
        <v>44482</v>
      </c>
      <c r="B54" s="2" t="str">
        <f>TEXT(AutoPomodoro[[#This Row],[DATE]],"mmmm")</f>
        <v>October</v>
      </c>
      <c r="C54" s="2" t="str">
        <f>TEXT(AutoPomodoro[[#This Row],[DATE]],"yyyy")</f>
        <v>2021</v>
      </c>
      <c r="D54" s="8">
        <v>0.72916666666666663</v>
      </c>
      <c r="E54" s="8">
        <f t="shared" si="3"/>
        <v>0.74652777777777779</v>
      </c>
      <c r="F54" s="3">
        <f>E54-D54</f>
        <v>1.736111111111116E-2</v>
      </c>
      <c r="G54" t="s">
        <v>18</v>
      </c>
      <c r="H54" t="s">
        <v>1</v>
      </c>
    </row>
    <row r="55" spans="1:8" x14ac:dyDescent="0.3">
      <c r="A55" s="2">
        <v>44482</v>
      </c>
      <c r="B55" s="2" t="str">
        <f>TEXT(AutoPomodoro[[#This Row],[DATE]],"mmmm")</f>
        <v>October</v>
      </c>
      <c r="C55" s="2" t="str">
        <f>TEXT(AutoPomodoro[[#This Row],[DATE]],"yyyy")</f>
        <v>2021</v>
      </c>
      <c r="D55" s="8">
        <f>E54+$T$16</f>
        <v>0.75</v>
      </c>
      <c r="E55" s="8">
        <f t="shared" si="3"/>
        <v>0.76736111111111116</v>
      </c>
      <c r="F55" s="3">
        <v>1.8055555555555557E-2</v>
      </c>
      <c r="G55" t="s">
        <v>18</v>
      </c>
      <c r="H55" t="s">
        <v>1</v>
      </c>
    </row>
    <row r="56" spans="1:8" x14ac:dyDescent="0.3">
      <c r="A56" s="2">
        <v>44482</v>
      </c>
      <c r="B56" s="2" t="str">
        <f>TEXT(AutoPomodoro[[#This Row],[DATE]],"mmmm")</f>
        <v>October</v>
      </c>
      <c r="C56" s="2" t="str">
        <f>TEXT(AutoPomodoro[[#This Row],[DATE]],"yyyy")</f>
        <v>2021</v>
      </c>
      <c r="D56" s="8">
        <f>E55+$T$16</f>
        <v>0.77083333333333337</v>
      </c>
      <c r="E56" s="8">
        <f t="shared" si="3"/>
        <v>0.78819444444444453</v>
      </c>
      <c r="F56" s="3">
        <f>E56-D56</f>
        <v>1.736111111111116E-2</v>
      </c>
      <c r="G56" t="s">
        <v>0</v>
      </c>
      <c r="H56" t="s">
        <v>1</v>
      </c>
    </row>
    <row r="57" spans="1:8" x14ac:dyDescent="0.3">
      <c r="A57" s="2">
        <v>44482</v>
      </c>
      <c r="B57" s="2" t="str">
        <f>TEXT(AutoPomodoro[[#This Row],[DATE]],"mmmm")</f>
        <v>October</v>
      </c>
      <c r="C57" s="2" t="str">
        <f>TEXT(AutoPomodoro[[#This Row],[DATE]],"yyyy")</f>
        <v>2021</v>
      </c>
      <c r="D57" s="8">
        <f>E56+$T$17</f>
        <v>0.79305555555555562</v>
      </c>
      <c r="E57" s="8">
        <f t="shared" si="3"/>
        <v>0.81041666666666679</v>
      </c>
      <c r="F57" s="3">
        <v>1.9444444444444445E-2</v>
      </c>
      <c r="G57" t="s">
        <v>0</v>
      </c>
      <c r="H57" t="s">
        <v>1</v>
      </c>
    </row>
    <row r="58" spans="1:8" x14ac:dyDescent="0.3">
      <c r="A58" s="2">
        <v>44483</v>
      </c>
      <c r="B58" s="2" t="str">
        <f>TEXT(AutoPomodoro[[#This Row],[DATE]],"mmmm")</f>
        <v>October</v>
      </c>
      <c r="C58" s="2" t="str">
        <f>TEXT(AutoPomodoro[[#This Row],[DATE]],"yyyy")</f>
        <v>2021</v>
      </c>
      <c r="D58" s="8">
        <v>0.77083333333333337</v>
      </c>
      <c r="E58" s="8">
        <f t="shared" si="3"/>
        <v>0.78819444444444453</v>
      </c>
      <c r="F58" s="3">
        <v>3.125E-2</v>
      </c>
      <c r="G58" t="s">
        <v>18</v>
      </c>
      <c r="H58" t="s">
        <v>1</v>
      </c>
    </row>
    <row r="59" spans="1:8" x14ac:dyDescent="0.3">
      <c r="A59" s="2">
        <v>44483</v>
      </c>
      <c r="B59" s="2" t="str">
        <f>TEXT(AutoPomodoro[[#This Row],[DATE]],"mmmm")</f>
        <v>October</v>
      </c>
      <c r="C59" s="2" t="str">
        <f>TEXT(AutoPomodoro[[#This Row],[DATE]],"yyyy")</f>
        <v>2021</v>
      </c>
      <c r="D59" s="8">
        <f>E58+$T$16</f>
        <v>0.79166666666666674</v>
      </c>
      <c r="E59" s="8">
        <f t="shared" si="3"/>
        <v>0.8090277777777779</v>
      </c>
      <c r="F59" s="3">
        <v>2.1527777777777781E-2</v>
      </c>
      <c r="G59" t="s">
        <v>18</v>
      </c>
      <c r="H59" t="s">
        <v>1</v>
      </c>
    </row>
    <row r="60" spans="1:8" x14ac:dyDescent="0.3">
      <c r="A60" s="2">
        <v>44483</v>
      </c>
      <c r="B60" s="2" t="str">
        <f>TEXT(AutoPomodoro[[#This Row],[DATE]],"mmmm")</f>
        <v>October</v>
      </c>
      <c r="C60" s="2" t="str">
        <f>TEXT(AutoPomodoro[[#This Row],[DATE]],"yyyy")</f>
        <v>2021</v>
      </c>
      <c r="D60" s="8">
        <f>E59+$T$16</f>
        <v>0.81250000000000011</v>
      </c>
      <c r="E60" s="8">
        <f t="shared" si="3"/>
        <v>0.82986111111111127</v>
      </c>
      <c r="F60" s="3">
        <f>E60-D60</f>
        <v>1.736111111111116E-2</v>
      </c>
      <c r="G60" t="s">
        <v>0</v>
      </c>
      <c r="H60" t="s">
        <v>1</v>
      </c>
    </row>
    <row r="61" spans="1:8" x14ac:dyDescent="0.3">
      <c r="A61" s="2">
        <v>44484</v>
      </c>
      <c r="B61" s="2" t="str">
        <f>TEXT(AutoPomodoro[[#This Row],[DATE]],"mmmm")</f>
        <v>October</v>
      </c>
      <c r="C61" s="2" t="str">
        <f>TEXT(AutoPomodoro[[#This Row],[DATE]],"yyyy")</f>
        <v>2021</v>
      </c>
      <c r="D61" s="8">
        <v>0.60277777777777775</v>
      </c>
      <c r="E61" s="8">
        <v>0.61805555555555558</v>
      </c>
      <c r="F61" s="3">
        <f>E61-D61</f>
        <v>1.5277777777777835E-2</v>
      </c>
      <c r="G61" t="s">
        <v>0</v>
      </c>
      <c r="H61" t="s">
        <v>1</v>
      </c>
    </row>
    <row r="62" spans="1:8" x14ac:dyDescent="0.3">
      <c r="A62" s="2">
        <v>44484</v>
      </c>
      <c r="B62" s="2" t="str">
        <f>TEXT(AutoPomodoro[[#This Row],[DATE]],"mmmm")</f>
        <v>October</v>
      </c>
      <c r="C62" s="2" t="str">
        <f>TEXT(AutoPomodoro[[#This Row],[DATE]],"yyyy")</f>
        <v>2021</v>
      </c>
      <c r="D62" s="8">
        <v>0.62083333333333335</v>
      </c>
      <c r="E62" s="8">
        <v>0.64513888888888882</v>
      </c>
      <c r="F62" s="3">
        <f>E62-D62</f>
        <v>2.4305555555555469E-2</v>
      </c>
      <c r="G62" t="s">
        <v>0</v>
      </c>
      <c r="H62" t="s">
        <v>1</v>
      </c>
    </row>
    <row r="63" spans="1:8" x14ac:dyDescent="0.3">
      <c r="A63" s="2">
        <v>44486</v>
      </c>
      <c r="B63" s="2" t="str">
        <f>TEXT(AutoPomodoro[[#This Row],[DATE]],"mmmm")</f>
        <v>October</v>
      </c>
      <c r="C63" s="2" t="str">
        <f>TEXT(AutoPomodoro[[#This Row],[DATE]],"yyyy")</f>
        <v>2021</v>
      </c>
      <c r="D63" s="8">
        <v>0.57638888888888895</v>
      </c>
      <c r="E63" s="8">
        <f t="shared" ref="E63:E74" si="4">D63+$T$15</f>
        <v>0.59375000000000011</v>
      </c>
      <c r="F63" s="3">
        <f>E63-D63</f>
        <v>1.736111111111116E-2</v>
      </c>
      <c r="G63" t="s">
        <v>18</v>
      </c>
      <c r="H63" t="s">
        <v>1</v>
      </c>
    </row>
    <row r="64" spans="1:8" x14ac:dyDescent="0.3">
      <c r="A64" s="2">
        <v>44486</v>
      </c>
      <c r="B64" s="2" t="str">
        <f>TEXT(AutoPomodoro[[#This Row],[DATE]],"mmmm")</f>
        <v>October</v>
      </c>
      <c r="C64" s="2" t="str">
        <f>TEXT(AutoPomodoro[[#This Row],[DATE]],"yyyy")</f>
        <v>2021</v>
      </c>
      <c r="D64" s="8">
        <f>E63+$T$16</f>
        <v>0.59722222222222232</v>
      </c>
      <c r="E64" s="8">
        <f t="shared" si="4"/>
        <v>0.61458333333333348</v>
      </c>
      <c r="F64" s="3">
        <v>2.013888888888889E-2</v>
      </c>
      <c r="G64" t="s">
        <v>18</v>
      </c>
      <c r="H64" t="s">
        <v>1</v>
      </c>
    </row>
    <row r="65" spans="1:8" x14ac:dyDescent="0.3">
      <c r="A65" s="2">
        <v>44486</v>
      </c>
      <c r="B65" s="2" t="str">
        <f>TEXT(AutoPomodoro[[#This Row],[DATE]],"mmmm")</f>
        <v>October</v>
      </c>
      <c r="C65" s="2" t="str">
        <f>TEXT(AutoPomodoro[[#This Row],[DATE]],"yyyy")</f>
        <v>2021</v>
      </c>
      <c r="D65" s="8">
        <f>E64+$T$16</f>
        <v>0.61805555555555569</v>
      </c>
      <c r="E65" s="8">
        <f t="shared" si="4"/>
        <v>0.63541666666666685</v>
      </c>
      <c r="F65" s="3">
        <f>E65-D65</f>
        <v>1.736111111111116E-2</v>
      </c>
      <c r="G65" t="s">
        <v>18</v>
      </c>
      <c r="H65" t="s">
        <v>1</v>
      </c>
    </row>
    <row r="66" spans="1:8" x14ac:dyDescent="0.3">
      <c r="A66" s="2">
        <v>44486</v>
      </c>
      <c r="B66" s="2" t="str">
        <f>TEXT(AutoPomodoro[[#This Row],[DATE]],"mmmm")</f>
        <v>October</v>
      </c>
      <c r="C66" s="2" t="str">
        <f>TEXT(AutoPomodoro[[#This Row],[DATE]],"yyyy")</f>
        <v>2021</v>
      </c>
      <c r="D66" s="8">
        <f>E65+$T$17</f>
        <v>0.64027777777777795</v>
      </c>
      <c r="E66" s="8">
        <f t="shared" si="4"/>
        <v>0.65763888888888911</v>
      </c>
      <c r="F66" s="3">
        <v>2.4305555555555556E-2</v>
      </c>
      <c r="G66" t="s">
        <v>18</v>
      </c>
      <c r="H66" t="s">
        <v>1</v>
      </c>
    </row>
    <row r="67" spans="1:8" x14ac:dyDescent="0.3">
      <c r="A67" s="2">
        <v>44486</v>
      </c>
      <c r="B67" s="2" t="str">
        <f>TEXT(AutoPomodoro[[#This Row],[DATE]],"mmmm")</f>
        <v>October</v>
      </c>
      <c r="C67" s="2" t="str">
        <f>TEXT(AutoPomodoro[[#This Row],[DATE]],"yyyy")</f>
        <v>2021</v>
      </c>
      <c r="D67" s="8">
        <v>0.70486111111111116</v>
      </c>
      <c r="E67" s="8">
        <f t="shared" si="4"/>
        <v>0.72222222222222232</v>
      </c>
      <c r="F67" s="3">
        <f>AutoPomodoro[[#This Row],[ENDING TIME]]-AutoPomodoro[[#This Row],[STARTING TIME]]</f>
        <v>1.736111111111116E-2</v>
      </c>
      <c r="G67" t="s">
        <v>0</v>
      </c>
      <c r="H67" t="s">
        <v>1</v>
      </c>
    </row>
    <row r="68" spans="1:8" x14ac:dyDescent="0.3">
      <c r="A68" s="2">
        <v>44486</v>
      </c>
      <c r="B68" s="2" t="str">
        <f>TEXT(AutoPomodoro[[#This Row],[DATE]],"mmmm")</f>
        <v>October</v>
      </c>
      <c r="C68" s="2" t="str">
        <f>TEXT(AutoPomodoro[[#This Row],[DATE]],"yyyy")</f>
        <v>2021</v>
      </c>
      <c r="D68" s="8">
        <f>E67+$T$16</f>
        <v>0.72569444444444453</v>
      </c>
      <c r="E68" s="8">
        <f t="shared" si="4"/>
        <v>0.74305555555555569</v>
      </c>
      <c r="F68" s="3">
        <f>AutoPomodoro[[#This Row],[ENDING TIME]]-AutoPomodoro[[#This Row],[STARTING TIME]]</f>
        <v>1.736111111111116E-2</v>
      </c>
      <c r="G68" t="s">
        <v>0</v>
      </c>
      <c r="H68" t="s">
        <v>1</v>
      </c>
    </row>
    <row r="69" spans="1:8" x14ac:dyDescent="0.3">
      <c r="A69" s="2">
        <v>44486</v>
      </c>
      <c r="B69" s="2" t="str">
        <f>TEXT(AutoPomodoro[[#This Row],[DATE]],"mmmm")</f>
        <v>October</v>
      </c>
      <c r="C69" s="2" t="str">
        <f>TEXT(AutoPomodoro[[#This Row],[DATE]],"yyyy")</f>
        <v>2021</v>
      </c>
      <c r="D69" s="8">
        <f>E68+$T$16</f>
        <v>0.7465277777777779</v>
      </c>
      <c r="E69" s="8">
        <f t="shared" si="4"/>
        <v>0.76388888888888906</v>
      </c>
      <c r="F69" s="3">
        <v>1.8055555555555557E-2</v>
      </c>
      <c r="G69" t="s">
        <v>0</v>
      </c>
      <c r="H69" t="s">
        <v>1</v>
      </c>
    </row>
    <row r="70" spans="1:8" x14ac:dyDescent="0.3">
      <c r="A70" s="2">
        <v>44487</v>
      </c>
      <c r="B70" s="2" t="str">
        <f>TEXT(AutoPomodoro[[#This Row],[DATE]],"mmmm")</f>
        <v>October</v>
      </c>
      <c r="C70" s="2" t="str">
        <f>TEXT(AutoPomodoro[[#This Row],[DATE]],"yyyy")</f>
        <v>2021</v>
      </c>
      <c r="D70" s="8"/>
      <c r="E70" s="8">
        <f t="shared" si="4"/>
        <v>1.7361111111111112E-2</v>
      </c>
      <c r="F70" s="3">
        <v>4.6527777777777779E-2</v>
      </c>
      <c r="G70" t="s">
        <v>0</v>
      </c>
      <c r="H70" t="s">
        <v>1</v>
      </c>
    </row>
    <row r="71" spans="1:8" x14ac:dyDescent="0.3">
      <c r="A71" s="2">
        <v>44488</v>
      </c>
      <c r="B71" s="2" t="str">
        <f>TEXT(AutoPomodoro[[#This Row],[DATE]],"mmmm")</f>
        <v>October</v>
      </c>
      <c r="C71" s="2" t="str">
        <f>TEXT(AutoPomodoro[[#This Row],[DATE]],"yyyy")</f>
        <v>2021</v>
      </c>
      <c r="D71" s="8">
        <v>0.43402777777777773</v>
      </c>
      <c r="E71" s="8">
        <f t="shared" si="4"/>
        <v>0.45138888888888884</v>
      </c>
      <c r="F71" s="3">
        <f>E71-D71</f>
        <v>1.7361111111111105E-2</v>
      </c>
      <c r="G71" t="s">
        <v>0</v>
      </c>
      <c r="H71" t="s">
        <v>1</v>
      </c>
    </row>
    <row r="72" spans="1:8" x14ac:dyDescent="0.3">
      <c r="A72" s="2">
        <v>44488</v>
      </c>
      <c r="B72" s="2" t="str">
        <f>TEXT(AutoPomodoro[[#This Row],[DATE]],"mmmm")</f>
        <v>October</v>
      </c>
      <c r="C72" s="2" t="str">
        <f>TEXT(AutoPomodoro[[#This Row],[DATE]],"yyyy")</f>
        <v>2021</v>
      </c>
      <c r="D72" s="8">
        <f>E71+$T$16</f>
        <v>0.45486111111111105</v>
      </c>
      <c r="E72" s="8">
        <f t="shared" si="4"/>
        <v>0.47222222222222215</v>
      </c>
      <c r="F72" s="3">
        <v>2.5694444444444447E-2</v>
      </c>
      <c r="G72" t="s">
        <v>0</v>
      </c>
      <c r="H72" t="s">
        <v>1</v>
      </c>
    </row>
    <row r="73" spans="1:8" x14ac:dyDescent="0.3">
      <c r="A73" s="2">
        <v>44488</v>
      </c>
      <c r="B73" s="2" t="str">
        <f>TEXT(AutoPomodoro[[#This Row],[DATE]],"mmmm")</f>
        <v>October</v>
      </c>
      <c r="C73" s="2" t="str">
        <f>TEXT(AutoPomodoro[[#This Row],[DATE]],"yyyy")</f>
        <v>2021</v>
      </c>
      <c r="D73" s="8">
        <v>0.51736111111111105</v>
      </c>
      <c r="E73" s="8">
        <f t="shared" si="4"/>
        <v>0.53472222222222221</v>
      </c>
      <c r="F73" s="3">
        <v>1.8749999999999999E-2</v>
      </c>
      <c r="G73" t="s">
        <v>18</v>
      </c>
      <c r="H73" t="s">
        <v>1</v>
      </c>
    </row>
    <row r="74" spans="1:8" x14ac:dyDescent="0.3">
      <c r="A74" s="2">
        <v>44488</v>
      </c>
      <c r="B74" s="2" t="str">
        <f>TEXT(AutoPomodoro[[#This Row],[DATE]],"mmmm")</f>
        <v>October</v>
      </c>
      <c r="C74" s="2" t="str">
        <f>TEXT(AutoPomodoro[[#This Row],[DATE]],"yyyy")</f>
        <v>2021</v>
      </c>
      <c r="D74" s="8">
        <f>E73+$T$16</f>
        <v>0.53819444444444442</v>
      </c>
      <c r="E74" s="8">
        <f t="shared" si="4"/>
        <v>0.55555555555555558</v>
      </c>
      <c r="F74" s="3">
        <v>3.2638888888888891E-2</v>
      </c>
      <c r="G74" t="s">
        <v>18</v>
      </c>
      <c r="H74" t="s">
        <v>1</v>
      </c>
    </row>
    <row r="75" spans="1:8" x14ac:dyDescent="0.3">
      <c r="A75" s="2">
        <v>44489</v>
      </c>
      <c r="B75" s="2" t="str">
        <f>TEXT(AutoPomodoro[[#This Row],[DATE]],"mmmm")</f>
        <v>October</v>
      </c>
      <c r="C75" s="2" t="str">
        <f>TEXT(AutoPomodoro[[#This Row],[DATE]],"yyyy")</f>
        <v>2021</v>
      </c>
      <c r="D75" s="8">
        <v>0.49652777777777773</v>
      </c>
      <c r="E75" s="8">
        <v>0.54166666666666663</v>
      </c>
      <c r="F75" s="3">
        <f>E75-D75</f>
        <v>4.5138888888888895E-2</v>
      </c>
      <c r="G75" t="s">
        <v>17</v>
      </c>
      <c r="H75" t="s">
        <v>1</v>
      </c>
    </row>
    <row r="76" spans="1:8" x14ac:dyDescent="0.3">
      <c r="A76" s="2">
        <v>44489</v>
      </c>
      <c r="B76" s="2" t="str">
        <f>TEXT(AutoPomodoro[[#This Row],[DATE]],"mmmm")</f>
        <v>October</v>
      </c>
      <c r="C76" s="2" t="str">
        <f>TEXT(AutoPomodoro[[#This Row],[DATE]],"yyyy")</f>
        <v>2021</v>
      </c>
      <c r="D76" s="8"/>
      <c r="E76" s="8">
        <f t="shared" ref="E76:E82" si="5">D76+$T$15</f>
        <v>1.7361111111111112E-2</v>
      </c>
      <c r="F76" s="3">
        <v>7.2916666666666671E-2</v>
      </c>
      <c r="G76" t="s">
        <v>17</v>
      </c>
      <c r="H76" t="s">
        <v>1</v>
      </c>
    </row>
    <row r="77" spans="1:8" x14ac:dyDescent="0.3">
      <c r="A77" s="2">
        <v>44489</v>
      </c>
      <c r="B77" s="2" t="str">
        <f>TEXT(AutoPomodoro[[#This Row],[DATE]],"mmmm")</f>
        <v>October</v>
      </c>
      <c r="C77" s="2" t="str">
        <f>TEXT(AutoPomodoro[[#This Row],[DATE]],"yyyy")</f>
        <v>2021</v>
      </c>
      <c r="D77" s="8"/>
      <c r="E77" s="8">
        <f t="shared" si="5"/>
        <v>1.7361111111111112E-2</v>
      </c>
      <c r="F77" s="3">
        <v>4.027777777777778E-2</v>
      </c>
      <c r="G77" t="s">
        <v>0</v>
      </c>
      <c r="H77" t="s">
        <v>1</v>
      </c>
    </row>
    <row r="78" spans="1:8" x14ac:dyDescent="0.3">
      <c r="A78" s="2">
        <v>44490</v>
      </c>
      <c r="B78" s="2" t="str">
        <f>TEXT(AutoPomodoro[[#This Row],[DATE]],"mmmm")</f>
        <v>October</v>
      </c>
      <c r="C78" s="2" t="str">
        <f>TEXT(AutoPomodoro[[#This Row],[DATE]],"yyyy")</f>
        <v>2021</v>
      </c>
      <c r="D78" s="8">
        <v>0.39930555555555558</v>
      </c>
      <c r="E78" s="8">
        <f t="shared" si="5"/>
        <v>0.41666666666666669</v>
      </c>
      <c r="F78" s="3">
        <v>2.2916666666666669E-2</v>
      </c>
      <c r="G78" t="s">
        <v>18</v>
      </c>
      <c r="H78" t="s">
        <v>1</v>
      </c>
    </row>
    <row r="79" spans="1:8" x14ac:dyDescent="0.3">
      <c r="A79" s="2">
        <v>44490</v>
      </c>
      <c r="B79" s="2" t="str">
        <f>TEXT(AutoPomodoro[[#This Row],[DATE]],"mmmm")</f>
        <v>October</v>
      </c>
      <c r="C79" s="2" t="str">
        <f>TEXT(AutoPomodoro[[#This Row],[DATE]],"yyyy")</f>
        <v>2021</v>
      </c>
      <c r="D79" s="8">
        <f>E78+$T$16</f>
        <v>0.4201388888888889</v>
      </c>
      <c r="E79" s="8">
        <f t="shared" si="5"/>
        <v>0.4375</v>
      </c>
      <c r="F79" s="3">
        <f>E79-D79</f>
        <v>1.7361111111111105E-2</v>
      </c>
      <c r="G79" t="s">
        <v>18</v>
      </c>
      <c r="H79" t="s">
        <v>1</v>
      </c>
    </row>
    <row r="80" spans="1:8" x14ac:dyDescent="0.3">
      <c r="A80" s="2">
        <v>44490</v>
      </c>
      <c r="B80" s="2" t="str">
        <f>TEXT(AutoPomodoro[[#This Row],[DATE]],"mmmm")</f>
        <v>October</v>
      </c>
      <c r="C80" s="2" t="str">
        <f>TEXT(AutoPomodoro[[#This Row],[DATE]],"yyyy")</f>
        <v>2021</v>
      </c>
      <c r="D80" s="8">
        <f>E79+$T$16</f>
        <v>0.44097222222222221</v>
      </c>
      <c r="E80" s="8">
        <f t="shared" si="5"/>
        <v>0.45833333333333331</v>
      </c>
      <c r="F80" s="3">
        <v>1.8055555555555557E-2</v>
      </c>
      <c r="G80" t="s">
        <v>18</v>
      </c>
      <c r="H80" t="s">
        <v>1</v>
      </c>
    </row>
    <row r="81" spans="1:8" x14ac:dyDescent="0.3">
      <c r="A81" s="2">
        <v>44490</v>
      </c>
      <c r="B81" s="2" t="str">
        <f>TEXT(AutoPomodoro[[#This Row],[DATE]],"mmmm")</f>
        <v>October</v>
      </c>
      <c r="C81" s="2" t="str">
        <f>TEXT(AutoPomodoro[[#This Row],[DATE]],"yyyy")</f>
        <v>2021</v>
      </c>
      <c r="D81" s="8">
        <f>E80+$T$17</f>
        <v>0.46319444444444441</v>
      </c>
      <c r="E81" s="8">
        <f t="shared" si="5"/>
        <v>0.48055555555555551</v>
      </c>
      <c r="F81" s="3">
        <v>2.2916666666666669E-2</v>
      </c>
      <c r="G81" t="s">
        <v>18</v>
      </c>
      <c r="H81" t="s">
        <v>1</v>
      </c>
    </row>
    <row r="82" spans="1:8" x14ac:dyDescent="0.3">
      <c r="A82" s="2">
        <v>44490</v>
      </c>
      <c r="B82" s="2" t="str">
        <f>TEXT(AutoPomodoro[[#This Row],[DATE]],"mmmm")</f>
        <v>October</v>
      </c>
      <c r="C82" s="2" t="str">
        <f>TEXT(AutoPomodoro[[#This Row],[DATE]],"yyyy")</f>
        <v>2021</v>
      </c>
      <c r="D82" s="8">
        <v>0.48819444444444443</v>
      </c>
      <c r="E82" s="8">
        <f t="shared" si="5"/>
        <v>0.50555555555555554</v>
      </c>
      <c r="F82" s="3">
        <v>2.2222222222222223E-2</v>
      </c>
      <c r="G82" t="s">
        <v>18</v>
      </c>
      <c r="H82" t="s">
        <v>1</v>
      </c>
    </row>
    <row r="83" spans="1:8" x14ac:dyDescent="0.3">
      <c r="A83" s="2">
        <v>44491</v>
      </c>
      <c r="B83" s="2" t="str">
        <f>TEXT(AutoPomodoro[[#This Row],[DATE]],"mmmm")</f>
        <v>October</v>
      </c>
      <c r="C83" s="2" t="str">
        <f>TEXT(AutoPomodoro[[#This Row],[DATE]],"yyyy")</f>
        <v>2021</v>
      </c>
      <c r="D83" s="8">
        <v>0.45347222222222222</v>
      </c>
      <c r="E83" s="8">
        <v>0.47013888888888888</v>
      </c>
      <c r="F83" s="3">
        <f>E83-D83</f>
        <v>1.6666666666666663E-2</v>
      </c>
      <c r="G83" t="s">
        <v>18</v>
      </c>
      <c r="H83" t="s">
        <v>1</v>
      </c>
    </row>
    <row r="84" spans="1:8" x14ac:dyDescent="0.3">
      <c r="A84" s="2">
        <v>44491</v>
      </c>
      <c r="B84" s="2" t="str">
        <f>TEXT(AutoPomodoro[[#This Row],[DATE]],"mmmm")</f>
        <v>October</v>
      </c>
      <c r="C84" s="2" t="str">
        <f>TEXT(AutoPomodoro[[#This Row],[DATE]],"yyyy")</f>
        <v>2021</v>
      </c>
      <c r="D84" s="8">
        <v>0.57986111111111105</v>
      </c>
      <c r="E84" s="8">
        <f>D84+$T$15</f>
        <v>0.59722222222222221</v>
      </c>
      <c r="F84" s="3">
        <v>1.8749999999999999E-2</v>
      </c>
      <c r="G84" t="s">
        <v>18</v>
      </c>
      <c r="H84" t="s">
        <v>1</v>
      </c>
    </row>
    <row r="85" spans="1:8" x14ac:dyDescent="0.3">
      <c r="A85" s="2">
        <v>44491</v>
      </c>
      <c r="B85" s="2" t="str">
        <f>TEXT(AutoPomodoro[[#This Row],[DATE]],"mmmm")</f>
        <v>October</v>
      </c>
      <c r="C85" s="2" t="str">
        <f>TEXT(AutoPomodoro[[#This Row],[DATE]],"yyyy")</f>
        <v>2021</v>
      </c>
      <c r="D85" s="8">
        <f>E84+$T$16</f>
        <v>0.60069444444444442</v>
      </c>
      <c r="E85" s="8">
        <f>D85+$T$15</f>
        <v>0.61805555555555558</v>
      </c>
      <c r="F85" s="3">
        <v>2.1527777777777781E-2</v>
      </c>
      <c r="G85" t="s">
        <v>18</v>
      </c>
      <c r="H85" t="s">
        <v>1</v>
      </c>
    </row>
    <row r="86" spans="1:8" x14ac:dyDescent="0.3">
      <c r="A86" s="2">
        <v>44491</v>
      </c>
      <c r="B86" s="2" t="str">
        <f>TEXT(AutoPomodoro[[#This Row],[DATE]],"mmmm")</f>
        <v>October</v>
      </c>
      <c r="C86" s="2" t="str">
        <f>TEXT(AutoPomodoro[[#This Row],[DATE]],"yyyy")</f>
        <v>2021</v>
      </c>
      <c r="D86" s="8">
        <f>E85+$T$16</f>
        <v>0.62152777777777779</v>
      </c>
      <c r="E86" s="8">
        <f>D86+$T$15</f>
        <v>0.63888888888888895</v>
      </c>
      <c r="F86" s="3">
        <f>E86-D86</f>
        <v>1.736111111111116E-2</v>
      </c>
      <c r="G86" t="s">
        <v>18</v>
      </c>
      <c r="H86" t="s">
        <v>1</v>
      </c>
    </row>
    <row r="87" spans="1:8" x14ac:dyDescent="0.3">
      <c r="A87" s="2">
        <v>44491</v>
      </c>
      <c r="B87" s="2" t="str">
        <f>TEXT(AutoPomodoro[[#This Row],[DATE]],"mmmm")</f>
        <v>October</v>
      </c>
      <c r="C87" s="2" t="str">
        <f>TEXT(AutoPomodoro[[#This Row],[DATE]],"yyyy")</f>
        <v>2021</v>
      </c>
      <c r="D87" s="8">
        <f>E86+$T$17</f>
        <v>0.64375000000000004</v>
      </c>
      <c r="E87" s="8">
        <f>D87+$T$15</f>
        <v>0.6611111111111112</v>
      </c>
      <c r="F87" s="3">
        <f>E87-D87</f>
        <v>1.736111111111116E-2</v>
      </c>
      <c r="G87" t="s">
        <v>18</v>
      </c>
      <c r="H87" t="s">
        <v>1</v>
      </c>
    </row>
    <row r="88" spans="1:8" x14ac:dyDescent="0.3">
      <c r="A88" s="2">
        <v>44491</v>
      </c>
      <c r="B88" s="2" t="str">
        <f>TEXT(AutoPomodoro[[#This Row],[DATE]],"mmmm")</f>
        <v>October</v>
      </c>
      <c r="C88" s="2" t="str">
        <f>TEXT(AutoPomodoro[[#This Row],[DATE]],"yyyy")</f>
        <v>2021</v>
      </c>
      <c r="D88" s="8">
        <v>0.66875000000000007</v>
      </c>
      <c r="E88" s="8">
        <f>D88+$T$15</f>
        <v>0.68611111111111123</v>
      </c>
      <c r="F88" s="3">
        <v>2.9166666666666664E-2</v>
      </c>
      <c r="G88" t="s">
        <v>18</v>
      </c>
      <c r="H88" t="s">
        <v>1</v>
      </c>
    </row>
    <row r="89" spans="1:8" x14ac:dyDescent="0.3">
      <c r="A89" s="2">
        <v>44493</v>
      </c>
      <c r="B89" s="2" t="str">
        <f>TEXT(AutoPomodoro[[#This Row],[DATE]],"mmmm")</f>
        <v>October</v>
      </c>
      <c r="C89" s="2" t="str">
        <f>TEXT(AutoPomodoro[[#This Row],[DATE]],"yyyy")</f>
        <v>2021</v>
      </c>
      <c r="D89" s="8">
        <v>0.92569444444444438</v>
      </c>
      <c r="E89" s="8">
        <v>0.9506944444444444</v>
      </c>
      <c r="F89" s="3">
        <f>E89-D89</f>
        <v>2.5000000000000022E-2</v>
      </c>
      <c r="G89" t="s">
        <v>17</v>
      </c>
      <c r="H89" t="s">
        <v>1</v>
      </c>
    </row>
    <row r="90" spans="1:8" x14ac:dyDescent="0.3">
      <c r="A90" s="2">
        <v>44494</v>
      </c>
      <c r="B90" s="2" t="str">
        <f>TEXT(AutoPomodoro[[#This Row],[DATE]],"mmmm")</f>
        <v>October</v>
      </c>
      <c r="C90" s="2" t="str">
        <f>TEXT(AutoPomodoro[[#This Row],[DATE]],"yyyy")</f>
        <v>2021</v>
      </c>
      <c r="D90" s="8">
        <v>0.46111111111111108</v>
      </c>
      <c r="E90" s="8">
        <v>0.48125000000000001</v>
      </c>
      <c r="F90" s="3">
        <f>E90-D90</f>
        <v>2.0138888888888928E-2</v>
      </c>
      <c r="G90" t="s">
        <v>18</v>
      </c>
      <c r="H90" t="s">
        <v>1</v>
      </c>
    </row>
    <row r="91" spans="1:8" x14ac:dyDescent="0.3">
      <c r="A91" s="2">
        <v>44494</v>
      </c>
      <c r="B91" s="2" t="str">
        <f>TEXT(AutoPomodoro[[#This Row],[DATE]],"mmmm")</f>
        <v>October</v>
      </c>
      <c r="C91" s="2" t="str">
        <f>TEXT(AutoPomodoro[[#This Row],[DATE]],"yyyy")</f>
        <v>2021</v>
      </c>
      <c r="D91" s="8">
        <v>0.8881944444444444</v>
      </c>
      <c r="E91" s="8">
        <f t="shared" ref="E91:E105" si="6">D91+$T$15</f>
        <v>0.90555555555555556</v>
      </c>
      <c r="F91" s="3">
        <f>E91-D91</f>
        <v>1.736111111111116E-2</v>
      </c>
      <c r="G91" t="s">
        <v>18</v>
      </c>
      <c r="H91" t="s">
        <v>1</v>
      </c>
    </row>
    <row r="92" spans="1:8" x14ac:dyDescent="0.3">
      <c r="A92" s="2">
        <v>44494</v>
      </c>
      <c r="B92" s="2" t="str">
        <f>TEXT(AutoPomodoro[[#This Row],[DATE]],"mmmm")</f>
        <v>October</v>
      </c>
      <c r="C92" s="2" t="str">
        <f>TEXT(AutoPomodoro[[#This Row],[DATE]],"yyyy")</f>
        <v>2021</v>
      </c>
      <c r="D92" s="8">
        <f>E91+$T$16</f>
        <v>0.90902777777777777</v>
      </c>
      <c r="E92" s="8">
        <f t="shared" si="6"/>
        <v>0.92638888888888893</v>
      </c>
      <c r="F92" s="3">
        <f>E92-D92</f>
        <v>1.736111111111116E-2</v>
      </c>
      <c r="G92" t="s">
        <v>17</v>
      </c>
      <c r="H92" t="s">
        <v>1</v>
      </c>
    </row>
    <row r="93" spans="1:8" x14ac:dyDescent="0.3">
      <c r="A93" s="2">
        <v>44494</v>
      </c>
      <c r="B93" s="2" t="str">
        <f>TEXT(AutoPomodoro[[#This Row],[DATE]],"mmmm")</f>
        <v>October</v>
      </c>
      <c r="C93" s="2" t="str">
        <f>TEXT(AutoPomodoro[[#This Row],[DATE]],"yyyy")</f>
        <v>2021</v>
      </c>
      <c r="D93" s="8">
        <f>E92+$T$16</f>
        <v>0.92986111111111114</v>
      </c>
      <c r="E93" s="8">
        <f t="shared" si="6"/>
        <v>0.9472222222222223</v>
      </c>
      <c r="F93" s="3">
        <v>3.9583333333333331E-2</v>
      </c>
      <c r="G93" t="s">
        <v>17</v>
      </c>
      <c r="H93" t="s">
        <v>1</v>
      </c>
    </row>
    <row r="94" spans="1:8" x14ac:dyDescent="0.3">
      <c r="A94" s="2">
        <v>44495</v>
      </c>
      <c r="B94" s="2" t="str">
        <f>TEXT(AutoPomodoro[[#This Row],[DATE]],"mmmm")</f>
        <v>October</v>
      </c>
      <c r="C94" s="2" t="str">
        <f>TEXT(AutoPomodoro[[#This Row],[DATE]],"yyyy")</f>
        <v>2021</v>
      </c>
      <c r="D94" s="8">
        <v>0.56597222222222221</v>
      </c>
      <c r="E94" s="8">
        <f t="shared" si="6"/>
        <v>0.58333333333333337</v>
      </c>
      <c r="F94" s="3">
        <f>E94-D94</f>
        <v>1.736111111111116E-2</v>
      </c>
      <c r="G94" t="s">
        <v>18</v>
      </c>
      <c r="H94" t="s">
        <v>1</v>
      </c>
    </row>
    <row r="95" spans="1:8" x14ac:dyDescent="0.3">
      <c r="A95" s="2">
        <v>44495</v>
      </c>
      <c r="B95" s="2" t="str">
        <f>TEXT(AutoPomodoro[[#This Row],[DATE]],"mmmm")</f>
        <v>October</v>
      </c>
      <c r="C95" s="2" t="str">
        <f>TEXT(AutoPomodoro[[#This Row],[DATE]],"yyyy")</f>
        <v>2021</v>
      </c>
      <c r="D95" s="8">
        <f>E94+$T$16</f>
        <v>0.58680555555555558</v>
      </c>
      <c r="E95" s="8">
        <f t="shared" si="6"/>
        <v>0.60416666666666674</v>
      </c>
      <c r="F95" s="3">
        <f>E95-D95</f>
        <v>1.736111111111116E-2</v>
      </c>
      <c r="G95" t="s">
        <v>18</v>
      </c>
      <c r="H95" t="s">
        <v>1</v>
      </c>
    </row>
    <row r="96" spans="1:8" x14ac:dyDescent="0.3">
      <c r="A96" s="2">
        <v>44495</v>
      </c>
      <c r="B96" s="2" t="str">
        <f>TEXT(AutoPomodoro[[#This Row],[DATE]],"mmmm")</f>
        <v>October</v>
      </c>
      <c r="C96" s="2" t="str">
        <f>TEXT(AutoPomodoro[[#This Row],[DATE]],"yyyy")</f>
        <v>2021</v>
      </c>
      <c r="D96" s="8">
        <f>E95+$T$16</f>
        <v>0.60763888888888895</v>
      </c>
      <c r="E96" s="8">
        <f t="shared" si="6"/>
        <v>0.62500000000000011</v>
      </c>
      <c r="F96" s="3">
        <f>E96-D96</f>
        <v>1.736111111111116E-2</v>
      </c>
      <c r="G96" t="s">
        <v>18</v>
      </c>
      <c r="H96" t="s">
        <v>1</v>
      </c>
    </row>
    <row r="97" spans="1:8" x14ac:dyDescent="0.3">
      <c r="A97" s="2">
        <v>44495</v>
      </c>
      <c r="B97" s="2" t="str">
        <f>TEXT(AutoPomodoro[[#This Row],[DATE]],"mmmm")</f>
        <v>October</v>
      </c>
      <c r="C97" s="2" t="str">
        <f>TEXT(AutoPomodoro[[#This Row],[DATE]],"yyyy")</f>
        <v>2021</v>
      </c>
      <c r="D97" s="8">
        <f>E96+$T$17</f>
        <v>0.6298611111111112</v>
      </c>
      <c r="E97" s="8">
        <f t="shared" si="6"/>
        <v>0.64722222222222237</v>
      </c>
      <c r="F97" s="3">
        <f>E97-D97</f>
        <v>1.736111111111116E-2</v>
      </c>
      <c r="G97" t="s">
        <v>17</v>
      </c>
      <c r="H97" t="s">
        <v>1</v>
      </c>
    </row>
    <row r="98" spans="1:8" x14ac:dyDescent="0.3">
      <c r="A98" s="2">
        <v>44495</v>
      </c>
      <c r="B98" s="2" t="str">
        <f>TEXT(AutoPomodoro[[#This Row],[DATE]],"mmmm")</f>
        <v>October</v>
      </c>
      <c r="C98" s="2" t="str">
        <f>TEXT(AutoPomodoro[[#This Row],[DATE]],"yyyy")</f>
        <v>2021</v>
      </c>
      <c r="D98" s="8">
        <v>0.65347222222222223</v>
      </c>
      <c r="E98" s="8">
        <f t="shared" si="6"/>
        <v>0.67083333333333339</v>
      </c>
      <c r="F98" s="3">
        <v>3.4722222222222224E-2</v>
      </c>
      <c r="G98" t="s">
        <v>17</v>
      </c>
      <c r="H98" t="s">
        <v>1</v>
      </c>
    </row>
    <row r="99" spans="1:8" x14ac:dyDescent="0.3">
      <c r="A99" s="2">
        <v>44495</v>
      </c>
      <c r="B99" s="2" t="str">
        <f>TEXT(AutoPomodoro[[#This Row],[DATE]],"mmmm")</f>
        <v>October</v>
      </c>
      <c r="C99" s="2" t="str">
        <f>TEXT(AutoPomodoro[[#This Row],[DATE]],"yyyy")</f>
        <v>2021</v>
      </c>
      <c r="D99" s="8">
        <v>0.84791666666666676</v>
      </c>
      <c r="E99" s="8">
        <f t="shared" si="6"/>
        <v>0.86527777777777792</v>
      </c>
      <c r="F99" s="3">
        <v>2.1527777777777781E-2</v>
      </c>
      <c r="G99" t="s">
        <v>17</v>
      </c>
      <c r="H99" t="s">
        <v>1</v>
      </c>
    </row>
    <row r="100" spans="1:8" x14ac:dyDescent="0.3">
      <c r="A100" s="2">
        <v>44495</v>
      </c>
      <c r="B100" s="2" t="str">
        <f>TEXT(AutoPomodoro[[#This Row],[DATE]],"mmmm")</f>
        <v>October</v>
      </c>
      <c r="C100" s="2" t="str">
        <f>TEXT(AutoPomodoro[[#This Row],[DATE]],"yyyy")</f>
        <v>2021</v>
      </c>
      <c r="D100" s="8">
        <f>E99+$T$16</f>
        <v>0.86875000000000013</v>
      </c>
      <c r="E100" s="8">
        <f t="shared" si="6"/>
        <v>0.88611111111111129</v>
      </c>
      <c r="F100" s="3">
        <v>2.013888888888889E-2</v>
      </c>
      <c r="G100" t="s">
        <v>17</v>
      </c>
      <c r="H100" t="s">
        <v>1</v>
      </c>
    </row>
    <row r="101" spans="1:8" x14ac:dyDescent="0.3">
      <c r="A101" s="2">
        <v>44496</v>
      </c>
      <c r="B101" s="2" t="str">
        <f>TEXT(AutoPomodoro[[#This Row],[DATE]],"mmmm")</f>
        <v>October</v>
      </c>
      <c r="C101" s="2" t="str">
        <f>TEXT(AutoPomodoro[[#This Row],[DATE]],"yyyy")</f>
        <v>2021</v>
      </c>
      <c r="D101" s="8">
        <v>0.67569444444444438</v>
      </c>
      <c r="E101" s="8">
        <f t="shared" si="6"/>
        <v>0.69305555555555554</v>
      </c>
      <c r="F101" s="3">
        <f>E101-D101</f>
        <v>1.736111111111116E-2</v>
      </c>
      <c r="G101" t="s">
        <v>18</v>
      </c>
      <c r="H101" t="s">
        <v>1</v>
      </c>
    </row>
    <row r="102" spans="1:8" x14ac:dyDescent="0.3">
      <c r="A102" s="2">
        <v>44496</v>
      </c>
      <c r="B102" s="2" t="str">
        <f>TEXT(AutoPomodoro[[#This Row],[DATE]],"mmmm")</f>
        <v>October</v>
      </c>
      <c r="C102" s="2" t="str">
        <f>TEXT(AutoPomodoro[[#This Row],[DATE]],"yyyy")</f>
        <v>2021</v>
      </c>
      <c r="D102" s="8">
        <f>E101+$T$16</f>
        <v>0.69652777777777775</v>
      </c>
      <c r="E102" s="8">
        <f t="shared" si="6"/>
        <v>0.71388888888888891</v>
      </c>
      <c r="F102" s="3">
        <f>E102-D102</f>
        <v>1.736111111111116E-2</v>
      </c>
      <c r="G102" t="s">
        <v>18</v>
      </c>
      <c r="H102" t="s">
        <v>1</v>
      </c>
    </row>
    <row r="103" spans="1:8" x14ac:dyDescent="0.3">
      <c r="A103" s="2">
        <v>44496</v>
      </c>
      <c r="B103" s="2" t="str">
        <f>TEXT(AutoPomodoro[[#This Row],[DATE]],"mmmm")</f>
        <v>October</v>
      </c>
      <c r="C103" s="2" t="str">
        <f>TEXT(AutoPomodoro[[#This Row],[DATE]],"yyyy")</f>
        <v>2021</v>
      </c>
      <c r="D103" s="8">
        <v>0</v>
      </c>
      <c r="E103" s="8">
        <f t="shared" si="6"/>
        <v>1.7361111111111112E-2</v>
      </c>
      <c r="F103" s="3">
        <v>2.9861111111111113E-2</v>
      </c>
      <c r="G103" t="s">
        <v>18</v>
      </c>
      <c r="H103" t="s">
        <v>1</v>
      </c>
    </row>
    <row r="104" spans="1:8" x14ac:dyDescent="0.3">
      <c r="A104" s="2">
        <v>44496</v>
      </c>
      <c r="B104" s="2" t="str">
        <f>TEXT(AutoPomodoro[[#This Row],[DATE]],"mmmm")</f>
        <v>October</v>
      </c>
      <c r="C104" s="2" t="str">
        <f>TEXT(AutoPomodoro[[#This Row],[DATE]],"yyyy")</f>
        <v>2021</v>
      </c>
      <c r="D104" s="8">
        <v>0.76180555555555562</v>
      </c>
      <c r="E104" s="8">
        <f t="shared" si="6"/>
        <v>0.77916666666666679</v>
      </c>
      <c r="F104" s="3">
        <f>E104-D104</f>
        <v>1.736111111111116E-2</v>
      </c>
      <c r="G104" t="s">
        <v>18</v>
      </c>
      <c r="H104" t="s">
        <v>1</v>
      </c>
    </row>
    <row r="105" spans="1:8" x14ac:dyDescent="0.3">
      <c r="A105" s="2">
        <v>44496</v>
      </c>
      <c r="B105" s="2" t="str">
        <f>TEXT(AutoPomodoro[[#This Row],[DATE]],"mmmm")</f>
        <v>October</v>
      </c>
      <c r="C105" s="2" t="str">
        <f>TEXT(AutoPomodoro[[#This Row],[DATE]],"yyyy")</f>
        <v>2021</v>
      </c>
      <c r="D105" s="8">
        <f>E104+$T$16</f>
        <v>0.78263888888888899</v>
      </c>
      <c r="E105" s="8">
        <f t="shared" si="6"/>
        <v>0.80000000000000016</v>
      </c>
      <c r="F105" s="3">
        <f>E105-D105</f>
        <v>1.736111111111116E-2</v>
      </c>
      <c r="G105" t="s">
        <v>18</v>
      </c>
      <c r="H105" t="s">
        <v>1</v>
      </c>
    </row>
    <row r="106" spans="1:8" x14ac:dyDescent="0.3">
      <c r="A106" s="2">
        <v>44496</v>
      </c>
      <c r="B106" s="2" t="str">
        <f>TEXT(AutoPomodoro[[#This Row],[DATE]],"mmmm")</f>
        <v>October</v>
      </c>
      <c r="C106" s="2" t="str">
        <f>TEXT(AutoPomodoro[[#This Row],[DATE]],"yyyy")</f>
        <v>2021</v>
      </c>
      <c r="D106" s="8">
        <v>0.80486111111111114</v>
      </c>
      <c r="E106" s="8">
        <v>0.8222222222222223</v>
      </c>
      <c r="F106" s="3">
        <f>E106-D106</f>
        <v>1.736111111111116E-2</v>
      </c>
      <c r="G106" t="s">
        <v>18</v>
      </c>
      <c r="H106" t="s">
        <v>1</v>
      </c>
    </row>
    <row r="107" spans="1:8" x14ac:dyDescent="0.3">
      <c r="A107" s="2">
        <v>44496</v>
      </c>
      <c r="B107" s="2" t="str">
        <f>TEXT(AutoPomodoro[[#This Row],[DATE]],"mmmm")</f>
        <v>October</v>
      </c>
      <c r="C107" s="2" t="str">
        <f>TEXT(AutoPomodoro[[#This Row],[DATE]],"yyyy")</f>
        <v>2021</v>
      </c>
      <c r="D107" s="8">
        <v>0.82777777777777783</v>
      </c>
      <c r="E107" s="8">
        <v>0.86805555555555547</v>
      </c>
      <c r="F107" s="3">
        <f>E107-D107</f>
        <v>4.0277777777777635E-2</v>
      </c>
      <c r="G107" t="s">
        <v>18</v>
      </c>
      <c r="H107" t="s">
        <v>1</v>
      </c>
    </row>
    <row r="108" spans="1:8" x14ac:dyDescent="0.3">
      <c r="A108" s="2">
        <v>44496</v>
      </c>
      <c r="B108" s="2" t="str">
        <f>TEXT(AutoPomodoro[[#This Row],[DATE]],"mmmm")</f>
        <v>October</v>
      </c>
      <c r="C108" s="2" t="str">
        <f>TEXT(AutoPomodoro[[#This Row],[DATE]],"yyyy")</f>
        <v>2021</v>
      </c>
      <c r="D108" s="8"/>
      <c r="E108" s="8">
        <f t="shared" ref="E108:E116" si="7">D108+$T$15</f>
        <v>1.7361111111111112E-2</v>
      </c>
      <c r="F108" s="3">
        <v>8.3333333333333329E-2</v>
      </c>
      <c r="G108" t="s">
        <v>17</v>
      </c>
      <c r="H108" t="s">
        <v>1</v>
      </c>
    </row>
    <row r="109" spans="1:8" x14ac:dyDescent="0.3">
      <c r="A109" s="2">
        <v>44496</v>
      </c>
      <c r="B109" s="2" t="str">
        <f>TEXT(AutoPomodoro[[#This Row],[DATE]],"mmmm")</f>
        <v>October</v>
      </c>
      <c r="C109" s="2" t="str">
        <f>TEXT(AutoPomodoro[[#This Row],[DATE]],"yyyy")</f>
        <v>2021</v>
      </c>
      <c r="D109" s="8"/>
      <c r="E109" s="8">
        <f t="shared" si="7"/>
        <v>1.7361111111111112E-2</v>
      </c>
      <c r="F109" s="3">
        <v>4.1666666666666664E-2</v>
      </c>
      <c r="G109" t="s">
        <v>0</v>
      </c>
      <c r="H109" t="s">
        <v>1</v>
      </c>
    </row>
    <row r="110" spans="1:8" x14ac:dyDescent="0.3">
      <c r="A110" s="2">
        <v>44497</v>
      </c>
      <c r="B110" s="2" t="str">
        <f>TEXT(AutoPomodoro[[#This Row],[DATE]],"mmmm")</f>
        <v>October</v>
      </c>
      <c r="C110" s="2" t="str">
        <f>TEXT(AutoPomodoro[[#This Row],[DATE]],"yyyy")</f>
        <v>2021</v>
      </c>
      <c r="D110" s="8"/>
      <c r="E110" s="8">
        <f t="shared" si="7"/>
        <v>1.7361111111111112E-2</v>
      </c>
      <c r="F110" s="3">
        <v>9.7222222222222224E-2</v>
      </c>
      <c r="G110" t="s">
        <v>18</v>
      </c>
      <c r="H110" t="s">
        <v>1</v>
      </c>
    </row>
    <row r="111" spans="1:8" x14ac:dyDescent="0.3">
      <c r="A111" s="2">
        <v>44498</v>
      </c>
      <c r="B111" s="2" t="str">
        <f>TEXT(AutoPomodoro[[#This Row],[DATE]],"mmmm")</f>
        <v>October</v>
      </c>
      <c r="C111" s="2" t="str">
        <f>TEXT(AutoPomodoro[[#This Row],[DATE]],"yyyy")</f>
        <v>2021</v>
      </c>
      <c r="D111" s="8"/>
      <c r="E111" s="8">
        <f t="shared" si="7"/>
        <v>1.7361111111111112E-2</v>
      </c>
      <c r="F111" s="3">
        <v>6.25E-2</v>
      </c>
      <c r="G111" t="s">
        <v>0</v>
      </c>
      <c r="H111" t="s">
        <v>1</v>
      </c>
    </row>
    <row r="112" spans="1:8" x14ac:dyDescent="0.3">
      <c r="A112" s="2">
        <v>44500</v>
      </c>
      <c r="B112" s="2" t="str">
        <f>TEXT(AutoPomodoro[[#This Row],[DATE]],"mmmm")</f>
        <v>October</v>
      </c>
      <c r="C112" s="2" t="str">
        <f>TEXT(AutoPomodoro[[#This Row],[DATE]],"yyyy")</f>
        <v>2021</v>
      </c>
      <c r="D112" s="8">
        <v>0.625</v>
      </c>
      <c r="E112" s="8">
        <f t="shared" si="7"/>
        <v>0.64236111111111116</v>
      </c>
      <c r="F112" s="3">
        <f>E112-D112</f>
        <v>1.736111111111116E-2</v>
      </c>
      <c r="G112" t="s">
        <v>18</v>
      </c>
      <c r="H112" t="s">
        <v>1</v>
      </c>
    </row>
    <row r="113" spans="1:8" x14ac:dyDescent="0.3">
      <c r="A113" s="2">
        <v>44500</v>
      </c>
      <c r="B113" s="2" t="str">
        <f>TEXT(AutoPomodoro[[#This Row],[DATE]],"mmmm")</f>
        <v>October</v>
      </c>
      <c r="C113" s="2" t="str">
        <f>TEXT(AutoPomodoro[[#This Row],[DATE]],"yyyy")</f>
        <v>2021</v>
      </c>
      <c r="D113" s="8">
        <f>E112+$T$16</f>
        <v>0.64583333333333337</v>
      </c>
      <c r="E113" s="8">
        <f t="shared" si="7"/>
        <v>0.66319444444444453</v>
      </c>
      <c r="F113" s="3">
        <v>1.7361111111111112E-2</v>
      </c>
      <c r="G113" t="s">
        <v>18</v>
      </c>
      <c r="H113" t="s">
        <v>1</v>
      </c>
    </row>
    <row r="114" spans="1:8" x14ac:dyDescent="0.3">
      <c r="A114" s="2">
        <v>44500</v>
      </c>
      <c r="B114" s="2" t="str">
        <f>TEXT(AutoPomodoro[[#This Row],[DATE]],"mmmm")</f>
        <v>October</v>
      </c>
      <c r="C114" s="2" t="str">
        <f>TEXT(AutoPomodoro[[#This Row],[DATE]],"yyyy")</f>
        <v>2021</v>
      </c>
      <c r="D114" s="8">
        <f>E113+$T$16</f>
        <v>0.66666666666666674</v>
      </c>
      <c r="E114" s="8">
        <f t="shared" si="7"/>
        <v>0.6840277777777779</v>
      </c>
      <c r="F114" s="3">
        <f>E114-D114</f>
        <v>1.736111111111116E-2</v>
      </c>
      <c r="G114" t="s">
        <v>18</v>
      </c>
      <c r="H114" t="s">
        <v>1</v>
      </c>
    </row>
    <row r="115" spans="1:8" x14ac:dyDescent="0.3">
      <c r="A115" s="2">
        <v>44500</v>
      </c>
      <c r="B115" s="2" t="str">
        <f>TEXT(AutoPomodoro[[#This Row],[DATE]],"mmmm")</f>
        <v>October</v>
      </c>
      <c r="C115" s="2" t="str">
        <f>TEXT(AutoPomodoro[[#This Row],[DATE]],"yyyy")</f>
        <v>2021</v>
      </c>
      <c r="D115" s="8">
        <f>E114+$T$17</f>
        <v>0.68888888888888899</v>
      </c>
      <c r="E115" s="8">
        <f t="shared" si="7"/>
        <v>0.70625000000000016</v>
      </c>
      <c r="F115" s="3">
        <v>2.2222222222222223E-2</v>
      </c>
      <c r="G115" t="s">
        <v>18</v>
      </c>
      <c r="H115" t="s">
        <v>1</v>
      </c>
    </row>
    <row r="116" spans="1:8" x14ac:dyDescent="0.3">
      <c r="A116" s="2">
        <v>44500</v>
      </c>
      <c r="B116" s="2" t="str">
        <f>TEXT(AutoPomodoro[[#This Row],[DATE]],"mmmm")</f>
        <v>October</v>
      </c>
      <c r="C116" s="2" t="str">
        <f>TEXT(AutoPomodoro[[#This Row],[DATE]],"yyyy")</f>
        <v>2021</v>
      </c>
      <c r="D116" s="8">
        <v>0.71388888888888891</v>
      </c>
      <c r="E116" s="8">
        <f t="shared" si="7"/>
        <v>0.73125000000000007</v>
      </c>
      <c r="F116" s="3">
        <f>E116-D116</f>
        <v>1.736111111111116E-2</v>
      </c>
      <c r="G116" t="s">
        <v>18</v>
      </c>
      <c r="H116" t="s">
        <v>1</v>
      </c>
    </row>
    <row r="117" spans="1:8" x14ac:dyDescent="0.3">
      <c r="A117" s="2">
        <v>44500</v>
      </c>
      <c r="B117" s="2" t="str">
        <f>TEXT(AutoPomodoro[[#This Row],[DATE]],"mmmm")</f>
        <v>October</v>
      </c>
      <c r="C117" s="2" t="str">
        <f>TEXT(AutoPomodoro[[#This Row],[DATE]],"yyyy")</f>
        <v>2021</v>
      </c>
      <c r="D117" s="8">
        <v>0.73125000000000007</v>
      </c>
      <c r="E117" s="8">
        <v>0.75</v>
      </c>
      <c r="F117" s="3">
        <f>E117-D117</f>
        <v>1.8749999999999933E-2</v>
      </c>
      <c r="G117" t="s">
        <v>21</v>
      </c>
      <c r="H117" t="s">
        <v>1</v>
      </c>
    </row>
    <row r="118" spans="1:8" x14ac:dyDescent="0.3">
      <c r="A118" s="2">
        <v>44500</v>
      </c>
      <c r="B118" s="2" t="str">
        <f>TEXT(AutoPomodoro[[#This Row],[DATE]],"mmmm")</f>
        <v>October</v>
      </c>
      <c r="C118" s="2" t="str">
        <f>TEXT(AutoPomodoro[[#This Row],[DATE]],"yyyy")</f>
        <v>2021</v>
      </c>
      <c r="D118" s="8">
        <v>0.75</v>
      </c>
      <c r="E118" s="8">
        <f>D118+$T$15</f>
        <v>0.76736111111111116</v>
      </c>
      <c r="F118" s="3">
        <f>E118-D118</f>
        <v>1.736111111111116E-2</v>
      </c>
      <c r="G118" t="s">
        <v>18</v>
      </c>
      <c r="H118" t="s">
        <v>1</v>
      </c>
    </row>
    <row r="119" spans="1:8" x14ac:dyDescent="0.3">
      <c r="A119" s="2">
        <v>44500</v>
      </c>
      <c r="B119" s="2" t="str">
        <f>TEXT(AutoPomodoro[[#This Row],[DATE]],"mmmm")</f>
        <v>October</v>
      </c>
      <c r="C119" s="2" t="str">
        <f>TEXT(AutoPomodoro[[#This Row],[DATE]],"yyyy")</f>
        <v>2021</v>
      </c>
      <c r="D119" s="8">
        <f>E118+$T$16</f>
        <v>0.77083333333333337</v>
      </c>
      <c r="E119" s="8">
        <f>D119+$T$15</f>
        <v>0.78819444444444453</v>
      </c>
      <c r="F119" s="3">
        <f>E119-D119</f>
        <v>1.736111111111116E-2</v>
      </c>
      <c r="G119" t="s">
        <v>18</v>
      </c>
      <c r="H119" t="s">
        <v>1</v>
      </c>
    </row>
    <row r="120" spans="1:8" x14ac:dyDescent="0.3">
      <c r="A120" s="2">
        <v>44500</v>
      </c>
      <c r="B120" s="2" t="str">
        <f>TEXT(AutoPomodoro[[#This Row],[DATE]],"mmmm")</f>
        <v>October</v>
      </c>
      <c r="C120" s="2" t="str">
        <f>TEXT(AutoPomodoro[[#This Row],[DATE]],"yyyy")</f>
        <v>2021</v>
      </c>
      <c r="D120" s="8">
        <f>E119+$T$16</f>
        <v>0.79166666666666674</v>
      </c>
      <c r="E120" s="8">
        <f>D120+$T$15</f>
        <v>0.8090277777777779</v>
      </c>
      <c r="F120" s="3">
        <f>E120-D120</f>
        <v>1.736111111111116E-2</v>
      </c>
      <c r="G120" t="s">
        <v>18</v>
      </c>
      <c r="H120" t="s">
        <v>1</v>
      </c>
    </row>
    <row r="121" spans="1:8" x14ac:dyDescent="0.3">
      <c r="A121" s="2">
        <v>44500</v>
      </c>
      <c r="B121" s="2" t="str">
        <f>TEXT(AutoPomodoro[[#This Row],[DATE]],"mmmm")</f>
        <v>October</v>
      </c>
      <c r="C121" s="2" t="str">
        <f>TEXT(AutoPomodoro[[#This Row],[DATE]],"yyyy")</f>
        <v>2021</v>
      </c>
      <c r="D121" s="8">
        <f>E120+$T$17</f>
        <v>0.81388888888888899</v>
      </c>
      <c r="E121" s="8">
        <f>D121+$T$15</f>
        <v>0.83125000000000016</v>
      </c>
      <c r="F121" s="3">
        <v>6.0416666666666667E-2</v>
      </c>
      <c r="G121" t="s">
        <v>18</v>
      </c>
      <c r="H121" t="s">
        <v>1</v>
      </c>
    </row>
    <row r="122" spans="1:8" x14ac:dyDescent="0.3">
      <c r="A122" s="2">
        <v>44501</v>
      </c>
      <c r="B122" s="2" t="str">
        <f>TEXT(AutoPomodoro[[#This Row],[DATE]],"mmmm")</f>
        <v>November</v>
      </c>
      <c r="C122" s="2" t="str">
        <f>TEXT(AutoPomodoro[[#This Row],[DATE]],"yyyy")</f>
        <v>2021</v>
      </c>
      <c r="D122" s="8">
        <v>0.36180555555555555</v>
      </c>
      <c r="E122" s="8">
        <v>0.39583333333333331</v>
      </c>
      <c r="F122" s="3">
        <f>E122-D122</f>
        <v>3.4027777777777768E-2</v>
      </c>
      <c r="G122" t="s">
        <v>18</v>
      </c>
      <c r="H122" t="s">
        <v>1</v>
      </c>
    </row>
    <row r="123" spans="1:8" x14ac:dyDescent="0.3">
      <c r="A123" s="2">
        <v>44501</v>
      </c>
      <c r="B123" s="2" t="str">
        <f>TEXT(AutoPomodoro[[#This Row],[DATE]],"mmmm")</f>
        <v>November</v>
      </c>
      <c r="C123" s="2" t="str">
        <f>TEXT(AutoPomodoro[[#This Row],[DATE]],"yyyy")</f>
        <v>2021</v>
      </c>
      <c r="D123" s="8">
        <v>0.4069444444444445</v>
      </c>
      <c r="E123" s="8">
        <v>0.4381944444444445</v>
      </c>
      <c r="F123" s="3">
        <f>E123-D123</f>
        <v>3.125E-2</v>
      </c>
      <c r="G123" t="s">
        <v>18</v>
      </c>
      <c r="H123" t="s">
        <v>1</v>
      </c>
    </row>
    <row r="124" spans="1:8" x14ac:dyDescent="0.3">
      <c r="A124" s="2">
        <v>44501</v>
      </c>
      <c r="B124" s="2" t="str">
        <f>TEXT(AutoPomodoro[[#This Row],[DATE]],"mmmm")</f>
        <v>November</v>
      </c>
      <c r="C124" s="2" t="str">
        <f>TEXT(AutoPomodoro[[#This Row],[DATE]],"yyyy")</f>
        <v>2021</v>
      </c>
      <c r="D124" s="8">
        <v>0.45763888888888887</v>
      </c>
      <c r="E124" s="8">
        <v>0.48333333333333334</v>
      </c>
      <c r="F124" s="3">
        <f>E124-D124</f>
        <v>2.5694444444444464E-2</v>
      </c>
      <c r="G124" t="s">
        <v>18</v>
      </c>
      <c r="H124" t="s">
        <v>1</v>
      </c>
    </row>
    <row r="125" spans="1:8" x14ac:dyDescent="0.3">
      <c r="A125" s="2">
        <v>44502</v>
      </c>
      <c r="B125" s="2" t="str">
        <f>TEXT(AutoPomodoro[[#This Row],[DATE]],"mmmm")</f>
        <v>November</v>
      </c>
      <c r="C125" s="2" t="str">
        <f>TEXT(AutoPomodoro[[#This Row],[DATE]],"yyyy")</f>
        <v>2021</v>
      </c>
      <c r="D125" s="8"/>
      <c r="E125" s="8">
        <f t="shared" ref="E125:E131" si="8">D125+$T$15</f>
        <v>1.7361111111111112E-2</v>
      </c>
      <c r="F125" s="3">
        <f>E125-D125</f>
        <v>1.7361111111111112E-2</v>
      </c>
      <c r="G125" t="s">
        <v>18</v>
      </c>
      <c r="H125" t="s">
        <v>1</v>
      </c>
    </row>
    <row r="126" spans="1:8" x14ac:dyDescent="0.3">
      <c r="A126" s="2">
        <v>44503</v>
      </c>
      <c r="B126" s="2" t="str">
        <f>TEXT(AutoPomodoro[[#This Row],[DATE]],"mmmm")</f>
        <v>November</v>
      </c>
      <c r="C126" s="2" t="str">
        <f>TEXT(AutoPomodoro[[#This Row],[DATE]],"yyyy")</f>
        <v>2021</v>
      </c>
      <c r="D126" s="8"/>
      <c r="E126" s="8">
        <f t="shared" si="8"/>
        <v>1.7361111111111112E-2</v>
      </c>
      <c r="F126" s="3">
        <v>1.1805555555555555E-2</v>
      </c>
      <c r="G126" t="s">
        <v>0</v>
      </c>
      <c r="H126" t="s">
        <v>1</v>
      </c>
    </row>
    <row r="127" spans="1:8" x14ac:dyDescent="0.3">
      <c r="A127" s="2">
        <v>44505</v>
      </c>
      <c r="B127" s="2" t="str">
        <f>TEXT(AutoPomodoro[[#This Row],[DATE]],"mmmm")</f>
        <v>November</v>
      </c>
      <c r="C127" s="2" t="str">
        <f>TEXT(AutoPomodoro[[#This Row],[DATE]],"yyyy")</f>
        <v>2021</v>
      </c>
      <c r="D127" s="8">
        <v>0.72222222222222221</v>
      </c>
      <c r="E127" s="8">
        <f t="shared" si="8"/>
        <v>0.73958333333333337</v>
      </c>
      <c r="F127" s="3">
        <f>E127-D127</f>
        <v>1.736111111111116E-2</v>
      </c>
      <c r="G127" t="s">
        <v>18</v>
      </c>
      <c r="H127" t="s">
        <v>1</v>
      </c>
    </row>
    <row r="128" spans="1:8" x14ac:dyDescent="0.3">
      <c r="A128" s="2">
        <v>44505</v>
      </c>
      <c r="B128" s="2" t="str">
        <f>TEXT(AutoPomodoro[[#This Row],[DATE]],"mmmm")</f>
        <v>November</v>
      </c>
      <c r="C128" s="2" t="str">
        <f>TEXT(AutoPomodoro[[#This Row],[DATE]],"yyyy")</f>
        <v>2021</v>
      </c>
      <c r="D128" s="8">
        <f>E127+$T$16</f>
        <v>0.74305555555555558</v>
      </c>
      <c r="E128" s="8">
        <f t="shared" si="8"/>
        <v>0.76041666666666674</v>
      </c>
      <c r="F128" s="3">
        <v>1.3888888888888888E-2</v>
      </c>
      <c r="G128" t="s">
        <v>18</v>
      </c>
      <c r="H128" t="s">
        <v>1</v>
      </c>
    </row>
    <row r="129" spans="1:8" x14ac:dyDescent="0.3">
      <c r="A129" s="2">
        <v>44505</v>
      </c>
      <c r="B129" s="2" t="str">
        <f>TEXT(AutoPomodoro[[#This Row],[DATE]],"mmmm")</f>
        <v>November</v>
      </c>
      <c r="C129" s="2" t="str">
        <f>TEXT(AutoPomodoro[[#This Row],[DATE]],"yyyy")</f>
        <v>2021</v>
      </c>
      <c r="D129" s="8">
        <f>E128+$T$16</f>
        <v>0.76388888888888895</v>
      </c>
      <c r="E129" s="8">
        <f t="shared" si="8"/>
        <v>0.78125000000000011</v>
      </c>
      <c r="F129" s="3">
        <f>E129-D129</f>
        <v>1.736111111111116E-2</v>
      </c>
      <c r="G129" t="s">
        <v>17</v>
      </c>
      <c r="H129" t="s">
        <v>1</v>
      </c>
    </row>
    <row r="130" spans="1:8" x14ac:dyDescent="0.3">
      <c r="A130" s="2">
        <v>44505</v>
      </c>
      <c r="B130" s="2" t="str">
        <f>TEXT(AutoPomodoro[[#This Row],[DATE]],"mmmm")</f>
        <v>November</v>
      </c>
      <c r="C130" s="2" t="str">
        <f>TEXT(AutoPomodoro[[#This Row],[DATE]],"yyyy")</f>
        <v>2021</v>
      </c>
      <c r="D130" s="8">
        <f>E129+$T$17</f>
        <v>0.7861111111111112</v>
      </c>
      <c r="E130" s="8">
        <f t="shared" si="8"/>
        <v>0.80347222222222237</v>
      </c>
      <c r="F130" s="3">
        <f>E130-D130</f>
        <v>1.736111111111116E-2</v>
      </c>
      <c r="G130" t="s">
        <v>18</v>
      </c>
      <c r="H130" t="s">
        <v>1</v>
      </c>
    </row>
    <row r="131" spans="1:8" x14ac:dyDescent="0.3">
      <c r="A131" s="2">
        <v>44505</v>
      </c>
      <c r="B131" s="2" t="str">
        <f>TEXT(AutoPomodoro[[#This Row],[DATE]],"mmmm")</f>
        <v>November</v>
      </c>
      <c r="C131" s="2" t="str">
        <f>TEXT(AutoPomodoro[[#This Row],[DATE]],"yyyy")</f>
        <v>2021</v>
      </c>
      <c r="D131" s="8">
        <v>0.80833333333333324</v>
      </c>
      <c r="E131" s="8">
        <f t="shared" si="8"/>
        <v>0.8256944444444444</v>
      </c>
      <c r="F131" s="3">
        <f>E131-D131</f>
        <v>1.736111111111116E-2</v>
      </c>
      <c r="G131" t="s">
        <v>18</v>
      </c>
      <c r="H131" t="s">
        <v>1</v>
      </c>
    </row>
    <row r="132" spans="1:8" x14ac:dyDescent="0.3">
      <c r="A132" s="2">
        <v>44505</v>
      </c>
      <c r="B132" s="2" t="str">
        <f>TEXT(AutoPomodoro[[#This Row],[DATE]],"mmmm")</f>
        <v>November</v>
      </c>
      <c r="C132" s="2" t="str">
        <f>TEXT(AutoPomodoro[[#This Row],[DATE]],"yyyy")</f>
        <v>2021</v>
      </c>
      <c r="D132" s="8">
        <v>0.8256944444444444</v>
      </c>
      <c r="E132" s="8">
        <v>0.875</v>
      </c>
      <c r="F132" s="3">
        <f>E132-D132</f>
        <v>4.9305555555555602E-2</v>
      </c>
      <c r="G132" t="s">
        <v>21</v>
      </c>
      <c r="H132" t="s">
        <v>1</v>
      </c>
    </row>
    <row r="133" spans="1:8" x14ac:dyDescent="0.3">
      <c r="A133" s="2">
        <v>44505</v>
      </c>
      <c r="B133" s="2" t="str">
        <f>TEXT(AutoPomodoro[[#This Row],[DATE]],"mmmm")</f>
        <v>November</v>
      </c>
      <c r="C133" s="2" t="str">
        <f>TEXT(AutoPomodoro[[#This Row],[DATE]],"yyyy")</f>
        <v>2021</v>
      </c>
      <c r="D133" s="8">
        <v>0.875</v>
      </c>
      <c r="E133" s="8">
        <f>D133+$T$15</f>
        <v>0.89236111111111116</v>
      </c>
      <c r="F133" s="3">
        <v>1.9444444444444445E-2</v>
      </c>
      <c r="G133" t="s">
        <v>18</v>
      </c>
      <c r="H133" t="s">
        <v>1</v>
      </c>
    </row>
    <row r="134" spans="1:8" x14ac:dyDescent="0.3">
      <c r="A134" s="2">
        <v>44505</v>
      </c>
      <c r="B134" s="2" t="str">
        <f>TEXT(AutoPomodoro[[#This Row],[DATE]],"mmmm")</f>
        <v>November</v>
      </c>
      <c r="C134" s="2" t="str">
        <f>TEXT(AutoPomodoro[[#This Row],[DATE]],"yyyy")</f>
        <v>2021</v>
      </c>
      <c r="D134" s="8">
        <f>E133+$T$16</f>
        <v>0.89583333333333337</v>
      </c>
      <c r="E134" s="8">
        <f>D134+$T$15</f>
        <v>0.91319444444444453</v>
      </c>
      <c r="F134" s="3">
        <f>E134-D134</f>
        <v>1.736111111111116E-2</v>
      </c>
      <c r="G134" t="s">
        <v>18</v>
      </c>
      <c r="H134" t="s">
        <v>1</v>
      </c>
    </row>
    <row r="135" spans="1:8" x14ac:dyDescent="0.3">
      <c r="A135" s="2">
        <v>44505</v>
      </c>
      <c r="B135" s="2" t="str">
        <f>TEXT(AutoPomodoro[[#This Row],[DATE]],"mmmm")</f>
        <v>November</v>
      </c>
      <c r="C135" s="2" t="str">
        <f>TEXT(AutoPomodoro[[#This Row],[DATE]],"yyyy")</f>
        <v>2021</v>
      </c>
      <c r="D135" s="8"/>
      <c r="E135" s="8">
        <f>D135+$T$15</f>
        <v>1.7361111111111112E-2</v>
      </c>
      <c r="F135" s="3">
        <v>4.1666666666666664E-2</v>
      </c>
      <c r="G135" t="s">
        <v>18</v>
      </c>
      <c r="H135" t="s">
        <v>1</v>
      </c>
    </row>
    <row r="136" spans="1:8" x14ac:dyDescent="0.3">
      <c r="A136" s="2">
        <v>44505</v>
      </c>
      <c r="B136" s="2" t="str">
        <f>TEXT(AutoPomodoro[[#This Row],[DATE]],"mmmm")</f>
        <v>November</v>
      </c>
      <c r="C136" s="2" t="str">
        <f>TEXT(AutoPomodoro[[#This Row],[DATE]],"yyyy")</f>
        <v>2021</v>
      </c>
      <c r="D136" s="8"/>
      <c r="E136" s="8">
        <f>D136+$T$15</f>
        <v>1.7361111111111112E-2</v>
      </c>
      <c r="F136" s="3">
        <v>2.0833333333333332E-2</v>
      </c>
      <c r="G136" t="s">
        <v>17</v>
      </c>
      <c r="H136" t="s">
        <v>1</v>
      </c>
    </row>
    <row r="137" spans="1:8" x14ac:dyDescent="0.3">
      <c r="A137" s="2">
        <v>44505</v>
      </c>
      <c r="B137" s="2" t="str">
        <f>TEXT(AutoPomodoro[[#This Row],[DATE]],"mmmm")</f>
        <v>November</v>
      </c>
      <c r="C137" s="2" t="str">
        <f>TEXT(AutoPomodoro[[#This Row],[DATE]],"yyyy")</f>
        <v>2021</v>
      </c>
      <c r="D137" s="8">
        <v>0.91805555555555562</v>
      </c>
      <c r="E137" s="8">
        <v>0.9277777777777777</v>
      </c>
      <c r="F137" s="3">
        <f>E137-D137</f>
        <v>9.7222222222220767E-3</v>
      </c>
      <c r="G137" t="s">
        <v>17</v>
      </c>
      <c r="H137" t="s">
        <v>1</v>
      </c>
    </row>
    <row r="138" spans="1:8" x14ac:dyDescent="0.3">
      <c r="A138" s="2">
        <v>44505</v>
      </c>
      <c r="B138" s="2" t="str">
        <f>TEXT(AutoPomodoro[[#This Row],[DATE]],"mmmm")</f>
        <v>November</v>
      </c>
      <c r="C138" s="2" t="str">
        <f>TEXT(AutoPomodoro[[#This Row],[DATE]],"yyyy")</f>
        <v>2021</v>
      </c>
      <c r="D138" s="8"/>
      <c r="E138" s="8">
        <f t="shared" ref="E138:E144" si="9">D138+$T$15</f>
        <v>1.7361111111111112E-2</v>
      </c>
      <c r="F138" s="3">
        <v>3.125E-2</v>
      </c>
      <c r="G138" t="s">
        <v>17</v>
      </c>
      <c r="H138" t="s">
        <v>1</v>
      </c>
    </row>
    <row r="139" spans="1:8" x14ac:dyDescent="0.3">
      <c r="A139" s="2">
        <v>44506</v>
      </c>
      <c r="B139" s="2" t="str">
        <f>TEXT(AutoPomodoro[[#This Row],[DATE]],"mmmm")</f>
        <v>November</v>
      </c>
      <c r="C139" s="2" t="str">
        <f>TEXT(AutoPomodoro[[#This Row],[DATE]],"yyyy")</f>
        <v>2021</v>
      </c>
      <c r="D139" s="8">
        <v>0.8125</v>
      </c>
      <c r="E139" s="8">
        <f t="shared" si="9"/>
        <v>0.82986111111111116</v>
      </c>
      <c r="F139" s="3">
        <f>E139-D139</f>
        <v>1.736111111111116E-2</v>
      </c>
      <c r="G139" t="s">
        <v>18</v>
      </c>
      <c r="H139" t="s">
        <v>1</v>
      </c>
    </row>
    <row r="140" spans="1:8" x14ac:dyDescent="0.3">
      <c r="A140" s="2">
        <v>44506</v>
      </c>
      <c r="B140" s="2" t="str">
        <f>TEXT(AutoPomodoro[[#This Row],[DATE]],"mmmm")</f>
        <v>November</v>
      </c>
      <c r="C140" s="2" t="str">
        <f>TEXT(AutoPomodoro[[#This Row],[DATE]],"yyyy")</f>
        <v>2021</v>
      </c>
      <c r="D140" s="8">
        <f>E139+$T$16</f>
        <v>0.83333333333333337</v>
      </c>
      <c r="E140" s="8">
        <f t="shared" si="9"/>
        <v>0.85069444444444453</v>
      </c>
      <c r="F140" s="3">
        <f>E140-D140</f>
        <v>1.736111111111116E-2</v>
      </c>
      <c r="G140" t="s">
        <v>18</v>
      </c>
      <c r="H140" t="s">
        <v>1</v>
      </c>
    </row>
    <row r="141" spans="1:8" x14ac:dyDescent="0.3">
      <c r="A141" s="2">
        <v>44506</v>
      </c>
      <c r="B141" s="2" t="str">
        <f>TEXT(AutoPomodoro[[#This Row],[DATE]],"mmmm")</f>
        <v>November</v>
      </c>
      <c r="C141" s="2" t="str">
        <f>TEXT(AutoPomodoro[[#This Row],[DATE]],"yyyy")</f>
        <v>2021</v>
      </c>
      <c r="D141" s="8">
        <f>E140+$T$16</f>
        <v>0.85416666666666674</v>
      </c>
      <c r="E141" s="8">
        <f t="shared" si="9"/>
        <v>0.8715277777777779</v>
      </c>
      <c r="F141" s="3">
        <v>1.3888888888888888E-2</v>
      </c>
      <c r="G141" t="s">
        <v>18</v>
      </c>
      <c r="H141" t="s">
        <v>1</v>
      </c>
    </row>
    <row r="142" spans="1:8" x14ac:dyDescent="0.3">
      <c r="A142" s="2">
        <v>44508</v>
      </c>
      <c r="B142" s="2" t="str">
        <f>TEXT(AutoPomodoro[[#This Row],[DATE]],"mmmm")</f>
        <v>November</v>
      </c>
      <c r="C142" s="2" t="str">
        <f>TEXT(AutoPomodoro[[#This Row],[DATE]],"yyyy")</f>
        <v>2021</v>
      </c>
      <c r="D142" s="8">
        <v>0.61805555555555558</v>
      </c>
      <c r="E142" s="8">
        <f t="shared" si="9"/>
        <v>0.63541666666666674</v>
      </c>
      <c r="F142" s="3">
        <f t="shared" ref="F142:F148" si="10">E142-D142</f>
        <v>1.736111111111116E-2</v>
      </c>
      <c r="G142" t="s">
        <v>18</v>
      </c>
      <c r="H142" t="s">
        <v>1</v>
      </c>
    </row>
    <row r="143" spans="1:8" x14ac:dyDescent="0.3">
      <c r="A143" s="2">
        <v>44508</v>
      </c>
      <c r="B143" s="2" t="str">
        <f>TEXT(AutoPomodoro[[#This Row],[DATE]],"mmmm")</f>
        <v>November</v>
      </c>
      <c r="C143" s="2" t="str">
        <f>TEXT(AutoPomodoro[[#This Row],[DATE]],"yyyy")</f>
        <v>2021</v>
      </c>
      <c r="D143" s="8">
        <f>E142+$T$16</f>
        <v>0.63888888888888895</v>
      </c>
      <c r="E143" s="8">
        <f t="shared" si="9"/>
        <v>0.65625000000000011</v>
      </c>
      <c r="F143" s="3">
        <f t="shared" si="10"/>
        <v>1.736111111111116E-2</v>
      </c>
      <c r="G143" t="s">
        <v>18</v>
      </c>
      <c r="H143" t="s">
        <v>1</v>
      </c>
    </row>
    <row r="144" spans="1:8" x14ac:dyDescent="0.3">
      <c r="A144" s="2">
        <v>44508</v>
      </c>
      <c r="B144" s="2" t="str">
        <f>TEXT(AutoPomodoro[[#This Row],[DATE]],"mmmm")</f>
        <v>November</v>
      </c>
      <c r="C144" s="2" t="str">
        <f>TEXT(AutoPomodoro[[#This Row],[DATE]],"yyyy")</f>
        <v>2021</v>
      </c>
      <c r="D144" s="8">
        <f>E143+$T$16</f>
        <v>0.65972222222222232</v>
      </c>
      <c r="E144" s="8">
        <f t="shared" si="9"/>
        <v>0.67708333333333348</v>
      </c>
      <c r="F144" s="3">
        <f t="shared" si="10"/>
        <v>1.736111111111116E-2</v>
      </c>
      <c r="G144" t="s">
        <v>17</v>
      </c>
      <c r="H144" t="s">
        <v>1</v>
      </c>
    </row>
    <row r="145" spans="1:8" x14ac:dyDescent="0.3">
      <c r="A145" s="2">
        <v>44509</v>
      </c>
      <c r="B145" s="2" t="str">
        <f>TEXT(AutoPomodoro[[#This Row],[DATE]],"mmmm")</f>
        <v>November</v>
      </c>
      <c r="C145" s="2" t="str">
        <f>TEXT(AutoPomodoro[[#This Row],[DATE]],"yyyy")</f>
        <v>2021</v>
      </c>
      <c r="D145" s="8">
        <v>0.7680555555555556</v>
      </c>
      <c r="E145" s="8">
        <v>0.78333333333333333</v>
      </c>
      <c r="F145" s="3">
        <f t="shared" si="10"/>
        <v>1.5277777777777724E-2</v>
      </c>
      <c r="G145" t="s">
        <v>18</v>
      </c>
      <c r="H145" t="s">
        <v>1</v>
      </c>
    </row>
    <row r="146" spans="1:8" x14ac:dyDescent="0.3">
      <c r="A146" s="2">
        <v>44509</v>
      </c>
      <c r="B146" s="2" t="str">
        <f>TEXT(AutoPomodoro[[#This Row],[DATE]],"mmmm")</f>
        <v>November</v>
      </c>
      <c r="C146" s="2" t="str">
        <f>TEXT(AutoPomodoro[[#This Row],[DATE]],"yyyy")</f>
        <v>2021</v>
      </c>
      <c r="D146" s="8">
        <v>0.78819444444444453</v>
      </c>
      <c r="E146" s="8">
        <v>0.82430555555555562</v>
      </c>
      <c r="F146" s="3">
        <f t="shared" si="10"/>
        <v>3.6111111111111094E-2</v>
      </c>
      <c r="G146" t="s">
        <v>18</v>
      </c>
      <c r="H146" t="s">
        <v>1</v>
      </c>
    </row>
    <row r="147" spans="1:8" x14ac:dyDescent="0.3">
      <c r="A147" s="2">
        <v>44509</v>
      </c>
      <c r="B147" s="2" t="str">
        <f>TEXT(AutoPomodoro[[#This Row],[DATE]],"mmmm")</f>
        <v>November</v>
      </c>
      <c r="C147" s="2" t="str">
        <f>TEXT(AutoPomodoro[[#This Row],[DATE]],"yyyy")</f>
        <v>2021</v>
      </c>
      <c r="D147" s="8">
        <v>0.83333333333333337</v>
      </c>
      <c r="E147" s="8">
        <v>0.86319444444444438</v>
      </c>
      <c r="F147" s="3">
        <f t="shared" si="10"/>
        <v>2.9861111111111005E-2</v>
      </c>
      <c r="G147" t="s">
        <v>16</v>
      </c>
      <c r="H147" t="s">
        <v>1</v>
      </c>
    </row>
    <row r="148" spans="1:8" x14ac:dyDescent="0.3">
      <c r="A148" s="2">
        <v>44510</v>
      </c>
      <c r="B148" s="2" t="str">
        <f>TEXT(AutoPomodoro[[#This Row],[DATE]],"mmmm")</f>
        <v>November</v>
      </c>
      <c r="C148" s="2" t="str">
        <f>TEXT(AutoPomodoro[[#This Row],[DATE]],"yyyy")</f>
        <v>2021</v>
      </c>
      <c r="D148" s="8">
        <v>0.60069444444444442</v>
      </c>
      <c r="E148" s="8">
        <f t="shared" ref="E148:E154" si="11">D148+$T$15</f>
        <v>0.61805555555555558</v>
      </c>
      <c r="F148" s="3">
        <f t="shared" si="10"/>
        <v>1.736111111111116E-2</v>
      </c>
      <c r="G148" t="s">
        <v>18</v>
      </c>
      <c r="H148" t="s">
        <v>1</v>
      </c>
    </row>
    <row r="149" spans="1:8" x14ac:dyDescent="0.3">
      <c r="A149" s="2">
        <v>44510</v>
      </c>
      <c r="B149" s="2" t="str">
        <f>TEXT(AutoPomodoro[[#This Row],[DATE]],"mmmm")</f>
        <v>November</v>
      </c>
      <c r="C149" s="2" t="str">
        <f>TEXT(AutoPomodoro[[#This Row],[DATE]],"yyyy")</f>
        <v>2021</v>
      </c>
      <c r="D149" s="8">
        <f>E148+$T$16</f>
        <v>0.62152777777777779</v>
      </c>
      <c r="E149" s="8">
        <f t="shared" si="11"/>
        <v>0.63888888888888895</v>
      </c>
      <c r="F149" s="3">
        <v>2.0833333333333332E-2</v>
      </c>
      <c r="G149" t="s">
        <v>18</v>
      </c>
      <c r="H149" t="s">
        <v>1</v>
      </c>
    </row>
    <row r="150" spans="1:8" x14ac:dyDescent="0.3">
      <c r="A150" s="2">
        <v>44510</v>
      </c>
      <c r="B150" s="2" t="str">
        <f>TEXT(AutoPomodoro[[#This Row],[DATE]],"mmmm")</f>
        <v>November</v>
      </c>
      <c r="C150" s="2" t="str">
        <f>TEXT(AutoPomodoro[[#This Row],[DATE]],"yyyy")</f>
        <v>2021</v>
      </c>
      <c r="D150" s="8">
        <f>E149+$T$16</f>
        <v>0.64236111111111116</v>
      </c>
      <c r="E150" s="8">
        <f t="shared" si="11"/>
        <v>0.65972222222222232</v>
      </c>
      <c r="F150" s="3">
        <f>E150-D150</f>
        <v>1.736111111111116E-2</v>
      </c>
      <c r="G150" t="s">
        <v>17</v>
      </c>
      <c r="H150" t="s">
        <v>1</v>
      </c>
    </row>
    <row r="151" spans="1:8" x14ac:dyDescent="0.3">
      <c r="A151" s="2">
        <v>44510</v>
      </c>
      <c r="B151" s="2" t="str">
        <f>TEXT(AutoPomodoro[[#This Row],[DATE]],"mmmm")</f>
        <v>November</v>
      </c>
      <c r="C151" s="2" t="str">
        <f>TEXT(AutoPomodoro[[#This Row],[DATE]],"yyyy")</f>
        <v>2021</v>
      </c>
      <c r="D151" s="8"/>
      <c r="E151" s="8">
        <f t="shared" si="11"/>
        <v>1.7361111111111112E-2</v>
      </c>
      <c r="F151" s="3">
        <v>3.888888888888889E-2</v>
      </c>
      <c r="G151" t="s">
        <v>0</v>
      </c>
      <c r="H151" t="s">
        <v>1</v>
      </c>
    </row>
    <row r="152" spans="1:8" x14ac:dyDescent="0.3">
      <c r="A152" s="2">
        <v>44511</v>
      </c>
      <c r="B152" s="2" t="str">
        <f>TEXT(AutoPomodoro[[#This Row],[DATE]],"mmmm")</f>
        <v>November</v>
      </c>
      <c r="C152" s="2" t="str">
        <f>TEXT(AutoPomodoro[[#This Row],[DATE]],"yyyy")</f>
        <v>2021</v>
      </c>
      <c r="D152" s="8">
        <v>0.53125</v>
      </c>
      <c r="E152" s="8">
        <f t="shared" si="11"/>
        <v>0.54861111111111116</v>
      </c>
      <c r="F152" s="3">
        <f t="shared" ref="F152:F158" si="12">E152-D152</f>
        <v>1.736111111111116E-2</v>
      </c>
      <c r="G152" t="s">
        <v>18</v>
      </c>
      <c r="H152" t="s">
        <v>1</v>
      </c>
    </row>
    <row r="153" spans="1:8" x14ac:dyDescent="0.3">
      <c r="A153" s="2">
        <v>44511</v>
      </c>
      <c r="B153" s="2" t="str">
        <f>TEXT(AutoPomodoro[[#This Row],[DATE]],"mmmm")</f>
        <v>November</v>
      </c>
      <c r="C153" s="2" t="str">
        <f>TEXT(AutoPomodoro[[#This Row],[DATE]],"yyyy")</f>
        <v>2021</v>
      </c>
      <c r="D153" s="8">
        <f>E152+$T$16</f>
        <v>0.55208333333333337</v>
      </c>
      <c r="E153" s="8">
        <f t="shared" si="11"/>
        <v>0.56944444444444453</v>
      </c>
      <c r="F153" s="3">
        <f t="shared" si="12"/>
        <v>1.736111111111116E-2</v>
      </c>
      <c r="G153" t="s">
        <v>18</v>
      </c>
      <c r="H153" t="s">
        <v>1</v>
      </c>
    </row>
    <row r="154" spans="1:8" x14ac:dyDescent="0.3">
      <c r="A154" s="2">
        <v>44511</v>
      </c>
      <c r="B154" s="2" t="str">
        <f>TEXT(AutoPomodoro[[#This Row],[DATE]],"mmmm")</f>
        <v>November</v>
      </c>
      <c r="C154" s="2" t="str">
        <f>TEXT(AutoPomodoro[[#This Row],[DATE]],"yyyy")</f>
        <v>2021</v>
      </c>
      <c r="D154" s="8">
        <f>E153+$T$16</f>
        <v>0.57291666666666674</v>
      </c>
      <c r="E154" s="8">
        <f t="shared" si="11"/>
        <v>0.5902777777777779</v>
      </c>
      <c r="F154" s="3">
        <f t="shared" si="12"/>
        <v>1.736111111111116E-2</v>
      </c>
      <c r="G154" t="s">
        <v>18</v>
      </c>
      <c r="H154" t="s">
        <v>1</v>
      </c>
    </row>
    <row r="155" spans="1:8" x14ac:dyDescent="0.3">
      <c r="A155" s="2">
        <v>44511</v>
      </c>
      <c r="B155" s="2" t="str">
        <f>TEXT(AutoPomodoro[[#This Row],[DATE]],"mmmm")</f>
        <v>November</v>
      </c>
      <c r="C155" s="2" t="str">
        <f>TEXT(AutoPomodoro[[#This Row],[DATE]],"yyyy")</f>
        <v>2021</v>
      </c>
      <c r="D155" s="8">
        <v>0.59027777777777779</v>
      </c>
      <c r="E155" s="8">
        <v>0.61111111111111105</v>
      </c>
      <c r="F155" s="3">
        <f t="shared" si="12"/>
        <v>2.0833333333333259E-2</v>
      </c>
      <c r="G155" t="s">
        <v>21</v>
      </c>
      <c r="H155" t="s">
        <v>1</v>
      </c>
    </row>
    <row r="156" spans="1:8" x14ac:dyDescent="0.3">
      <c r="A156" s="2">
        <v>44511</v>
      </c>
      <c r="B156" s="2" t="str">
        <f>TEXT(AutoPomodoro[[#This Row],[DATE]],"mmmm")</f>
        <v>November</v>
      </c>
      <c r="C156" s="2" t="str">
        <f>TEXT(AutoPomodoro[[#This Row],[DATE]],"yyyy")</f>
        <v>2021</v>
      </c>
      <c r="D156" s="8">
        <v>0.61111111111111105</v>
      </c>
      <c r="E156" s="8">
        <f>D156+$T$15</f>
        <v>0.62847222222222221</v>
      </c>
      <c r="F156" s="3">
        <f t="shared" si="12"/>
        <v>1.736111111111116E-2</v>
      </c>
      <c r="G156" t="s">
        <v>18</v>
      </c>
      <c r="H156" t="s">
        <v>1</v>
      </c>
    </row>
    <row r="157" spans="1:8" x14ac:dyDescent="0.3">
      <c r="A157" s="2">
        <v>44511</v>
      </c>
      <c r="B157" s="2" t="str">
        <f>TEXT(AutoPomodoro[[#This Row],[DATE]],"mmmm")</f>
        <v>November</v>
      </c>
      <c r="C157" s="2" t="str">
        <f>TEXT(AutoPomodoro[[#This Row],[DATE]],"yyyy")</f>
        <v>2021</v>
      </c>
      <c r="D157" s="8">
        <f>E156+$T$16</f>
        <v>0.63194444444444442</v>
      </c>
      <c r="E157" s="8">
        <f>D157+$T$15</f>
        <v>0.64930555555555558</v>
      </c>
      <c r="F157" s="3">
        <f t="shared" si="12"/>
        <v>1.736111111111116E-2</v>
      </c>
      <c r="G157" t="s">
        <v>18</v>
      </c>
      <c r="H157" t="s">
        <v>1</v>
      </c>
    </row>
    <row r="158" spans="1:8" x14ac:dyDescent="0.3">
      <c r="A158" s="2">
        <v>44511</v>
      </c>
      <c r="B158" s="2" t="str">
        <f>TEXT(AutoPomodoro[[#This Row],[DATE]],"mmmm")</f>
        <v>November</v>
      </c>
      <c r="C158" s="2" t="str">
        <f>TEXT(AutoPomodoro[[#This Row],[DATE]],"yyyy")</f>
        <v>2021</v>
      </c>
      <c r="D158" s="8">
        <f>E157+$T$16</f>
        <v>0.65277777777777779</v>
      </c>
      <c r="E158" s="8">
        <f>D158+$T$15</f>
        <v>0.67013888888888895</v>
      </c>
      <c r="F158" s="3">
        <f t="shared" si="12"/>
        <v>1.736111111111116E-2</v>
      </c>
      <c r="G158" t="s">
        <v>17</v>
      </c>
      <c r="H158" t="s">
        <v>1</v>
      </c>
    </row>
    <row r="159" spans="1:8" x14ac:dyDescent="0.3">
      <c r="A159" s="2">
        <v>44511</v>
      </c>
      <c r="B159" s="2" t="str">
        <f>TEXT(AutoPomodoro[[#This Row],[DATE]],"mmmm")</f>
        <v>November</v>
      </c>
      <c r="C159" s="2" t="str">
        <f>TEXT(AutoPomodoro[[#This Row],[DATE]],"yyyy")</f>
        <v>2021</v>
      </c>
      <c r="D159" s="8">
        <f>E158+$T$17</f>
        <v>0.67500000000000004</v>
      </c>
      <c r="E159" s="8">
        <f>D159+$T$15</f>
        <v>0.6923611111111112</v>
      </c>
      <c r="F159" s="3">
        <v>1.3194444444444444E-2</v>
      </c>
      <c r="G159" t="s">
        <v>17</v>
      </c>
      <c r="H159" t="s">
        <v>1</v>
      </c>
    </row>
    <row r="160" spans="1:8" x14ac:dyDescent="0.3">
      <c r="A160" s="2">
        <v>44511</v>
      </c>
      <c r="B160" s="2" t="str">
        <f>TEXT(AutoPomodoro[[#This Row],[DATE]],"mmmm")</f>
        <v>November</v>
      </c>
      <c r="C160" s="2" t="str">
        <f>TEXT(AutoPomodoro[[#This Row],[DATE]],"yyyy")</f>
        <v>2021</v>
      </c>
      <c r="D160" s="8">
        <v>0.69236111111111109</v>
      </c>
      <c r="E160" s="8">
        <v>0.73958333333333337</v>
      </c>
      <c r="F160" s="3">
        <f>E160-D160</f>
        <v>4.7222222222222276E-2</v>
      </c>
      <c r="G160" t="s">
        <v>21</v>
      </c>
      <c r="H160" t="s">
        <v>1</v>
      </c>
    </row>
    <row r="161" spans="1:8" x14ac:dyDescent="0.3">
      <c r="A161" s="2">
        <v>44511</v>
      </c>
      <c r="B161" s="2" t="str">
        <f>TEXT(AutoPomodoro[[#This Row],[DATE]],"mmmm")</f>
        <v>November</v>
      </c>
      <c r="C161" s="2" t="str">
        <f>TEXT(AutoPomodoro[[#This Row],[DATE]],"yyyy")</f>
        <v>2021</v>
      </c>
      <c r="D161" s="8">
        <v>0.73958333333333337</v>
      </c>
      <c r="E161" s="8">
        <f>D161+$T$15</f>
        <v>0.75694444444444453</v>
      </c>
      <c r="F161" s="3">
        <f>E161-D161</f>
        <v>1.736111111111116E-2</v>
      </c>
      <c r="G161" t="s">
        <v>17</v>
      </c>
      <c r="H161" t="s">
        <v>1</v>
      </c>
    </row>
    <row r="162" spans="1:8" x14ac:dyDescent="0.3">
      <c r="A162" s="2">
        <v>44511</v>
      </c>
      <c r="B162" s="2" t="str">
        <f>TEXT(AutoPomodoro[[#This Row],[DATE]],"mmmm")</f>
        <v>November</v>
      </c>
      <c r="C162" s="2" t="str">
        <f>TEXT(AutoPomodoro[[#This Row],[DATE]],"yyyy")</f>
        <v>2021</v>
      </c>
      <c r="D162" s="8">
        <f>E161+$T$16</f>
        <v>0.76041666666666674</v>
      </c>
      <c r="E162" s="8">
        <f>D162+$T$15</f>
        <v>0.7777777777777779</v>
      </c>
      <c r="F162" s="3">
        <f>E162-D162</f>
        <v>1.736111111111116E-2</v>
      </c>
      <c r="G162" t="s">
        <v>18</v>
      </c>
      <c r="H162" t="s">
        <v>1</v>
      </c>
    </row>
    <row r="163" spans="1:8" x14ac:dyDescent="0.3">
      <c r="A163" s="2">
        <v>44511</v>
      </c>
      <c r="B163" s="2" t="str">
        <f>TEXT(AutoPomodoro[[#This Row],[DATE]],"mmmm")</f>
        <v>November</v>
      </c>
      <c r="C163" s="2" t="str">
        <f>TEXT(AutoPomodoro[[#This Row],[DATE]],"yyyy")</f>
        <v>2021</v>
      </c>
      <c r="D163" s="8">
        <f>E162+$T$16</f>
        <v>0.78125000000000011</v>
      </c>
      <c r="E163" s="8">
        <f>D163+$T$15</f>
        <v>0.79861111111111127</v>
      </c>
      <c r="F163" s="3">
        <f>E163-D163</f>
        <v>1.736111111111116E-2</v>
      </c>
      <c r="G163" t="s">
        <v>18</v>
      </c>
      <c r="H163" t="s">
        <v>1</v>
      </c>
    </row>
    <row r="164" spans="1:8" x14ac:dyDescent="0.3">
      <c r="A164" s="2">
        <v>44511</v>
      </c>
      <c r="B164" s="2" t="str">
        <f>TEXT(AutoPomodoro[[#This Row],[DATE]],"mmmm")</f>
        <v>November</v>
      </c>
      <c r="C164" s="2" t="str">
        <f>TEXT(AutoPomodoro[[#This Row],[DATE]],"yyyy")</f>
        <v>2021</v>
      </c>
      <c r="D164" s="8">
        <f>E163+$T$17</f>
        <v>0.80347222222222237</v>
      </c>
      <c r="E164" s="8">
        <f>D164+$T$15</f>
        <v>0.82083333333333353</v>
      </c>
      <c r="F164" s="3">
        <f>E164-D164</f>
        <v>1.736111111111116E-2</v>
      </c>
      <c r="G164" t="s">
        <v>18</v>
      </c>
      <c r="H164" t="s">
        <v>1</v>
      </c>
    </row>
    <row r="165" spans="1:8" x14ac:dyDescent="0.3">
      <c r="A165" s="2">
        <v>44511</v>
      </c>
      <c r="B165" s="2" t="str">
        <f>TEXT(AutoPomodoro[[#This Row],[DATE]],"mmmm")</f>
        <v>November</v>
      </c>
      <c r="C165" s="2" t="str">
        <f>TEXT(AutoPomodoro[[#This Row],[DATE]],"yyyy")</f>
        <v>2021</v>
      </c>
      <c r="D165" s="8">
        <v>0.8256944444444444</v>
      </c>
      <c r="E165" s="8">
        <f>D165+$T$15</f>
        <v>0.84305555555555556</v>
      </c>
      <c r="F165" s="3">
        <v>2.0833333333333332E-2</v>
      </c>
      <c r="G165" t="s">
        <v>18</v>
      </c>
      <c r="H165" t="s">
        <v>1</v>
      </c>
    </row>
    <row r="166" spans="1:8" x14ac:dyDescent="0.3">
      <c r="A166" s="2">
        <v>44512</v>
      </c>
      <c r="B166" s="2" t="str">
        <f>TEXT(AutoPomodoro[[#This Row],[DATE]],"mmmm")</f>
        <v>November</v>
      </c>
      <c r="C166" s="2" t="str">
        <f>TEXT(AutoPomodoro[[#This Row],[DATE]],"yyyy")</f>
        <v>2021</v>
      </c>
      <c r="D166" s="8"/>
      <c r="E166" s="8"/>
      <c r="F166" s="3">
        <v>6.25E-2</v>
      </c>
      <c r="G166" t="s">
        <v>18</v>
      </c>
      <c r="H166" t="s">
        <v>1</v>
      </c>
    </row>
    <row r="167" spans="1:8" x14ac:dyDescent="0.3">
      <c r="A167" s="2">
        <v>44514</v>
      </c>
      <c r="B167" s="2" t="str">
        <f>TEXT(AutoPomodoro[[#This Row],[DATE]],"mmmm")</f>
        <v>November</v>
      </c>
      <c r="C167" s="2" t="str">
        <f>TEXT(AutoPomodoro[[#This Row],[DATE]],"yyyy")</f>
        <v>2021</v>
      </c>
      <c r="D167" s="8">
        <v>0.61458333333333337</v>
      </c>
      <c r="E167" s="8">
        <f>D167+$T$15</f>
        <v>0.63194444444444453</v>
      </c>
      <c r="F167" s="3">
        <f>E167-D167</f>
        <v>1.736111111111116E-2</v>
      </c>
      <c r="G167" t="s">
        <v>18</v>
      </c>
      <c r="H167" t="s">
        <v>1</v>
      </c>
    </row>
    <row r="168" spans="1:8" x14ac:dyDescent="0.3">
      <c r="A168" s="2">
        <v>44514</v>
      </c>
      <c r="B168" s="2" t="str">
        <f>TEXT(AutoPomodoro[[#This Row],[DATE]],"mmmm")</f>
        <v>November</v>
      </c>
      <c r="C168" s="2" t="str">
        <f>TEXT(AutoPomodoro[[#This Row],[DATE]],"yyyy")</f>
        <v>2021</v>
      </c>
      <c r="D168" s="8">
        <f>E167+$T$16</f>
        <v>0.63541666666666674</v>
      </c>
      <c r="E168" s="8">
        <f>D168+$T$15</f>
        <v>0.6527777777777779</v>
      </c>
      <c r="F168" s="3">
        <f>E168-D168</f>
        <v>1.736111111111116E-2</v>
      </c>
      <c r="G168" t="s">
        <v>18</v>
      </c>
      <c r="H168" t="s">
        <v>1</v>
      </c>
    </row>
    <row r="169" spans="1:8" x14ac:dyDescent="0.3">
      <c r="A169" s="2">
        <v>44514</v>
      </c>
      <c r="B169" s="2" t="str">
        <f>TEXT(AutoPomodoro[[#This Row],[DATE]],"mmmm")</f>
        <v>November</v>
      </c>
      <c r="C169" s="2" t="str">
        <f>TEXT(AutoPomodoro[[#This Row],[DATE]],"yyyy")</f>
        <v>2021</v>
      </c>
      <c r="D169" s="8">
        <f>E168+$T$16</f>
        <v>0.65625000000000011</v>
      </c>
      <c r="E169" s="8">
        <f>D169+$T$15</f>
        <v>0.67361111111111127</v>
      </c>
      <c r="F169" s="3">
        <f>E169-D169</f>
        <v>1.736111111111116E-2</v>
      </c>
      <c r="G169" t="s">
        <v>18</v>
      </c>
      <c r="H169" t="s">
        <v>1</v>
      </c>
    </row>
    <row r="170" spans="1:8" x14ac:dyDescent="0.3">
      <c r="A170" s="2">
        <v>44514</v>
      </c>
      <c r="B170" s="2" t="str">
        <f>TEXT(AutoPomodoro[[#This Row],[DATE]],"mmmm")</f>
        <v>November</v>
      </c>
      <c r="C170" s="2" t="str">
        <f>TEXT(AutoPomodoro[[#This Row],[DATE]],"yyyy")</f>
        <v>2021</v>
      </c>
      <c r="D170" s="8">
        <f>E169+$T$17</f>
        <v>0.67847222222222237</v>
      </c>
      <c r="E170" s="8">
        <f>D170+$T$15</f>
        <v>0.69583333333333353</v>
      </c>
      <c r="F170" s="3">
        <v>2.2916666666666669E-2</v>
      </c>
      <c r="G170" t="s">
        <v>18</v>
      </c>
      <c r="H170" t="s">
        <v>1</v>
      </c>
    </row>
    <row r="171" spans="1:8" x14ac:dyDescent="0.3">
      <c r="A171" s="2">
        <v>44514</v>
      </c>
      <c r="B171" s="2" t="str">
        <f>TEXT(AutoPomodoro[[#This Row],[DATE]],"mmmm")</f>
        <v>November</v>
      </c>
      <c r="C171" s="2" t="str">
        <f>TEXT(AutoPomodoro[[#This Row],[DATE]],"yyyy")</f>
        <v>2021</v>
      </c>
      <c r="D171" s="8">
        <v>0.6958333333333333</v>
      </c>
      <c r="E171" s="8">
        <v>0.71666666666666667</v>
      </c>
      <c r="F171" s="3">
        <v>1.5277777777777777E-2</v>
      </c>
      <c r="G171" t="s">
        <v>21</v>
      </c>
      <c r="H171" t="s">
        <v>1</v>
      </c>
    </row>
    <row r="172" spans="1:8" x14ac:dyDescent="0.3">
      <c r="A172" s="2">
        <v>44514</v>
      </c>
      <c r="B172" s="2" t="str">
        <f>TEXT(AutoPomodoro[[#This Row],[DATE]],"mmmm")</f>
        <v>November</v>
      </c>
      <c r="C172" s="2" t="str">
        <f>TEXT(AutoPomodoro[[#This Row],[DATE]],"yyyy")</f>
        <v>2021</v>
      </c>
      <c r="D172" s="8">
        <v>0.71666666666666667</v>
      </c>
      <c r="E172" s="8">
        <f t="shared" ref="E172:E182" si="13">D172+$T$15</f>
        <v>0.73402777777777783</v>
      </c>
      <c r="F172" s="3">
        <f t="shared" ref="F172:F177" si="14">E172-D172</f>
        <v>1.736111111111116E-2</v>
      </c>
      <c r="G172" t="s">
        <v>18</v>
      </c>
      <c r="H172" t="s">
        <v>1</v>
      </c>
    </row>
    <row r="173" spans="1:8" x14ac:dyDescent="0.3">
      <c r="A173" s="2">
        <v>44514</v>
      </c>
      <c r="B173" s="2" t="str">
        <f>TEXT(AutoPomodoro[[#This Row],[DATE]],"mmmm")</f>
        <v>November</v>
      </c>
      <c r="C173" s="2" t="str">
        <f>TEXT(AutoPomodoro[[#This Row],[DATE]],"yyyy")</f>
        <v>2021</v>
      </c>
      <c r="D173" s="8">
        <f>E172+$T$16</f>
        <v>0.73750000000000004</v>
      </c>
      <c r="E173" s="8">
        <f t="shared" si="13"/>
        <v>0.7548611111111112</v>
      </c>
      <c r="F173" s="3">
        <f t="shared" si="14"/>
        <v>1.736111111111116E-2</v>
      </c>
      <c r="G173" t="s">
        <v>18</v>
      </c>
      <c r="H173" t="s">
        <v>1</v>
      </c>
    </row>
    <row r="174" spans="1:8" x14ac:dyDescent="0.3">
      <c r="A174" s="2">
        <v>44514</v>
      </c>
      <c r="B174" s="2" t="str">
        <f>TEXT(AutoPomodoro[[#This Row],[DATE]],"mmmm")</f>
        <v>November</v>
      </c>
      <c r="C174" s="2" t="str">
        <f>TEXT(AutoPomodoro[[#This Row],[DATE]],"yyyy")</f>
        <v>2021</v>
      </c>
      <c r="D174" s="8">
        <f>E173+$T$16</f>
        <v>0.75833333333333341</v>
      </c>
      <c r="E174" s="8">
        <f t="shared" si="13"/>
        <v>0.77569444444444458</v>
      </c>
      <c r="F174" s="3">
        <f t="shared" si="14"/>
        <v>1.736111111111116E-2</v>
      </c>
      <c r="G174" t="s">
        <v>18</v>
      </c>
      <c r="H174" t="s">
        <v>1</v>
      </c>
    </row>
    <row r="175" spans="1:8" x14ac:dyDescent="0.3">
      <c r="A175" s="2">
        <v>44515</v>
      </c>
      <c r="B175" s="2" t="str">
        <f>TEXT(AutoPomodoro[[#This Row],[DATE]],"mmmm")</f>
        <v>November</v>
      </c>
      <c r="C175" s="2" t="str">
        <f>TEXT(AutoPomodoro[[#This Row],[DATE]],"yyyy")</f>
        <v>2021</v>
      </c>
      <c r="D175" s="8">
        <v>0.92013888888888884</v>
      </c>
      <c r="E175" s="8">
        <f t="shared" si="13"/>
        <v>0.9375</v>
      </c>
      <c r="F175" s="3">
        <f t="shared" si="14"/>
        <v>1.736111111111116E-2</v>
      </c>
      <c r="G175" t="s">
        <v>18</v>
      </c>
      <c r="H175" t="s">
        <v>1</v>
      </c>
    </row>
    <row r="176" spans="1:8" x14ac:dyDescent="0.3">
      <c r="A176" s="2">
        <v>44515</v>
      </c>
      <c r="B176" s="2" t="str">
        <f>TEXT(AutoPomodoro[[#This Row],[DATE]],"mmmm")</f>
        <v>November</v>
      </c>
      <c r="C176" s="2" t="str">
        <f>TEXT(AutoPomodoro[[#This Row],[DATE]],"yyyy")</f>
        <v>2021</v>
      </c>
      <c r="D176" s="8">
        <f>E175+$T$16</f>
        <v>0.94097222222222221</v>
      </c>
      <c r="E176" s="8">
        <f t="shared" si="13"/>
        <v>0.95833333333333337</v>
      </c>
      <c r="F176" s="3">
        <f t="shared" si="14"/>
        <v>1.736111111111116E-2</v>
      </c>
      <c r="G176" t="s">
        <v>18</v>
      </c>
      <c r="H176" t="s">
        <v>1</v>
      </c>
    </row>
    <row r="177" spans="1:8" x14ac:dyDescent="0.3">
      <c r="A177" s="2">
        <v>44515</v>
      </c>
      <c r="B177" s="2" t="str">
        <f>TEXT(AutoPomodoro[[#This Row],[DATE]],"mmmm")</f>
        <v>November</v>
      </c>
      <c r="C177" s="2" t="str">
        <f>TEXT(AutoPomodoro[[#This Row],[DATE]],"yyyy")</f>
        <v>2021</v>
      </c>
      <c r="D177" s="8">
        <f>E176+$T$16</f>
        <v>0.96180555555555558</v>
      </c>
      <c r="E177" s="8">
        <f t="shared" si="13"/>
        <v>0.97916666666666674</v>
      </c>
      <c r="F177" s="3">
        <f t="shared" si="14"/>
        <v>1.736111111111116E-2</v>
      </c>
      <c r="G177" t="s">
        <v>18</v>
      </c>
      <c r="H177" t="s">
        <v>1</v>
      </c>
    </row>
    <row r="178" spans="1:8" x14ac:dyDescent="0.3">
      <c r="A178" s="2">
        <v>44515</v>
      </c>
      <c r="B178" s="2" t="str">
        <f>TEXT(AutoPomodoro[[#This Row],[DATE]],"mmmm")</f>
        <v>November</v>
      </c>
      <c r="C178" s="2" t="str">
        <f>TEXT(AutoPomodoro[[#This Row],[DATE]],"yyyy")</f>
        <v>2021</v>
      </c>
      <c r="D178" s="8">
        <f>E177+$T$17</f>
        <v>0.98402777777777783</v>
      </c>
      <c r="E178" s="8">
        <f t="shared" si="13"/>
        <v>1.0013888888888889</v>
      </c>
      <c r="F178" s="3">
        <v>4.2361111111111106E-2</v>
      </c>
      <c r="G178" t="s">
        <v>18</v>
      </c>
      <c r="H178" t="s">
        <v>1</v>
      </c>
    </row>
    <row r="179" spans="1:8" x14ac:dyDescent="0.3">
      <c r="A179" s="2">
        <v>44516</v>
      </c>
      <c r="B179" s="2" t="str">
        <f>TEXT(AutoPomodoro[[#This Row],[DATE]],"mmmm")</f>
        <v>November</v>
      </c>
      <c r="C179" s="2" t="str">
        <f>TEXT(AutoPomodoro[[#This Row],[DATE]],"yyyy")</f>
        <v>2021</v>
      </c>
      <c r="D179" s="8">
        <v>0.68402777777777779</v>
      </c>
      <c r="E179" s="8">
        <f t="shared" si="13"/>
        <v>0.70138888888888895</v>
      </c>
      <c r="F179" s="3">
        <f t="shared" ref="F179:F185" si="15">E179-D179</f>
        <v>1.736111111111116E-2</v>
      </c>
      <c r="G179" t="s">
        <v>18</v>
      </c>
      <c r="H179" t="s">
        <v>1</v>
      </c>
    </row>
    <row r="180" spans="1:8" x14ac:dyDescent="0.3">
      <c r="A180" s="2">
        <v>44516</v>
      </c>
      <c r="B180" s="2" t="str">
        <f>TEXT(AutoPomodoro[[#This Row],[DATE]],"mmmm")</f>
        <v>November</v>
      </c>
      <c r="C180" s="2" t="str">
        <f>TEXT(AutoPomodoro[[#This Row],[DATE]],"yyyy")</f>
        <v>2021</v>
      </c>
      <c r="D180" s="8">
        <f>E179+$T$16</f>
        <v>0.70486111111111116</v>
      </c>
      <c r="E180" s="8">
        <f t="shared" si="13"/>
        <v>0.72222222222222232</v>
      </c>
      <c r="F180" s="3">
        <f t="shared" si="15"/>
        <v>1.736111111111116E-2</v>
      </c>
      <c r="G180" t="s">
        <v>18</v>
      </c>
      <c r="H180" t="s">
        <v>1</v>
      </c>
    </row>
    <row r="181" spans="1:8" x14ac:dyDescent="0.3">
      <c r="A181" s="2">
        <v>44516</v>
      </c>
      <c r="B181" s="2" t="str">
        <f>TEXT(AutoPomodoro[[#This Row],[DATE]],"mmmm")</f>
        <v>November</v>
      </c>
      <c r="C181" s="2" t="str">
        <f>TEXT(AutoPomodoro[[#This Row],[DATE]],"yyyy")</f>
        <v>2021</v>
      </c>
      <c r="D181" s="8">
        <f>E180+$T$16</f>
        <v>0.72569444444444453</v>
      </c>
      <c r="E181" s="8">
        <f t="shared" si="13"/>
        <v>0.74305555555555569</v>
      </c>
      <c r="F181" s="3">
        <f t="shared" si="15"/>
        <v>1.736111111111116E-2</v>
      </c>
      <c r="G181" t="s">
        <v>18</v>
      </c>
      <c r="H181" t="s">
        <v>1</v>
      </c>
    </row>
    <row r="182" spans="1:8" x14ac:dyDescent="0.3">
      <c r="A182" s="2">
        <v>44516</v>
      </c>
      <c r="B182" s="2" t="str">
        <f>TEXT(AutoPomodoro[[#This Row],[DATE]],"mmmm")</f>
        <v>November</v>
      </c>
      <c r="C182" s="2" t="str">
        <f>TEXT(AutoPomodoro[[#This Row],[DATE]],"yyyy")</f>
        <v>2021</v>
      </c>
      <c r="D182" s="8">
        <f>E181+$T$17</f>
        <v>0.74791666666666679</v>
      </c>
      <c r="E182" s="8">
        <f t="shared" si="13"/>
        <v>0.76527777777777795</v>
      </c>
      <c r="F182" s="3">
        <f t="shared" si="15"/>
        <v>1.736111111111116E-2</v>
      </c>
      <c r="G182" t="s">
        <v>18</v>
      </c>
      <c r="H182" t="s">
        <v>1</v>
      </c>
    </row>
    <row r="183" spans="1:8" x14ac:dyDescent="0.3">
      <c r="A183" s="2">
        <v>44516</v>
      </c>
      <c r="B183" s="2" t="str">
        <f>TEXT(AutoPomodoro[[#This Row],[DATE]],"mmmm")</f>
        <v>November</v>
      </c>
      <c r="C183" s="2" t="str">
        <f>TEXT(AutoPomodoro[[#This Row],[DATE]],"yyyy")</f>
        <v>2021</v>
      </c>
      <c r="D183" s="8">
        <v>0.76527777777777783</v>
      </c>
      <c r="E183" s="8">
        <v>0.78819444444444453</v>
      </c>
      <c r="F183" s="3">
        <f t="shared" si="15"/>
        <v>2.2916666666666696E-2</v>
      </c>
      <c r="G183" t="s">
        <v>21</v>
      </c>
      <c r="H183" t="s">
        <v>1</v>
      </c>
    </row>
    <row r="184" spans="1:8" x14ac:dyDescent="0.3">
      <c r="A184" s="2">
        <v>44516</v>
      </c>
      <c r="B184" s="2" t="str">
        <f>TEXT(AutoPomodoro[[#This Row],[DATE]],"mmmm")</f>
        <v>November</v>
      </c>
      <c r="C184" s="2" t="str">
        <f>TEXT(AutoPomodoro[[#This Row],[DATE]],"yyyy")</f>
        <v>2021</v>
      </c>
      <c r="D184" s="8">
        <v>0.78819444444444453</v>
      </c>
      <c r="E184" s="8">
        <f t="shared" ref="E184:E192" si="16">D184+$T$15</f>
        <v>0.80555555555555569</v>
      </c>
      <c r="F184" s="3">
        <f t="shared" si="15"/>
        <v>1.736111111111116E-2</v>
      </c>
      <c r="G184" t="s">
        <v>18</v>
      </c>
      <c r="H184" t="s">
        <v>1</v>
      </c>
    </row>
    <row r="185" spans="1:8" x14ac:dyDescent="0.3">
      <c r="A185" s="2">
        <v>44516</v>
      </c>
      <c r="B185" s="2" t="str">
        <f>TEXT(AutoPomodoro[[#This Row],[DATE]],"mmmm")</f>
        <v>November</v>
      </c>
      <c r="C185" s="2" t="str">
        <f>TEXT(AutoPomodoro[[#This Row],[DATE]],"yyyy")</f>
        <v>2021</v>
      </c>
      <c r="D185" s="8">
        <v>0.80902777777777779</v>
      </c>
      <c r="E185" s="8">
        <f t="shared" si="16"/>
        <v>0.82638888888888895</v>
      </c>
      <c r="F185" s="3">
        <f t="shared" si="15"/>
        <v>1.736111111111116E-2</v>
      </c>
      <c r="G185" t="s">
        <v>18</v>
      </c>
      <c r="H185" t="s">
        <v>1</v>
      </c>
    </row>
    <row r="186" spans="1:8" x14ac:dyDescent="0.3">
      <c r="A186" s="2">
        <v>44516</v>
      </c>
      <c r="B186" s="2" t="str">
        <f>TEXT(AutoPomodoro[[#This Row],[DATE]],"mmmm")</f>
        <v>November</v>
      </c>
      <c r="C186" s="2" t="str">
        <f>TEXT(AutoPomodoro[[#This Row],[DATE]],"yyyy")</f>
        <v>2021</v>
      </c>
      <c r="D186" s="8">
        <v>0.82986111111111116</v>
      </c>
      <c r="E186" s="8">
        <f t="shared" si="16"/>
        <v>0.84722222222222232</v>
      </c>
      <c r="F186" s="3">
        <v>2.0833333333333332E-2</v>
      </c>
      <c r="G186" t="s">
        <v>18</v>
      </c>
      <c r="H186" t="s">
        <v>1</v>
      </c>
    </row>
    <row r="187" spans="1:8" x14ac:dyDescent="0.3">
      <c r="A187" s="2">
        <v>44516</v>
      </c>
      <c r="B187" s="2" t="str">
        <f>TEXT(AutoPomodoro[[#This Row],[DATE]],"mmmm")</f>
        <v>November</v>
      </c>
      <c r="C187" s="2" t="str">
        <f>TEXT(AutoPomodoro[[#This Row],[DATE]],"yyyy")</f>
        <v>2021</v>
      </c>
      <c r="D187" s="8">
        <v>0.96875</v>
      </c>
      <c r="E187" s="8">
        <f t="shared" si="16"/>
        <v>0.98611111111111116</v>
      </c>
      <c r="F187" s="3">
        <f t="shared" ref="F187:F196" si="17">E187-D187</f>
        <v>1.736111111111116E-2</v>
      </c>
      <c r="G187" t="s">
        <v>18</v>
      </c>
      <c r="H187" t="s">
        <v>1</v>
      </c>
    </row>
    <row r="188" spans="1:8" x14ac:dyDescent="0.3">
      <c r="A188" s="2">
        <v>44516</v>
      </c>
      <c r="B188" s="2" t="str">
        <f>TEXT(AutoPomodoro[[#This Row],[DATE]],"mmmm")</f>
        <v>November</v>
      </c>
      <c r="C188" s="2" t="str">
        <f>TEXT(AutoPomodoro[[#This Row],[DATE]],"yyyy")</f>
        <v>2021</v>
      </c>
      <c r="D188" s="8">
        <v>0.98958333333333337</v>
      </c>
      <c r="E188" s="8">
        <f t="shared" si="16"/>
        <v>1.0069444444444444</v>
      </c>
      <c r="F188" s="3">
        <f t="shared" si="17"/>
        <v>1.7361111111111049E-2</v>
      </c>
      <c r="G188" t="s">
        <v>18</v>
      </c>
      <c r="H188" t="s">
        <v>1</v>
      </c>
    </row>
    <row r="189" spans="1:8" x14ac:dyDescent="0.3">
      <c r="A189" s="2">
        <v>44517</v>
      </c>
      <c r="B189" s="2" t="str">
        <f>TEXT(AutoPomodoro[[#This Row],[DATE]],"mmmm")</f>
        <v>November</v>
      </c>
      <c r="C189" s="2" t="str">
        <f>TEXT(AutoPomodoro[[#This Row],[DATE]],"yyyy")</f>
        <v>2021</v>
      </c>
      <c r="D189" s="8">
        <v>0.58680555555555558</v>
      </c>
      <c r="E189" s="8">
        <f t="shared" si="16"/>
        <v>0.60416666666666674</v>
      </c>
      <c r="F189" s="3">
        <f t="shared" si="17"/>
        <v>1.736111111111116E-2</v>
      </c>
      <c r="G189" t="s">
        <v>18</v>
      </c>
      <c r="H189" t="s">
        <v>1</v>
      </c>
    </row>
    <row r="190" spans="1:8" x14ac:dyDescent="0.3">
      <c r="A190" s="2">
        <v>44517</v>
      </c>
      <c r="B190" s="2" t="str">
        <f>TEXT(AutoPomodoro[[#This Row],[DATE]],"mmmm")</f>
        <v>November</v>
      </c>
      <c r="C190" s="2" t="str">
        <f>TEXT(AutoPomodoro[[#This Row],[DATE]],"yyyy")</f>
        <v>2021</v>
      </c>
      <c r="D190" s="8">
        <f>E189+$T$16</f>
        <v>0.60763888888888895</v>
      </c>
      <c r="E190" s="8">
        <f t="shared" si="16"/>
        <v>0.62500000000000011</v>
      </c>
      <c r="F190" s="3">
        <f t="shared" si="17"/>
        <v>1.736111111111116E-2</v>
      </c>
      <c r="G190" t="s">
        <v>18</v>
      </c>
      <c r="H190" t="s">
        <v>1</v>
      </c>
    </row>
    <row r="191" spans="1:8" x14ac:dyDescent="0.3">
      <c r="A191" s="2">
        <v>44517</v>
      </c>
      <c r="B191" s="2" t="str">
        <f>TEXT(AutoPomodoro[[#This Row],[DATE]],"mmmm")</f>
        <v>November</v>
      </c>
      <c r="C191" s="2" t="str">
        <f>TEXT(AutoPomodoro[[#This Row],[DATE]],"yyyy")</f>
        <v>2021</v>
      </c>
      <c r="D191" s="8">
        <f>E190+$T$16</f>
        <v>0.62847222222222232</v>
      </c>
      <c r="E191" s="8">
        <f t="shared" si="16"/>
        <v>0.64583333333333348</v>
      </c>
      <c r="F191" s="3">
        <f t="shared" si="17"/>
        <v>1.736111111111116E-2</v>
      </c>
      <c r="G191" t="s">
        <v>18</v>
      </c>
      <c r="H191" t="s">
        <v>1</v>
      </c>
    </row>
    <row r="192" spans="1:8" x14ac:dyDescent="0.3">
      <c r="A192" s="2">
        <v>44517</v>
      </c>
      <c r="B192" s="2" t="str">
        <f>TEXT(AutoPomodoro[[#This Row],[DATE]],"mmmm")</f>
        <v>November</v>
      </c>
      <c r="C192" s="2" t="str">
        <f>TEXT(AutoPomodoro[[#This Row],[DATE]],"yyyy")</f>
        <v>2021</v>
      </c>
      <c r="D192" s="8">
        <f>E191+$T$17</f>
        <v>0.65069444444444458</v>
      </c>
      <c r="E192" s="8">
        <f t="shared" si="16"/>
        <v>0.66805555555555574</v>
      </c>
      <c r="F192" s="3">
        <f t="shared" si="17"/>
        <v>1.736111111111116E-2</v>
      </c>
      <c r="G192" t="s">
        <v>18</v>
      </c>
      <c r="H192" t="s">
        <v>1</v>
      </c>
    </row>
    <row r="193" spans="1:8" x14ac:dyDescent="0.3">
      <c r="A193" s="2">
        <v>44517</v>
      </c>
      <c r="B193" s="2" t="str">
        <f>TEXT(AutoPomodoro[[#This Row],[DATE]],"mmmm")</f>
        <v>November</v>
      </c>
      <c r="C193" s="2" t="str">
        <f>TEXT(AutoPomodoro[[#This Row],[DATE]],"yyyy")</f>
        <v>2021</v>
      </c>
      <c r="D193" s="8">
        <v>0.67291666666666661</v>
      </c>
      <c r="E193" s="8">
        <v>0.69791666666666663</v>
      </c>
      <c r="F193" s="3">
        <f t="shared" si="17"/>
        <v>2.5000000000000022E-2</v>
      </c>
      <c r="G193" t="s">
        <v>18</v>
      </c>
      <c r="H193" t="s">
        <v>1</v>
      </c>
    </row>
    <row r="194" spans="1:8" x14ac:dyDescent="0.3">
      <c r="A194" s="2">
        <v>44517</v>
      </c>
      <c r="B194" s="2" t="str">
        <f>TEXT(AutoPomodoro[[#This Row],[DATE]],"mmmm")</f>
        <v>November</v>
      </c>
      <c r="C194" s="2" t="str">
        <f>TEXT(AutoPomodoro[[#This Row],[DATE]],"yyyy")</f>
        <v>2021</v>
      </c>
      <c r="D194" s="8">
        <v>0.69791666666666663</v>
      </c>
      <c r="E194" s="8">
        <v>0.72916666666666663</v>
      </c>
      <c r="F194" s="3">
        <f t="shared" si="17"/>
        <v>3.125E-2</v>
      </c>
      <c r="G194" t="s">
        <v>21</v>
      </c>
      <c r="H194" t="s">
        <v>1</v>
      </c>
    </row>
    <row r="195" spans="1:8" x14ac:dyDescent="0.3">
      <c r="A195" s="2">
        <v>44517</v>
      </c>
      <c r="B195" s="2" t="str">
        <f>TEXT(AutoPomodoro[[#This Row],[DATE]],"mmmm")</f>
        <v>November</v>
      </c>
      <c r="C195" s="2" t="str">
        <f>TEXT(AutoPomodoro[[#This Row],[DATE]],"yyyy")</f>
        <v>2021</v>
      </c>
      <c r="D195" s="8">
        <v>0.72916666666666663</v>
      </c>
      <c r="E195" s="8">
        <f>D195+$T$15</f>
        <v>0.74652777777777779</v>
      </c>
      <c r="F195" s="3">
        <f t="shared" si="17"/>
        <v>1.736111111111116E-2</v>
      </c>
      <c r="G195" t="s">
        <v>18</v>
      </c>
      <c r="H195" t="s">
        <v>1</v>
      </c>
    </row>
    <row r="196" spans="1:8" x14ac:dyDescent="0.3">
      <c r="A196" s="2">
        <v>44517</v>
      </c>
      <c r="B196" s="2" t="str">
        <f>TEXT(AutoPomodoro[[#This Row],[DATE]],"mmmm")</f>
        <v>November</v>
      </c>
      <c r="C196" s="2" t="str">
        <f>TEXT(AutoPomodoro[[#This Row],[DATE]],"yyyy")</f>
        <v>2021</v>
      </c>
      <c r="D196" s="8">
        <f>E195+$T$16</f>
        <v>0.75</v>
      </c>
      <c r="E196" s="8">
        <f>D196+$T$15</f>
        <v>0.76736111111111116</v>
      </c>
      <c r="F196" s="3">
        <f t="shared" si="17"/>
        <v>1.736111111111116E-2</v>
      </c>
      <c r="G196" t="s">
        <v>18</v>
      </c>
      <c r="H196" t="s">
        <v>1</v>
      </c>
    </row>
    <row r="197" spans="1:8" x14ac:dyDescent="0.3">
      <c r="A197" s="2">
        <v>44517</v>
      </c>
      <c r="B197" s="2" t="str">
        <f>TEXT(AutoPomodoro[[#This Row],[DATE]],"mmmm")</f>
        <v>November</v>
      </c>
      <c r="C197" s="2" t="str">
        <f>TEXT(AutoPomodoro[[#This Row],[DATE]],"yyyy")</f>
        <v>2021</v>
      </c>
      <c r="D197" s="8">
        <f>E196+$T$16</f>
        <v>0.77083333333333337</v>
      </c>
      <c r="E197" s="8">
        <f>D197+$T$15</f>
        <v>0.78819444444444453</v>
      </c>
      <c r="F197" s="3">
        <v>1.8055555555555557E-2</v>
      </c>
      <c r="G197" t="s">
        <v>18</v>
      </c>
      <c r="H197" t="s">
        <v>1</v>
      </c>
    </row>
    <row r="198" spans="1:8" x14ac:dyDescent="0.3">
      <c r="A198" s="2">
        <v>44517</v>
      </c>
      <c r="B198" s="2" t="str">
        <f>TEXT(AutoPomodoro[[#This Row],[DATE]],"mmmm")</f>
        <v>November</v>
      </c>
      <c r="C198" s="2" t="str">
        <f>TEXT(AutoPomodoro[[#This Row],[DATE]],"yyyy")</f>
        <v>2021</v>
      </c>
      <c r="D198" s="8">
        <f>E197+$T$17</f>
        <v>0.79305555555555562</v>
      </c>
      <c r="E198" s="8">
        <f>D198+$T$15</f>
        <v>0.81041666666666679</v>
      </c>
      <c r="F198" s="3">
        <f>E198-D198</f>
        <v>1.736111111111116E-2</v>
      </c>
      <c r="G198" t="s">
        <v>18</v>
      </c>
      <c r="H198" t="s">
        <v>1</v>
      </c>
    </row>
    <row r="199" spans="1:8" x14ac:dyDescent="0.3">
      <c r="A199" s="2">
        <v>44517</v>
      </c>
      <c r="B199" s="2" t="str">
        <f>TEXT(AutoPomodoro[[#This Row],[DATE]],"mmmm")</f>
        <v>November</v>
      </c>
      <c r="C199" s="2" t="str">
        <f>TEXT(AutoPomodoro[[#This Row],[DATE]],"yyyy")</f>
        <v>2021</v>
      </c>
      <c r="D199" s="8">
        <v>0.81527777777777777</v>
      </c>
      <c r="E199" s="8">
        <f>D199+$T$15</f>
        <v>0.83263888888888893</v>
      </c>
      <c r="F199" s="3">
        <f>E199-D199</f>
        <v>1.736111111111116E-2</v>
      </c>
      <c r="G199" t="s">
        <v>18</v>
      </c>
      <c r="H199" t="s">
        <v>1</v>
      </c>
    </row>
    <row r="200" spans="1:8" x14ac:dyDescent="0.3">
      <c r="A200" s="2">
        <v>44517</v>
      </c>
      <c r="B200" s="2" t="str">
        <f>TEXT(AutoPomodoro[[#This Row],[DATE]],"mmmm")</f>
        <v>November</v>
      </c>
      <c r="C200" s="2" t="str">
        <f>TEXT(AutoPomodoro[[#This Row],[DATE]],"yyyy")</f>
        <v>2021</v>
      </c>
      <c r="D200" s="8">
        <v>0.83263888888888893</v>
      </c>
      <c r="E200" s="8">
        <v>0.87847222222222221</v>
      </c>
      <c r="F200" s="3">
        <v>5.0694444444444452E-2</v>
      </c>
      <c r="G200" t="s">
        <v>21</v>
      </c>
      <c r="H200" t="s">
        <v>1</v>
      </c>
    </row>
    <row r="201" spans="1:8" x14ac:dyDescent="0.3">
      <c r="A201" s="2">
        <v>44517</v>
      </c>
      <c r="B201" s="2" t="str">
        <f>TEXT(AutoPomodoro[[#This Row],[DATE]],"mmmm")</f>
        <v>November</v>
      </c>
      <c r="C201" s="2" t="str">
        <f>TEXT(AutoPomodoro[[#This Row],[DATE]],"yyyy")</f>
        <v>2021</v>
      </c>
      <c r="D201" s="8">
        <v>0.87847222222222221</v>
      </c>
      <c r="E201" s="8">
        <f>D201+$T$15</f>
        <v>0.89583333333333337</v>
      </c>
      <c r="F201" s="3">
        <v>1.2499999999999999E-2</v>
      </c>
      <c r="G201" t="s">
        <v>18</v>
      </c>
      <c r="H201" t="s">
        <v>1</v>
      </c>
    </row>
    <row r="202" spans="1:8" x14ac:dyDescent="0.3">
      <c r="A202" s="2">
        <v>44517</v>
      </c>
      <c r="B202" s="2" t="str">
        <f>TEXT(AutoPomodoro[[#This Row],[DATE]],"mmmm")</f>
        <v>November</v>
      </c>
      <c r="C202" s="2" t="str">
        <f>TEXT(AutoPomodoro[[#This Row],[DATE]],"yyyy")</f>
        <v>2021</v>
      </c>
      <c r="D202" s="8">
        <f>E201+$T$16</f>
        <v>0.89930555555555558</v>
      </c>
      <c r="E202" s="8">
        <f>D202+$T$15</f>
        <v>0.91666666666666674</v>
      </c>
      <c r="F202" s="3">
        <f>E202-D202</f>
        <v>1.736111111111116E-2</v>
      </c>
      <c r="G202" t="s">
        <v>18</v>
      </c>
      <c r="H202" t="s">
        <v>1</v>
      </c>
    </row>
    <row r="203" spans="1:8" x14ac:dyDescent="0.3">
      <c r="A203" s="2">
        <v>44517</v>
      </c>
      <c r="B203" s="2" t="str">
        <f>TEXT(AutoPomodoro[[#This Row],[DATE]],"mmmm")</f>
        <v>November</v>
      </c>
      <c r="C203" s="2" t="str">
        <f>TEXT(AutoPomodoro[[#This Row],[DATE]],"yyyy")</f>
        <v>2021</v>
      </c>
      <c r="D203" s="8">
        <f>E202+$T$16</f>
        <v>0.92013888888888895</v>
      </c>
      <c r="E203" s="8">
        <f>D203+$T$15</f>
        <v>0.93750000000000011</v>
      </c>
      <c r="F203" s="3">
        <v>1.3888888888888888E-2</v>
      </c>
      <c r="G203" t="s">
        <v>18</v>
      </c>
      <c r="H203" t="s">
        <v>1</v>
      </c>
    </row>
    <row r="204" spans="1:8" x14ac:dyDescent="0.3">
      <c r="A204" s="2">
        <v>44517</v>
      </c>
      <c r="B204" s="2" t="str">
        <f>TEXT(AutoPomodoro[[#This Row],[DATE]],"mmmm")</f>
        <v>November</v>
      </c>
      <c r="C204" s="2" t="str">
        <f>TEXT(AutoPomodoro[[#This Row],[DATE]],"yyyy")</f>
        <v>2021</v>
      </c>
      <c r="D204" s="8">
        <f>E203+$T$17</f>
        <v>0.9423611111111112</v>
      </c>
      <c r="E204" s="8">
        <f>D204+$T$15</f>
        <v>0.95972222222222237</v>
      </c>
      <c r="F204" s="3">
        <v>1.5972222222222224E-2</v>
      </c>
      <c r="G204" t="s">
        <v>18</v>
      </c>
      <c r="H204" t="s">
        <v>1</v>
      </c>
    </row>
    <row r="205" spans="1:8" x14ac:dyDescent="0.3">
      <c r="A205" s="2">
        <v>44517</v>
      </c>
      <c r="B205" s="2" t="str">
        <f>TEXT(AutoPomodoro[[#This Row],[DATE]],"mmmm")</f>
        <v>November</v>
      </c>
      <c r="C205" s="2" t="str">
        <f>TEXT(AutoPomodoro[[#This Row],[DATE]],"yyyy")</f>
        <v>2021</v>
      </c>
      <c r="D205" s="8">
        <v>0.96388888888888891</v>
      </c>
      <c r="E205" s="8">
        <v>0.97986111111111107</v>
      </c>
      <c r="F205" s="3">
        <f>E205-D205</f>
        <v>1.5972222222222165E-2</v>
      </c>
      <c r="G205" t="s">
        <v>18</v>
      </c>
      <c r="H205" t="s">
        <v>1</v>
      </c>
    </row>
    <row r="206" spans="1:8" x14ac:dyDescent="0.3">
      <c r="A206" s="2">
        <v>44517</v>
      </c>
      <c r="B206" s="2" t="str">
        <f>TEXT(AutoPomodoro[[#This Row],[DATE]],"mmmm")</f>
        <v>November</v>
      </c>
      <c r="C206" s="2" t="str">
        <f>TEXT(AutoPomodoro[[#This Row],[DATE]],"yyyy")</f>
        <v>2021</v>
      </c>
      <c r="D206" s="8">
        <v>0</v>
      </c>
      <c r="E206" s="8">
        <f>D206+$T$15</f>
        <v>1.7361111111111112E-2</v>
      </c>
      <c r="F206" s="3">
        <f>E206-D206</f>
        <v>1.7361111111111112E-2</v>
      </c>
      <c r="G206" t="s">
        <v>18</v>
      </c>
      <c r="H206" t="s">
        <v>1</v>
      </c>
    </row>
    <row r="207" spans="1:8" x14ac:dyDescent="0.3">
      <c r="A207" s="2">
        <v>44517</v>
      </c>
      <c r="B207" s="2" t="str">
        <f>TEXT(AutoPomodoro[[#This Row],[DATE]],"mmmm")</f>
        <v>November</v>
      </c>
      <c r="C207" s="2" t="str">
        <f>TEXT(AutoPomodoro[[#This Row],[DATE]],"yyyy")</f>
        <v>2021</v>
      </c>
      <c r="D207" s="8">
        <f>E206+$T$16</f>
        <v>2.0833333333333336E-2</v>
      </c>
      <c r="E207" s="8">
        <f>D207+$T$15</f>
        <v>3.8194444444444448E-2</v>
      </c>
      <c r="F207" s="3">
        <f>E207-D207</f>
        <v>1.7361111111111112E-2</v>
      </c>
      <c r="G207" t="s">
        <v>18</v>
      </c>
      <c r="H207" t="s">
        <v>1</v>
      </c>
    </row>
    <row r="208" spans="1:8" x14ac:dyDescent="0.3">
      <c r="A208" s="2">
        <v>44517</v>
      </c>
      <c r="B208" s="2" t="str">
        <f>TEXT(AutoPomodoro[[#This Row],[DATE]],"mmmm")</f>
        <v>November</v>
      </c>
      <c r="C208" s="2" t="str">
        <f>TEXT(AutoPomodoro[[#This Row],[DATE]],"yyyy")</f>
        <v>2021</v>
      </c>
      <c r="D208" s="8">
        <f>E207+$T$16</f>
        <v>4.1666666666666671E-2</v>
      </c>
      <c r="E208" s="8">
        <f>D208+$T$15</f>
        <v>5.9027777777777783E-2</v>
      </c>
      <c r="F208" s="3">
        <f>E208-D208</f>
        <v>1.7361111111111112E-2</v>
      </c>
      <c r="G208" t="s">
        <v>18</v>
      </c>
      <c r="H208" t="s">
        <v>1</v>
      </c>
    </row>
    <row r="209" spans="1:8" x14ac:dyDescent="0.3">
      <c r="A209" s="2">
        <v>44517</v>
      </c>
      <c r="B209" s="2" t="str">
        <f>TEXT(AutoPomodoro[[#This Row],[DATE]],"mmmm")</f>
        <v>November</v>
      </c>
      <c r="C209" s="2" t="str">
        <f>TEXT(AutoPomodoro[[#This Row],[DATE]],"yyyy")</f>
        <v>2021</v>
      </c>
      <c r="D209" s="8">
        <f>E208+$T$17</f>
        <v>6.3888888888888898E-2</v>
      </c>
      <c r="E209" s="8">
        <f>D209+$T$15</f>
        <v>8.1250000000000017E-2</v>
      </c>
      <c r="F209" s="3">
        <v>3.0555555555555555E-2</v>
      </c>
      <c r="G209" t="s">
        <v>18</v>
      </c>
      <c r="H209" t="s">
        <v>1</v>
      </c>
    </row>
    <row r="210" spans="1:8" x14ac:dyDescent="0.3">
      <c r="A210" s="2">
        <v>44517</v>
      </c>
      <c r="B210" s="2" t="str">
        <f>TEXT(AutoPomodoro[[#This Row],[DATE]],"mmmm")</f>
        <v>November</v>
      </c>
      <c r="C210" s="2" t="str">
        <f>TEXT(AutoPomodoro[[#This Row],[DATE]],"yyyy")</f>
        <v>2021</v>
      </c>
      <c r="D210" s="8">
        <v>9.7222222222222224E-2</v>
      </c>
      <c r="E210" s="8">
        <v>0.11875000000000001</v>
      </c>
      <c r="F210" s="3">
        <f t="shared" ref="F210:F241" si="18">E210-D210</f>
        <v>2.1527777777777785E-2</v>
      </c>
      <c r="G210" t="s">
        <v>18</v>
      </c>
      <c r="H210" t="s">
        <v>1</v>
      </c>
    </row>
    <row r="211" spans="1:8" x14ac:dyDescent="0.3">
      <c r="A211" s="2">
        <v>44526</v>
      </c>
      <c r="B211" s="2" t="str">
        <f>TEXT(AutoPomodoro[[#This Row],[DATE]],"mmmm")</f>
        <v>November</v>
      </c>
      <c r="C211" s="2" t="str">
        <f>TEXT(AutoPomodoro[[#This Row],[DATE]],"yyyy")</f>
        <v>2021</v>
      </c>
      <c r="D211" s="8">
        <v>0.81944444444444453</v>
      </c>
      <c r="E211" s="8">
        <f>D211+$T$15</f>
        <v>0.83680555555555569</v>
      </c>
      <c r="F211" s="3">
        <f t="shared" si="18"/>
        <v>1.736111111111116E-2</v>
      </c>
      <c r="G211" t="s">
        <v>18</v>
      </c>
      <c r="H211" t="s">
        <v>1</v>
      </c>
    </row>
    <row r="212" spans="1:8" x14ac:dyDescent="0.3">
      <c r="A212" s="2">
        <v>44526</v>
      </c>
      <c r="B212" s="2" t="str">
        <f>TEXT(AutoPomodoro[[#This Row],[DATE]],"mmmm")</f>
        <v>November</v>
      </c>
      <c r="C212" s="2" t="str">
        <f>TEXT(AutoPomodoro[[#This Row],[DATE]],"yyyy")</f>
        <v>2021</v>
      </c>
      <c r="D212" s="8">
        <f>E211+$T$16</f>
        <v>0.8402777777777779</v>
      </c>
      <c r="E212" s="8">
        <f>D212+$T$15</f>
        <v>0.85763888888888906</v>
      </c>
      <c r="F212" s="3">
        <f t="shared" si="18"/>
        <v>1.736111111111116E-2</v>
      </c>
      <c r="G212" t="s">
        <v>18</v>
      </c>
      <c r="H212" t="s">
        <v>1</v>
      </c>
    </row>
    <row r="213" spans="1:8" x14ac:dyDescent="0.3">
      <c r="A213" s="2">
        <v>44526</v>
      </c>
      <c r="B213" s="2" t="str">
        <f>TEXT(AutoPomodoro[[#This Row],[DATE]],"mmmm")</f>
        <v>November</v>
      </c>
      <c r="C213" s="2" t="str">
        <f>TEXT(AutoPomodoro[[#This Row],[DATE]],"yyyy")</f>
        <v>2021</v>
      </c>
      <c r="D213" s="8">
        <f>E212+$T$16</f>
        <v>0.86111111111111127</v>
      </c>
      <c r="E213" s="8">
        <f>D213+$T$15</f>
        <v>0.87847222222222243</v>
      </c>
      <c r="F213" s="3">
        <f t="shared" si="18"/>
        <v>1.736111111111116E-2</v>
      </c>
      <c r="G213" t="s">
        <v>18</v>
      </c>
      <c r="H213" t="s">
        <v>1</v>
      </c>
    </row>
    <row r="214" spans="1:8" x14ac:dyDescent="0.3">
      <c r="A214" s="2">
        <v>44526</v>
      </c>
      <c r="B214" s="2" t="str">
        <f>TEXT(AutoPomodoro[[#This Row],[DATE]],"mmmm")</f>
        <v>November</v>
      </c>
      <c r="C214" s="2" t="str">
        <f>TEXT(AutoPomodoro[[#This Row],[DATE]],"yyyy")</f>
        <v>2021</v>
      </c>
      <c r="D214" s="8">
        <f>E213+$T$17</f>
        <v>0.88333333333333353</v>
      </c>
      <c r="E214" s="8">
        <f>D214+$T$15</f>
        <v>0.90069444444444469</v>
      </c>
      <c r="F214" s="3">
        <f t="shared" si="18"/>
        <v>1.736111111111116E-2</v>
      </c>
      <c r="G214" t="s">
        <v>18</v>
      </c>
      <c r="H214" t="s">
        <v>1</v>
      </c>
    </row>
    <row r="215" spans="1:8" x14ac:dyDescent="0.3">
      <c r="A215" s="2">
        <v>44526</v>
      </c>
      <c r="B215" s="2" t="str">
        <f>TEXT(AutoPomodoro[[#This Row],[DATE]],"mmmm")</f>
        <v>November</v>
      </c>
      <c r="C215" s="2" t="str">
        <f>TEXT(AutoPomodoro[[#This Row],[DATE]],"yyyy")</f>
        <v>2021</v>
      </c>
      <c r="D215" s="8">
        <v>0.90069444444444446</v>
      </c>
      <c r="E215" s="8">
        <v>0.91111111111111109</v>
      </c>
      <c r="F215" s="3">
        <f t="shared" si="18"/>
        <v>1.041666666666663E-2</v>
      </c>
      <c r="G215" t="s">
        <v>21</v>
      </c>
      <c r="H215" t="s">
        <v>1</v>
      </c>
    </row>
    <row r="216" spans="1:8" x14ac:dyDescent="0.3">
      <c r="A216" s="2">
        <v>44526</v>
      </c>
      <c r="B216" s="2" t="str">
        <f>TEXT(AutoPomodoro[[#This Row],[DATE]],"mmmm")</f>
        <v>November</v>
      </c>
      <c r="C216" s="2" t="str">
        <f>TEXT(AutoPomodoro[[#This Row],[DATE]],"yyyy")</f>
        <v>2021</v>
      </c>
      <c r="D216" s="8">
        <v>0.91111111111111109</v>
      </c>
      <c r="E216" s="8">
        <f>D216+$T$15</f>
        <v>0.92847222222222225</v>
      </c>
      <c r="F216" s="3">
        <f t="shared" si="18"/>
        <v>1.736111111111116E-2</v>
      </c>
      <c r="G216" t="s">
        <v>18</v>
      </c>
      <c r="H216" t="s">
        <v>1</v>
      </c>
    </row>
    <row r="217" spans="1:8" x14ac:dyDescent="0.3">
      <c r="A217" s="2">
        <v>44526</v>
      </c>
      <c r="B217" s="2" t="str">
        <f>TEXT(AutoPomodoro[[#This Row],[DATE]],"mmmm")</f>
        <v>November</v>
      </c>
      <c r="C217" s="2" t="str">
        <f>TEXT(AutoPomodoro[[#This Row],[DATE]],"yyyy")</f>
        <v>2021</v>
      </c>
      <c r="D217" s="8">
        <f>E216+$T$16</f>
        <v>0.93194444444444446</v>
      </c>
      <c r="E217" s="8">
        <f>D217+$T$15</f>
        <v>0.94930555555555562</v>
      </c>
      <c r="F217" s="3">
        <f t="shared" si="18"/>
        <v>1.736111111111116E-2</v>
      </c>
      <c r="G217" t="s">
        <v>18</v>
      </c>
      <c r="H217" t="s">
        <v>1</v>
      </c>
    </row>
    <row r="218" spans="1:8" x14ac:dyDescent="0.3">
      <c r="A218" s="2">
        <v>44526</v>
      </c>
      <c r="B218" s="2" t="str">
        <f>TEXT(AutoPomodoro[[#This Row],[DATE]],"mmmm")</f>
        <v>November</v>
      </c>
      <c r="C218" s="2" t="str">
        <f>TEXT(AutoPomodoro[[#This Row],[DATE]],"yyyy")</f>
        <v>2021</v>
      </c>
      <c r="D218" s="8">
        <f>E217+$T$16</f>
        <v>0.95277777777777783</v>
      </c>
      <c r="E218" s="8">
        <f>D218+$T$15</f>
        <v>0.97013888888888899</v>
      </c>
      <c r="F218" s="3">
        <f t="shared" si="18"/>
        <v>1.736111111111116E-2</v>
      </c>
      <c r="G218" t="s">
        <v>18</v>
      </c>
      <c r="H218" t="s">
        <v>2</v>
      </c>
    </row>
    <row r="219" spans="1:8" x14ac:dyDescent="0.3">
      <c r="A219" s="2">
        <v>44527</v>
      </c>
      <c r="B219" s="2" t="str">
        <f>TEXT(AutoPomodoro[[#This Row],[DATE]],"mmmm")</f>
        <v>November</v>
      </c>
      <c r="C219" s="2" t="str">
        <f>TEXT(AutoPomodoro[[#This Row],[DATE]],"yyyy")</f>
        <v>2021</v>
      </c>
      <c r="D219" s="8">
        <v>0.78680555555555554</v>
      </c>
      <c r="E219" s="8">
        <v>0.8222222222222223</v>
      </c>
      <c r="F219" s="3">
        <f t="shared" si="18"/>
        <v>3.5416666666666763E-2</v>
      </c>
      <c r="G219" t="s">
        <v>18</v>
      </c>
      <c r="H219" t="s">
        <v>1</v>
      </c>
    </row>
    <row r="220" spans="1:8" x14ac:dyDescent="0.3">
      <c r="A220" s="2">
        <v>44527</v>
      </c>
      <c r="B220" s="2" t="str">
        <f>TEXT(AutoPomodoro[[#This Row],[DATE]],"mmmm")</f>
        <v>November</v>
      </c>
      <c r="C220" s="2" t="str">
        <f>TEXT(AutoPomodoro[[#This Row],[DATE]],"yyyy")</f>
        <v>2021</v>
      </c>
      <c r="D220" s="8">
        <v>0.82638888888888884</v>
      </c>
      <c r="E220" s="8">
        <v>0.8930555555555556</v>
      </c>
      <c r="F220" s="3">
        <f t="shared" si="18"/>
        <v>6.6666666666666763E-2</v>
      </c>
      <c r="G220" t="s">
        <v>18</v>
      </c>
      <c r="H220" t="s">
        <v>1</v>
      </c>
    </row>
    <row r="221" spans="1:8" x14ac:dyDescent="0.3">
      <c r="A221" s="2">
        <v>44527</v>
      </c>
      <c r="B221" s="2" t="str">
        <f>TEXT(AutoPomodoro[[#This Row],[DATE]],"mmmm")</f>
        <v>November</v>
      </c>
      <c r="C221" s="2" t="str">
        <f>TEXT(AutoPomodoro[[#This Row],[DATE]],"yyyy")</f>
        <v>2021</v>
      </c>
      <c r="D221" s="8">
        <v>0.89930555555555547</v>
      </c>
      <c r="E221" s="8">
        <v>0.91180555555555554</v>
      </c>
      <c r="F221" s="3">
        <f t="shared" si="18"/>
        <v>1.2500000000000067E-2</v>
      </c>
      <c r="G221" t="s">
        <v>18</v>
      </c>
      <c r="H221" t="s">
        <v>1</v>
      </c>
    </row>
    <row r="222" spans="1:8" x14ac:dyDescent="0.3">
      <c r="A222" s="2">
        <v>44528</v>
      </c>
      <c r="B222" s="2" t="str">
        <f>TEXT(AutoPomodoro[[#This Row],[DATE]],"mmmm")</f>
        <v>November</v>
      </c>
      <c r="C222" s="2" t="str">
        <f>TEXT(AutoPomodoro[[#This Row],[DATE]],"yyyy")</f>
        <v>2021</v>
      </c>
      <c r="D222" s="8">
        <v>0.76041666666666663</v>
      </c>
      <c r="E222" s="8">
        <v>0.8125</v>
      </c>
      <c r="F222" s="3">
        <f t="shared" si="18"/>
        <v>5.208333333333337E-2</v>
      </c>
      <c r="G222" t="s">
        <v>18</v>
      </c>
      <c r="H222" t="s">
        <v>1</v>
      </c>
    </row>
    <row r="223" spans="1:8" x14ac:dyDescent="0.3">
      <c r="A223" s="2">
        <v>44528</v>
      </c>
      <c r="B223" s="2" t="str">
        <f>TEXT(AutoPomodoro[[#This Row],[DATE]],"mmmm")</f>
        <v>November</v>
      </c>
      <c r="C223" s="2" t="str">
        <f>TEXT(AutoPomodoro[[#This Row],[DATE]],"yyyy")</f>
        <v>2021</v>
      </c>
      <c r="D223" s="8">
        <v>0.81736111111111109</v>
      </c>
      <c r="E223" s="8">
        <v>0.8569444444444444</v>
      </c>
      <c r="F223" s="3">
        <f t="shared" si="18"/>
        <v>3.9583333333333304E-2</v>
      </c>
      <c r="G223" t="s">
        <v>18</v>
      </c>
      <c r="H223" t="s">
        <v>1</v>
      </c>
    </row>
    <row r="224" spans="1:8" x14ac:dyDescent="0.3">
      <c r="A224" s="2">
        <v>44528</v>
      </c>
      <c r="B224" s="2" t="str">
        <f>TEXT(AutoPomodoro[[#This Row],[DATE]],"mmmm")</f>
        <v>November</v>
      </c>
      <c r="C224" s="2" t="str">
        <f>TEXT(AutoPomodoro[[#This Row],[DATE]],"yyyy")</f>
        <v>2021</v>
      </c>
      <c r="D224" s="8">
        <v>0.8652777777777777</v>
      </c>
      <c r="E224" s="8">
        <v>0.91111111111111109</v>
      </c>
      <c r="F224" s="3">
        <f t="shared" si="18"/>
        <v>4.5833333333333393E-2</v>
      </c>
      <c r="G224" t="s">
        <v>18</v>
      </c>
      <c r="H224" t="s">
        <v>1</v>
      </c>
    </row>
    <row r="225" spans="1:8" x14ac:dyDescent="0.3">
      <c r="A225" s="2">
        <v>44528</v>
      </c>
      <c r="B225" s="2" t="str">
        <f>TEXT(AutoPomodoro[[#This Row],[DATE]],"mmmm")</f>
        <v>November</v>
      </c>
      <c r="C225" s="2" t="str">
        <f>TEXT(AutoPomodoro[[#This Row],[DATE]],"yyyy")</f>
        <v>2021</v>
      </c>
      <c r="D225" s="8">
        <v>0.92222222222222217</v>
      </c>
      <c r="E225" s="8">
        <v>0.9472222222222223</v>
      </c>
      <c r="F225" s="3">
        <f t="shared" si="18"/>
        <v>2.5000000000000133E-2</v>
      </c>
      <c r="G225" t="s">
        <v>18</v>
      </c>
      <c r="H225" t="s">
        <v>1</v>
      </c>
    </row>
    <row r="226" spans="1:8" x14ac:dyDescent="0.3">
      <c r="A226" s="2">
        <v>44529</v>
      </c>
      <c r="B226" s="2" t="str">
        <f>TEXT(AutoPomodoro[[#This Row],[DATE]],"mmmm")</f>
        <v>November</v>
      </c>
      <c r="C226" s="2" t="str">
        <f>TEXT(AutoPomodoro[[#This Row],[DATE]],"yyyy")</f>
        <v>2021</v>
      </c>
      <c r="D226" s="8">
        <v>0.76041666666666663</v>
      </c>
      <c r="E226" s="8">
        <v>0.80694444444444446</v>
      </c>
      <c r="F226" s="3">
        <f t="shared" si="18"/>
        <v>4.6527777777777835E-2</v>
      </c>
      <c r="G226" t="s">
        <v>18</v>
      </c>
      <c r="H226" t="s">
        <v>1</v>
      </c>
    </row>
    <row r="227" spans="1:8" x14ac:dyDescent="0.3">
      <c r="A227" s="2">
        <v>44529</v>
      </c>
      <c r="B227" s="2" t="str">
        <f>TEXT(AutoPomodoro[[#This Row],[DATE]],"mmmm")</f>
        <v>November</v>
      </c>
      <c r="C227" s="2" t="str">
        <f>TEXT(AutoPomodoro[[#This Row],[DATE]],"yyyy")</f>
        <v>2021</v>
      </c>
      <c r="D227" s="8">
        <v>0.81736111111111109</v>
      </c>
      <c r="E227" s="8">
        <v>0.8652777777777777</v>
      </c>
      <c r="F227" s="3">
        <f t="shared" si="18"/>
        <v>4.7916666666666607E-2</v>
      </c>
      <c r="G227" t="s">
        <v>18</v>
      </c>
      <c r="H227" t="s">
        <v>1</v>
      </c>
    </row>
    <row r="228" spans="1:8" x14ac:dyDescent="0.3">
      <c r="A228" s="2">
        <v>44529</v>
      </c>
      <c r="B228" s="2" t="str">
        <f>TEXT(AutoPomodoro[[#This Row],[DATE]],"mmmm")</f>
        <v>November</v>
      </c>
      <c r="C228" s="2" t="str">
        <f>TEXT(AutoPomodoro[[#This Row],[DATE]],"yyyy")</f>
        <v>2021</v>
      </c>
      <c r="D228" s="8">
        <v>0.87708333333333333</v>
      </c>
      <c r="E228" s="8">
        <v>0.90208333333333324</v>
      </c>
      <c r="F228" s="3">
        <f t="shared" si="18"/>
        <v>2.4999999999999911E-2</v>
      </c>
      <c r="G228" t="s">
        <v>18</v>
      </c>
      <c r="H228" t="s">
        <v>1</v>
      </c>
    </row>
    <row r="229" spans="1:8" x14ac:dyDescent="0.3">
      <c r="A229" s="2">
        <v>44529</v>
      </c>
      <c r="B229" s="2" t="str">
        <f>TEXT(AutoPomodoro[[#This Row],[DATE]],"mmmm")</f>
        <v>November</v>
      </c>
      <c r="C229" s="2" t="str">
        <f>TEXT(AutoPomodoro[[#This Row],[DATE]],"yyyy")</f>
        <v>2021</v>
      </c>
      <c r="D229" s="8">
        <v>0.98055555555555562</v>
      </c>
      <c r="E229" s="8">
        <v>0.99583333333333324</v>
      </c>
      <c r="F229" s="3">
        <f t="shared" si="18"/>
        <v>1.5277777777777612E-2</v>
      </c>
      <c r="G229" t="s">
        <v>18</v>
      </c>
      <c r="H229" t="s">
        <v>1</v>
      </c>
    </row>
    <row r="230" spans="1:8" x14ac:dyDescent="0.3">
      <c r="A230" s="2">
        <v>44530</v>
      </c>
      <c r="B230" s="2" t="str">
        <f>TEXT(AutoPomodoro[[#This Row],[DATE]],"mmmm")</f>
        <v>November</v>
      </c>
      <c r="C230" s="2" t="str">
        <f>TEXT(AutoPomodoro[[#This Row],[DATE]],"yyyy")</f>
        <v>2021</v>
      </c>
      <c r="D230" s="8">
        <v>0.69791666666666663</v>
      </c>
      <c r="E230" s="8">
        <v>0.7631944444444444</v>
      </c>
      <c r="F230" s="3">
        <f t="shared" si="18"/>
        <v>6.5277777777777768E-2</v>
      </c>
      <c r="G230" t="s">
        <v>18</v>
      </c>
      <c r="H230" t="s">
        <v>1</v>
      </c>
    </row>
    <row r="231" spans="1:8" x14ac:dyDescent="0.3">
      <c r="A231" s="2">
        <v>44530</v>
      </c>
      <c r="B231" s="2" t="str">
        <f>TEXT(AutoPomodoro[[#This Row],[DATE]],"mmmm")</f>
        <v>November</v>
      </c>
      <c r="C231" s="2" t="str">
        <f>TEXT(AutoPomodoro[[#This Row],[DATE]],"yyyy")</f>
        <v>2021</v>
      </c>
      <c r="D231" s="8">
        <v>0.77083333333333337</v>
      </c>
      <c r="E231" s="8">
        <v>0.7895833333333333</v>
      </c>
      <c r="F231" s="3">
        <f t="shared" si="18"/>
        <v>1.8749999999999933E-2</v>
      </c>
      <c r="G231" t="s">
        <v>18</v>
      </c>
      <c r="H231" t="s">
        <v>1</v>
      </c>
    </row>
    <row r="232" spans="1:8" x14ac:dyDescent="0.3">
      <c r="A232" s="2">
        <v>44530</v>
      </c>
      <c r="B232" s="2" t="str">
        <f>TEXT(AutoPomodoro[[#This Row],[DATE]],"mmmm")</f>
        <v>November</v>
      </c>
      <c r="C232" s="2" t="str">
        <f>TEXT(AutoPomodoro[[#This Row],[DATE]],"yyyy")</f>
        <v>2021</v>
      </c>
      <c r="D232" s="8">
        <v>0.80555555555555547</v>
      </c>
      <c r="E232" s="8">
        <v>0.90486111111111101</v>
      </c>
      <c r="F232" s="3">
        <f t="shared" si="18"/>
        <v>9.9305555555555536E-2</v>
      </c>
      <c r="G232" t="s">
        <v>18</v>
      </c>
      <c r="H232" t="s">
        <v>1</v>
      </c>
    </row>
    <row r="233" spans="1:8" x14ac:dyDescent="0.3">
      <c r="A233" s="2">
        <v>44531</v>
      </c>
      <c r="B233" s="2" t="str">
        <f>TEXT(AutoPomodoro[[#This Row],[DATE]],"mmmm")</f>
        <v>December</v>
      </c>
      <c r="C233" s="2" t="str">
        <f>TEXT(AutoPomodoro[[#This Row],[DATE]],"yyyy")</f>
        <v>2021</v>
      </c>
      <c r="D233" s="8">
        <v>0.61944444444444446</v>
      </c>
      <c r="E233" s="8">
        <v>0.63888888888888895</v>
      </c>
      <c r="F233" s="3">
        <f t="shared" si="18"/>
        <v>1.9444444444444486E-2</v>
      </c>
      <c r="G233" t="s">
        <v>18</v>
      </c>
      <c r="H233" t="s">
        <v>1</v>
      </c>
    </row>
    <row r="234" spans="1:8" x14ac:dyDescent="0.3">
      <c r="A234" s="2">
        <v>44531</v>
      </c>
      <c r="B234" s="2" t="str">
        <f>TEXT(AutoPomodoro[[#This Row],[DATE]],"mmmm")</f>
        <v>December</v>
      </c>
      <c r="C234" s="2" t="str">
        <f>TEXT(AutoPomodoro[[#This Row],[DATE]],"yyyy")</f>
        <v>2021</v>
      </c>
      <c r="D234" s="8">
        <v>0.65208333333333335</v>
      </c>
      <c r="E234" s="8">
        <v>0.67569444444444438</v>
      </c>
      <c r="F234" s="3">
        <f t="shared" si="18"/>
        <v>2.3611111111111027E-2</v>
      </c>
      <c r="G234" t="s">
        <v>18</v>
      </c>
      <c r="H234" t="s">
        <v>1</v>
      </c>
    </row>
    <row r="235" spans="1:8" x14ac:dyDescent="0.3">
      <c r="A235" s="2">
        <v>44531</v>
      </c>
      <c r="B235" s="2" t="str">
        <f>TEXT(AutoPomodoro[[#This Row],[DATE]],"mmmm")</f>
        <v>December</v>
      </c>
      <c r="C235" s="2" t="str">
        <f>TEXT(AutoPomodoro[[#This Row],[DATE]],"yyyy")</f>
        <v>2021</v>
      </c>
      <c r="D235" s="8">
        <v>0.81319444444444444</v>
      </c>
      <c r="E235" s="8">
        <v>0.88611111111111107</v>
      </c>
      <c r="F235" s="3">
        <f t="shared" si="18"/>
        <v>7.291666666666663E-2</v>
      </c>
      <c r="G235" t="s">
        <v>18</v>
      </c>
      <c r="H235" t="s">
        <v>1</v>
      </c>
    </row>
    <row r="236" spans="1:8" x14ac:dyDescent="0.3">
      <c r="A236" s="2">
        <v>44531</v>
      </c>
      <c r="B236" s="2" t="str">
        <f>TEXT(AutoPomodoro[[#This Row],[DATE]],"mmmm")</f>
        <v>December</v>
      </c>
      <c r="C236" s="2" t="str">
        <f>TEXT(AutoPomodoro[[#This Row],[DATE]],"yyyy")</f>
        <v>2021</v>
      </c>
      <c r="D236" s="8">
        <v>0.89097222222222217</v>
      </c>
      <c r="E236" s="8">
        <v>0.93819444444444444</v>
      </c>
      <c r="F236" s="3">
        <f t="shared" si="18"/>
        <v>4.7222222222222276E-2</v>
      </c>
      <c r="G236" t="s">
        <v>18</v>
      </c>
      <c r="H236" t="s">
        <v>1</v>
      </c>
    </row>
    <row r="237" spans="1:8" x14ac:dyDescent="0.3">
      <c r="A237" s="2">
        <v>44533</v>
      </c>
      <c r="B237" s="2" t="str">
        <f>TEXT(AutoPomodoro[[#This Row],[DATE]],"mmmm")</f>
        <v>December</v>
      </c>
      <c r="C237" s="2" t="str">
        <f>TEXT(AutoPomodoro[[#This Row],[DATE]],"yyyy")</f>
        <v>2021</v>
      </c>
      <c r="D237" s="8">
        <v>0.7583333333333333</v>
      </c>
      <c r="E237" s="8">
        <v>0.79375000000000007</v>
      </c>
      <c r="F237" s="3">
        <f t="shared" si="18"/>
        <v>3.5416666666666763E-2</v>
      </c>
      <c r="G237" t="s">
        <v>18</v>
      </c>
      <c r="H237" t="s">
        <v>1</v>
      </c>
    </row>
    <row r="238" spans="1:8" x14ac:dyDescent="0.3">
      <c r="A238" s="2">
        <v>44533</v>
      </c>
      <c r="B238" s="2" t="str">
        <f>TEXT(AutoPomodoro[[#This Row],[DATE]],"mmmm")</f>
        <v>December</v>
      </c>
      <c r="C238" s="2" t="str">
        <f>TEXT(AutoPomodoro[[#This Row],[DATE]],"yyyy")</f>
        <v>2021</v>
      </c>
      <c r="D238" s="8">
        <v>0.7993055555555556</v>
      </c>
      <c r="E238" s="8">
        <v>0.8208333333333333</v>
      </c>
      <c r="F238" s="3">
        <f t="shared" si="18"/>
        <v>2.1527777777777701E-2</v>
      </c>
      <c r="G238" t="s">
        <v>18</v>
      </c>
      <c r="H238" t="s">
        <v>1</v>
      </c>
    </row>
    <row r="239" spans="1:8" x14ac:dyDescent="0.3">
      <c r="A239" s="2">
        <v>44533</v>
      </c>
      <c r="B239" s="2" t="str">
        <f>TEXT(AutoPomodoro[[#This Row],[DATE]],"mmmm")</f>
        <v>December</v>
      </c>
      <c r="C239" s="2" t="str">
        <f>TEXT(AutoPomodoro[[#This Row],[DATE]],"yyyy")</f>
        <v>2021</v>
      </c>
      <c r="D239" s="8">
        <v>0.8256944444444444</v>
      </c>
      <c r="E239" s="8">
        <v>0.84027777777777779</v>
      </c>
      <c r="F239" s="3">
        <f t="shared" si="18"/>
        <v>1.4583333333333393E-2</v>
      </c>
      <c r="G239" t="s">
        <v>18</v>
      </c>
      <c r="H239" t="s">
        <v>1</v>
      </c>
    </row>
    <row r="240" spans="1:8" x14ac:dyDescent="0.3">
      <c r="A240" s="2">
        <v>44533</v>
      </c>
      <c r="B240" s="2" t="str">
        <f>TEXT(AutoPomodoro[[#This Row],[DATE]],"mmmm")</f>
        <v>December</v>
      </c>
      <c r="C240" s="2" t="str">
        <f>TEXT(AutoPomodoro[[#This Row],[DATE]],"yyyy")</f>
        <v>2021</v>
      </c>
      <c r="D240" s="8">
        <v>0.88194444444444453</v>
      </c>
      <c r="E240" s="8">
        <v>0.88750000000000007</v>
      </c>
      <c r="F240" s="3">
        <f t="shared" si="18"/>
        <v>5.5555555555555358E-3</v>
      </c>
      <c r="G240" t="s">
        <v>18</v>
      </c>
      <c r="H240" t="s">
        <v>1</v>
      </c>
    </row>
    <row r="241" spans="1:8" x14ac:dyDescent="0.3">
      <c r="A241" s="2">
        <v>44533</v>
      </c>
      <c r="B241" s="2" t="str">
        <f>TEXT(AutoPomodoro[[#This Row],[DATE]],"mmmm")</f>
        <v>December</v>
      </c>
      <c r="C241" s="2" t="str">
        <f>TEXT(AutoPomodoro[[#This Row],[DATE]],"yyyy")</f>
        <v>2021</v>
      </c>
      <c r="D241" s="8">
        <v>0.91666666666666663</v>
      </c>
      <c r="E241" s="8">
        <v>0.94652777777777775</v>
      </c>
      <c r="F241" s="3">
        <f t="shared" si="18"/>
        <v>2.9861111111111116E-2</v>
      </c>
      <c r="G241" t="s">
        <v>18</v>
      </c>
      <c r="H241" t="s">
        <v>1</v>
      </c>
    </row>
    <row r="242" spans="1:8" x14ac:dyDescent="0.3">
      <c r="A242" s="2">
        <v>44533</v>
      </c>
      <c r="B242" s="2" t="str">
        <f>TEXT(AutoPomodoro[[#This Row],[DATE]],"mmmm")</f>
        <v>December</v>
      </c>
      <c r="C242" s="2" t="str">
        <f>TEXT(AutoPomodoro[[#This Row],[DATE]],"yyyy")</f>
        <v>2021</v>
      </c>
      <c r="D242" s="8">
        <v>0.9555555555555556</v>
      </c>
      <c r="E242" s="8">
        <v>1.0006944444444443</v>
      </c>
      <c r="F242" s="3">
        <f t="shared" ref="F242:F267" si="19">E242-D242</f>
        <v>4.5138888888888729E-2</v>
      </c>
      <c r="G242" t="s">
        <v>18</v>
      </c>
      <c r="H242" t="s">
        <v>1</v>
      </c>
    </row>
    <row r="243" spans="1:8" x14ac:dyDescent="0.3">
      <c r="A243" s="2">
        <v>44534</v>
      </c>
      <c r="B243" s="2" t="str">
        <f>TEXT(AutoPomodoro[[#This Row],[DATE]],"mmmm")</f>
        <v>December</v>
      </c>
      <c r="C243" s="2" t="str">
        <f>TEXT(AutoPomodoro[[#This Row],[DATE]],"yyyy")</f>
        <v>2021</v>
      </c>
      <c r="D243" s="8">
        <v>0.84861111111111109</v>
      </c>
      <c r="E243" s="8">
        <v>0.90763888888888899</v>
      </c>
      <c r="F243" s="3">
        <f t="shared" si="19"/>
        <v>5.9027777777777901E-2</v>
      </c>
      <c r="G243" t="s">
        <v>18</v>
      </c>
      <c r="H243" t="s">
        <v>1</v>
      </c>
    </row>
    <row r="244" spans="1:8" x14ac:dyDescent="0.3">
      <c r="A244" s="2">
        <v>44534</v>
      </c>
      <c r="B244" s="2" t="str">
        <f>TEXT(AutoPomodoro[[#This Row],[DATE]],"mmmm")</f>
        <v>December</v>
      </c>
      <c r="C244" s="2" t="str">
        <f>TEXT(AutoPomodoro[[#This Row],[DATE]],"yyyy")</f>
        <v>2021</v>
      </c>
      <c r="D244" s="8">
        <v>0.91388888888888886</v>
      </c>
      <c r="E244" s="8">
        <v>0.93541666666666667</v>
      </c>
      <c r="F244" s="3">
        <f t="shared" si="19"/>
        <v>2.1527777777777812E-2</v>
      </c>
      <c r="G244" t="s">
        <v>18</v>
      </c>
      <c r="H244" t="s">
        <v>1</v>
      </c>
    </row>
    <row r="245" spans="1:8" x14ac:dyDescent="0.3">
      <c r="A245" s="2">
        <v>44534</v>
      </c>
      <c r="B245" s="2" t="str">
        <f>TEXT(AutoPomodoro[[#This Row],[DATE]],"mmmm")</f>
        <v>December</v>
      </c>
      <c r="C245" s="2" t="str">
        <f>TEXT(AutoPomodoro[[#This Row],[DATE]],"yyyy")</f>
        <v>2021</v>
      </c>
      <c r="D245" s="8">
        <v>0.94374999999999998</v>
      </c>
      <c r="E245" s="8">
        <v>0.96250000000000002</v>
      </c>
      <c r="F245" s="3">
        <f t="shared" si="19"/>
        <v>1.8750000000000044E-2</v>
      </c>
      <c r="G245" t="s">
        <v>18</v>
      </c>
      <c r="H245" t="s">
        <v>1</v>
      </c>
    </row>
    <row r="246" spans="1:8" x14ac:dyDescent="0.3">
      <c r="A246" s="2">
        <v>44534</v>
      </c>
      <c r="B246" s="2" t="str">
        <f>TEXT(AutoPomodoro[[#This Row],[DATE]],"mmmm")</f>
        <v>December</v>
      </c>
      <c r="C246" s="2" t="str">
        <f>TEXT(AutoPomodoro[[#This Row],[DATE]],"yyyy")</f>
        <v>2021</v>
      </c>
      <c r="D246" s="8">
        <v>0.96458333333333324</v>
      </c>
      <c r="E246" s="8">
        <v>1.0055555555555555</v>
      </c>
      <c r="F246" s="3">
        <f t="shared" si="19"/>
        <v>4.0972222222222299E-2</v>
      </c>
      <c r="G246" t="s">
        <v>18</v>
      </c>
      <c r="H246" t="s">
        <v>1</v>
      </c>
    </row>
    <row r="247" spans="1:8" x14ac:dyDescent="0.3">
      <c r="A247" s="2">
        <v>44534</v>
      </c>
      <c r="B247" s="2" t="str">
        <f>TEXT(AutoPomodoro[[#This Row],[DATE]],"mmmm")</f>
        <v>December</v>
      </c>
      <c r="C247" s="2" t="str">
        <f>TEXT(AutoPomodoro[[#This Row],[DATE]],"yyyy")</f>
        <v>2021</v>
      </c>
      <c r="D247" s="8">
        <v>1.4583333333333332E-2</v>
      </c>
      <c r="E247" s="8">
        <v>4.5138888888888888E-2</v>
      </c>
      <c r="F247" s="3">
        <f t="shared" si="19"/>
        <v>3.0555555555555558E-2</v>
      </c>
      <c r="G247" t="s">
        <v>18</v>
      </c>
      <c r="H247" t="s">
        <v>1</v>
      </c>
    </row>
    <row r="248" spans="1:8" x14ac:dyDescent="0.3">
      <c r="A248" s="2">
        <v>44535</v>
      </c>
      <c r="B248" s="2" t="str">
        <f>TEXT(AutoPomodoro[[#This Row],[DATE]],"mmmm")</f>
        <v>December</v>
      </c>
      <c r="C248" s="2" t="str">
        <f>TEXT(AutoPomodoro[[#This Row],[DATE]],"yyyy")</f>
        <v>2021</v>
      </c>
      <c r="D248" s="8">
        <v>0.70833333333333337</v>
      </c>
      <c r="E248" s="8">
        <v>0.77430555555555547</v>
      </c>
      <c r="F248" s="3">
        <f t="shared" si="19"/>
        <v>6.5972222222222099E-2</v>
      </c>
      <c r="G248" t="s">
        <v>18</v>
      </c>
      <c r="H248" t="s">
        <v>1</v>
      </c>
    </row>
    <row r="249" spans="1:8" x14ac:dyDescent="0.3">
      <c r="A249" s="2">
        <v>44535</v>
      </c>
      <c r="B249" s="2" t="str">
        <f>TEXT(AutoPomodoro[[#This Row],[DATE]],"mmmm")</f>
        <v>December</v>
      </c>
      <c r="C249" s="2" t="str">
        <f>TEXT(AutoPomodoro[[#This Row],[DATE]],"yyyy")</f>
        <v>2021</v>
      </c>
      <c r="D249" s="8">
        <v>0.78333333333333333</v>
      </c>
      <c r="E249" s="8">
        <v>0.81458333333333333</v>
      </c>
      <c r="F249" s="3">
        <f t="shared" si="19"/>
        <v>3.125E-2</v>
      </c>
      <c r="G249" t="s">
        <v>18</v>
      </c>
      <c r="H249" t="s">
        <v>1</v>
      </c>
    </row>
    <row r="250" spans="1:8" x14ac:dyDescent="0.3">
      <c r="A250" s="2">
        <v>44536</v>
      </c>
      <c r="B250" s="2" t="str">
        <f>TEXT(AutoPomodoro[[#This Row],[DATE]],"mmmm")</f>
        <v>December</v>
      </c>
      <c r="C250" s="2" t="str">
        <f>TEXT(AutoPomodoro[[#This Row],[DATE]],"yyyy")</f>
        <v>2021</v>
      </c>
      <c r="D250" s="8">
        <v>0.38194444444444442</v>
      </c>
      <c r="E250" s="8">
        <v>0.43472222222222223</v>
      </c>
      <c r="F250" s="3">
        <f t="shared" si="19"/>
        <v>5.2777777777777812E-2</v>
      </c>
      <c r="G250" t="s">
        <v>18</v>
      </c>
      <c r="H250" t="s">
        <v>1</v>
      </c>
    </row>
    <row r="251" spans="1:8" x14ac:dyDescent="0.3">
      <c r="A251" s="2">
        <v>44536</v>
      </c>
      <c r="B251" s="2" t="str">
        <f>TEXT(AutoPomodoro[[#This Row],[DATE]],"mmmm")</f>
        <v>December</v>
      </c>
      <c r="C251" s="2" t="str">
        <f>TEXT(AutoPomodoro[[#This Row],[DATE]],"yyyy")</f>
        <v>2021</v>
      </c>
      <c r="D251" s="8">
        <v>0.4381944444444445</v>
      </c>
      <c r="E251" s="8">
        <v>0.47986111111111113</v>
      </c>
      <c r="F251" s="3">
        <f t="shared" si="19"/>
        <v>4.166666666666663E-2</v>
      </c>
      <c r="G251" t="s">
        <v>18</v>
      </c>
      <c r="H251" t="s">
        <v>1</v>
      </c>
    </row>
    <row r="252" spans="1:8" x14ac:dyDescent="0.3">
      <c r="A252" s="2">
        <v>44537</v>
      </c>
      <c r="B252" s="2" t="str">
        <f>TEXT(AutoPomodoro[[#This Row],[DATE]],"mmmm")</f>
        <v>December</v>
      </c>
      <c r="C252" s="2" t="str">
        <f>TEXT(AutoPomodoro[[#This Row],[DATE]],"yyyy")</f>
        <v>2021</v>
      </c>
      <c r="D252" s="8">
        <v>0.77847222222222223</v>
      </c>
      <c r="E252" s="8">
        <v>0.84583333333333333</v>
      </c>
      <c r="F252" s="3">
        <f t="shared" si="19"/>
        <v>6.7361111111111094E-2</v>
      </c>
      <c r="G252" t="s">
        <v>18</v>
      </c>
      <c r="H252" t="s">
        <v>1</v>
      </c>
    </row>
    <row r="253" spans="1:8" x14ac:dyDescent="0.3">
      <c r="A253" s="2">
        <v>44537</v>
      </c>
      <c r="B253" s="2" t="str">
        <f>TEXT(AutoPomodoro[[#This Row],[DATE]],"mmmm")</f>
        <v>December</v>
      </c>
      <c r="C253" s="2" t="str">
        <f>TEXT(AutoPomodoro[[#This Row],[DATE]],"yyyy")</f>
        <v>2021</v>
      </c>
      <c r="D253" s="8">
        <v>0.85069444444444453</v>
      </c>
      <c r="E253" s="8">
        <v>0.87291666666666667</v>
      </c>
      <c r="F253" s="3">
        <f t="shared" si="19"/>
        <v>2.2222222222222143E-2</v>
      </c>
      <c r="G253" t="s">
        <v>18</v>
      </c>
      <c r="H253" t="s">
        <v>1</v>
      </c>
    </row>
    <row r="254" spans="1:8" x14ac:dyDescent="0.3">
      <c r="A254" s="2">
        <v>44537</v>
      </c>
      <c r="B254" s="2" t="str">
        <f>TEXT(AutoPomodoro[[#This Row],[DATE]],"mmmm")</f>
        <v>December</v>
      </c>
      <c r="C254" s="2" t="str">
        <f>TEXT(AutoPomodoro[[#This Row],[DATE]],"yyyy")</f>
        <v>2021</v>
      </c>
      <c r="D254" s="8">
        <v>0.8833333333333333</v>
      </c>
      <c r="E254" s="8">
        <v>0.90277777777777779</v>
      </c>
      <c r="F254" s="3">
        <f t="shared" si="19"/>
        <v>1.9444444444444486E-2</v>
      </c>
      <c r="G254" t="s">
        <v>18</v>
      </c>
      <c r="H254" t="s">
        <v>1</v>
      </c>
    </row>
    <row r="255" spans="1:8" x14ac:dyDescent="0.3">
      <c r="A255" s="2">
        <v>44538</v>
      </c>
      <c r="B255" s="2" t="str">
        <f>TEXT(AutoPomodoro[[#This Row],[DATE]],"mmmm")</f>
        <v>December</v>
      </c>
      <c r="C255" s="2" t="str">
        <f>TEXT(AutoPomodoro[[#This Row],[DATE]],"yyyy")</f>
        <v>2021</v>
      </c>
      <c r="D255" s="8">
        <v>0.52430555555555558</v>
      </c>
      <c r="E255" s="8">
        <v>0.54166666666666663</v>
      </c>
      <c r="F255" s="3">
        <f t="shared" si="19"/>
        <v>1.7361111111111049E-2</v>
      </c>
      <c r="G255" t="s">
        <v>18</v>
      </c>
      <c r="H255" t="s">
        <v>1</v>
      </c>
    </row>
    <row r="256" spans="1:8" x14ac:dyDescent="0.3">
      <c r="A256" s="2">
        <v>44538</v>
      </c>
      <c r="B256" s="2" t="str">
        <f>TEXT(AutoPomodoro[[#This Row],[DATE]],"mmmm")</f>
        <v>December</v>
      </c>
      <c r="C256" s="2" t="str">
        <f>TEXT(AutoPomodoro[[#This Row],[DATE]],"yyyy")</f>
        <v>2021</v>
      </c>
      <c r="D256" s="8">
        <v>0.85902777777777783</v>
      </c>
      <c r="E256" s="8">
        <v>0.89097222222222217</v>
      </c>
      <c r="F256" s="3">
        <f t="shared" si="19"/>
        <v>3.1944444444444331E-2</v>
      </c>
      <c r="G256" t="s">
        <v>18</v>
      </c>
      <c r="H256" t="s">
        <v>1</v>
      </c>
    </row>
    <row r="257" spans="1:8" x14ac:dyDescent="0.3">
      <c r="A257" s="2">
        <v>44538</v>
      </c>
      <c r="B257" s="2" t="str">
        <f>TEXT(AutoPomodoro[[#This Row],[DATE]],"mmmm")</f>
        <v>December</v>
      </c>
      <c r="C257" s="2" t="str">
        <f>TEXT(AutoPomodoro[[#This Row],[DATE]],"yyyy")</f>
        <v>2021</v>
      </c>
      <c r="D257" s="8">
        <v>0.89861111111111114</v>
      </c>
      <c r="E257" s="8">
        <v>0.9458333333333333</v>
      </c>
      <c r="F257" s="3">
        <f t="shared" si="19"/>
        <v>4.7222222222222165E-2</v>
      </c>
      <c r="G257" t="s">
        <v>18</v>
      </c>
      <c r="H257" t="s">
        <v>1</v>
      </c>
    </row>
    <row r="258" spans="1:8" x14ac:dyDescent="0.3">
      <c r="A258" s="2">
        <v>44538</v>
      </c>
      <c r="B258" s="2" t="str">
        <f>TEXT(AutoPomodoro[[#This Row],[DATE]],"mmmm")</f>
        <v>December</v>
      </c>
      <c r="C258" s="2" t="str">
        <f>TEXT(AutoPomodoro[[#This Row],[DATE]],"yyyy")</f>
        <v>2021</v>
      </c>
      <c r="D258" s="8">
        <v>0</v>
      </c>
      <c r="E258" s="8">
        <v>8.3333333333333329E-2</v>
      </c>
      <c r="F258" s="3">
        <f t="shared" si="19"/>
        <v>8.3333333333333329E-2</v>
      </c>
      <c r="G258" t="s">
        <v>18</v>
      </c>
      <c r="H258" t="s">
        <v>1</v>
      </c>
    </row>
    <row r="259" spans="1:8" x14ac:dyDescent="0.3">
      <c r="A259" s="2">
        <v>44539</v>
      </c>
      <c r="B259" s="2" t="str">
        <f>TEXT(AutoPomodoro[[#This Row],[DATE]],"mmmm")</f>
        <v>December</v>
      </c>
      <c r="C259" s="2" t="str">
        <f>TEXT(AutoPomodoro[[#This Row],[DATE]],"yyyy")</f>
        <v>2021</v>
      </c>
      <c r="D259" s="8">
        <v>0.60486111111111118</v>
      </c>
      <c r="E259" s="8">
        <v>0.63402777777777775</v>
      </c>
      <c r="F259" s="3">
        <f t="shared" si="19"/>
        <v>2.9166666666666563E-2</v>
      </c>
      <c r="G259" t="s">
        <v>18</v>
      </c>
      <c r="H259" t="s">
        <v>1</v>
      </c>
    </row>
    <row r="260" spans="1:8" x14ac:dyDescent="0.3">
      <c r="A260" s="2">
        <v>44539</v>
      </c>
      <c r="B260" s="2" t="str">
        <f>TEXT(AutoPomodoro[[#This Row],[DATE]],"mmmm")</f>
        <v>December</v>
      </c>
      <c r="C260" s="2" t="str">
        <f>TEXT(AutoPomodoro[[#This Row],[DATE]],"yyyy")</f>
        <v>2021</v>
      </c>
      <c r="D260" s="8">
        <v>0.64236111111111105</v>
      </c>
      <c r="E260" s="8">
        <v>0.6791666666666667</v>
      </c>
      <c r="F260" s="3">
        <f t="shared" si="19"/>
        <v>3.6805555555555647E-2</v>
      </c>
      <c r="G260" t="s">
        <v>18</v>
      </c>
      <c r="H260" t="s">
        <v>1</v>
      </c>
    </row>
    <row r="261" spans="1:8" x14ac:dyDescent="0.3">
      <c r="A261" s="2">
        <v>44539</v>
      </c>
      <c r="B261" s="2" t="str">
        <f>TEXT(AutoPomodoro[[#This Row],[DATE]],"mmmm")</f>
        <v>December</v>
      </c>
      <c r="C261" s="2" t="str">
        <f>TEXT(AutoPomodoro[[#This Row],[DATE]],"yyyy")</f>
        <v>2021</v>
      </c>
      <c r="D261" s="8">
        <v>0.68263888888888891</v>
      </c>
      <c r="E261" s="8">
        <v>0.70347222222222217</v>
      </c>
      <c r="F261" s="3">
        <f t="shared" si="19"/>
        <v>2.0833333333333259E-2</v>
      </c>
      <c r="G261" t="s">
        <v>18</v>
      </c>
      <c r="H261" t="s">
        <v>1</v>
      </c>
    </row>
    <row r="262" spans="1:8" x14ac:dyDescent="0.3">
      <c r="A262" s="2">
        <v>44539</v>
      </c>
      <c r="B262" s="2" t="str">
        <f>TEXT(AutoPomodoro[[#This Row],[DATE]],"mmmm")</f>
        <v>December</v>
      </c>
      <c r="C262" s="2" t="str">
        <f>TEXT(AutoPomodoro[[#This Row],[DATE]],"yyyy")</f>
        <v>2021</v>
      </c>
      <c r="D262" s="8">
        <v>0.72499999999999998</v>
      </c>
      <c r="E262" s="8">
        <v>0.77222222222222225</v>
      </c>
      <c r="F262" s="3">
        <f t="shared" si="19"/>
        <v>4.7222222222222276E-2</v>
      </c>
      <c r="G262" t="s">
        <v>18</v>
      </c>
      <c r="H262" t="s">
        <v>1</v>
      </c>
    </row>
    <row r="263" spans="1:8" x14ac:dyDescent="0.3">
      <c r="A263" s="2">
        <v>44539</v>
      </c>
      <c r="B263" s="2" t="str">
        <f>TEXT(AutoPomodoro[[#This Row],[DATE]],"mmmm")</f>
        <v>December</v>
      </c>
      <c r="C263" s="2" t="str">
        <f>TEXT(AutoPomodoro[[#This Row],[DATE]],"yyyy")</f>
        <v>2021</v>
      </c>
      <c r="D263" s="8">
        <v>0.77569444444444446</v>
      </c>
      <c r="E263" s="8">
        <v>0.82013888888888886</v>
      </c>
      <c r="F263" s="3">
        <f t="shared" si="19"/>
        <v>4.4444444444444398E-2</v>
      </c>
      <c r="G263" t="s">
        <v>18</v>
      </c>
      <c r="H263" t="s">
        <v>1</v>
      </c>
    </row>
    <row r="264" spans="1:8" x14ac:dyDescent="0.3">
      <c r="A264" s="2">
        <v>44539</v>
      </c>
      <c r="B264" s="2" t="str">
        <f>TEXT(AutoPomodoro[[#This Row],[DATE]],"mmmm")</f>
        <v>December</v>
      </c>
      <c r="C264" s="2" t="str">
        <f>TEXT(AutoPomodoro[[#This Row],[DATE]],"yyyy")</f>
        <v>2021</v>
      </c>
      <c r="D264" s="8">
        <v>0.82638888888888884</v>
      </c>
      <c r="E264" s="8">
        <v>0.84444444444444444</v>
      </c>
      <c r="F264" s="3">
        <f t="shared" si="19"/>
        <v>1.8055555555555602E-2</v>
      </c>
      <c r="G264" t="s">
        <v>18</v>
      </c>
      <c r="H264" t="s">
        <v>1</v>
      </c>
    </row>
    <row r="265" spans="1:8" x14ac:dyDescent="0.3">
      <c r="A265" s="2">
        <v>44539</v>
      </c>
      <c r="B265" s="2" t="str">
        <f>TEXT(AutoPomodoro[[#This Row],[DATE]],"mmmm")</f>
        <v>December</v>
      </c>
      <c r="C265" s="2" t="str">
        <f>TEXT(AutoPomodoro[[#This Row],[DATE]],"yyyy")</f>
        <v>2021</v>
      </c>
      <c r="D265" s="8">
        <v>0.85138888888888886</v>
      </c>
      <c r="E265" s="8">
        <v>0.86249999999999993</v>
      </c>
      <c r="F265" s="3">
        <f t="shared" si="19"/>
        <v>1.1111111111111072E-2</v>
      </c>
      <c r="G265" t="s">
        <v>18</v>
      </c>
      <c r="H265" t="s">
        <v>1</v>
      </c>
    </row>
    <row r="266" spans="1:8" x14ac:dyDescent="0.3">
      <c r="A266" s="2">
        <v>44539</v>
      </c>
      <c r="B266" s="2" t="str">
        <f>TEXT(AutoPomodoro[[#This Row],[DATE]],"mmmm")</f>
        <v>December</v>
      </c>
      <c r="C266" s="2" t="str">
        <f>TEXT(AutoPomodoro[[#This Row],[DATE]],"yyyy")</f>
        <v>2021</v>
      </c>
      <c r="D266" s="8">
        <v>0.92708333333333337</v>
      </c>
      <c r="E266" s="8">
        <v>0.97569444444444453</v>
      </c>
      <c r="F266" s="3">
        <f t="shared" si="19"/>
        <v>4.861111111111116E-2</v>
      </c>
      <c r="G266" t="s">
        <v>18</v>
      </c>
      <c r="H266" t="s">
        <v>1</v>
      </c>
    </row>
    <row r="267" spans="1:8" x14ac:dyDescent="0.3">
      <c r="A267" s="2">
        <v>44539</v>
      </c>
      <c r="B267" s="2" t="str">
        <f>TEXT(AutoPomodoro[[#This Row],[DATE]],"mmmm")</f>
        <v>December</v>
      </c>
      <c r="C267" s="2" t="str">
        <f>TEXT(AutoPomodoro[[#This Row],[DATE]],"yyyy")</f>
        <v>2021</v>
      </c>
      <c r="D267" s="8">
        <v>0.52083333333333337</v>
      </c>
      <c r="E267" s="8">
        <v>0.55902777777777779</v>
      </c>
      <c r="F267" s="3">
        <f t="shared" si="19"/>
        <v>3.819444444444442E-2</v>
      </c>
      <c r="G267" t="s">
        <v>18</v>
      </c>
      <c r="H267" t="s">
        <v>1</v>
      </c>
    </row>
    <row r="268" spans="1:8" x14ac:dyDescent="0.3">
      <c r="A268" s="2">
        <v>44541</v>
      </c>
      <c r="B268" s="2" t="str">
        <f>TEXT(AutoPomodoro[[#This Row],[DATE]],"mmmm")</f>
        <v>December</v>
      </c>
      <c r="C268" s="2" t="str">
        <f>TEXT(AutoPomodoro[[#This Row],[DATE]],"yyyy")</f>
        <v>2021</v>
      </c>
      <c r="D268" s="8"/>
      <c r="E268" s="8">
        <f>D268+$T$15</f>
        <v>1.7361111111111112E-2</v>
      </c>
      <c r="F268" s="3">
        <v>1.4583333333333332E-2</v>
      </c>
      <c r="G268" t="s">
        <v>0</v>
      </c>
      <c r="H268" t="s">
        <v>1</v>
      </c>
    </row>
    <row r="269" spans="1:8" x14ac:dyDescent="0.3">
      <c r="A269" s="2">
        <v>44543</v>
      </c>
      <c r="B269" s="2" t="str">
        <f>TEXT(AutoPomodoro[[#This Row],[DATE]],"mmmm")</f>
        <v>December</v>
      </c>
      <c r="C269" s="2" t="str">
        <f>TEXT(AutoPomodoro[[#This Row],[DATE]],"yyyy")</f>
        <v>2021</v>
      </c>
      <c r="D269" s="8">
        <v>0.75347222222222221</v>
      </c>
      <c r="E269" s="8">
        <v>0.80833333333333324</v>
      </c>
      <c r="F269" s="3">
        <f>E269-D269</f>
        <v>5.4861111111111027E-2</v>
      </c>
      <c r="G269" t="s">
        <v>18</v>
      </c>
      <c r="H269" t="s">
        <v>1</v>
      </c>
    </row>
    <row r="270" spans="1:8" x14ac:dyDescent="0.3">
      <c r="A270" s="2">
        <v>44543</v>
      </c>
      <c r="B270" s="2" t="str">
        <f>TEXT(AutoPomodoro[[#This Row],[DATE]],"mmmm")</f>
        <v>December</v>
      </c>
      <c r="C270" s="2" t="str">
        <f>TEXT(AutoPomodoro[[#This Row],[DATE]],"yyyy")</f>
        <v>2021</v>
      </c>
      <c r="D270" s="8">
        <v>0.81597222222222221</v>
      </c>
      <c r="E270" s="8">
        <v>0.85902777777777783</v>
      </c>
      <c r="F270" s="3">
        <f>E270-D270</f>
        <v>4.3055555555555625E-2</v>
      </c>
      <c r="G270" t="s">
        <v>18</v>
      </c>
      <c r="H270" t="s">
        <v>1</v>
      </c>
    </row>
    <row r="271" spans="1:8" x14ac:dyDescent="0.3">
      <c r="A271" s="2">
        <v>44546</v>
      </c>
      <c r="B271" s="2" t="str">
        <f>TEXT(AutoPomodoro[[#This Row],[DATE]],"mmmm")</f>
        <v>December</v>
      </c>
      <c r="C271" s="2" t="str">
        <f>TEXT(AutoPomodoro[[#This Row],[DATE]],"yyyy")</f>
        <v>2021</v>
      </c>
      <c r="D271" s="8">
        <v>0.11666666666666665</v>
      </c>
      <c r="E271" s="8">
        <v>0.1423611111111111</v>
      </c>
      <c r="F271" s="3">
        <v>4.027777777777778E-2</v>
      </c>
      <c r="G271" t="s">
        <v>0</v>
      </c>
      <c r="H271" t="s">
        <v>1</v>
      </c>
    </row>
    <row r="272" spans="1:8" x14ac:dyDescent="0.3">
      <c r="A272" s="2">
        <v>44546</v>
      </c>
      <c r="B272" s="2" t="str">
        <f>TEXT(AutoPomodoro[[#This Row],[DATE]],"mmmm")</f>
        <v>December</v>
      </c>
      <c r="C272" s="2" t="str">
        <f>TEXT(AutoPomodoro[[#This Row],[DATE]],"yyyy")</f>
        <v>2021</v>
      </c>
      <c r="D272" s="8">
        <v>0.82986111111111116</v>
      </c>
      <c r="E272" s="8">
        <v>0.88194444444444453</v>
      </c>
      <c r="F272" s="3">
        <f>E272-D272</f>
        <v>5.208333333333337E-2</v>
      </c>
      <c r="G272" t="s">
        <v>18</v>
      </c>
      <c r="H272" t="s">
        <v>1</v>
      </c>
    </row>
    <row r="273" spans="1:8" x14ac:dyDescent="0.3">
      <c r="A273" s="2">
        <v>44546</v>
      </c>
      <c r="B273" s="2" t="str">
        <f>TEXT(AutoPomodoro[[#This Row],[DATE]],"mmmm")</f>
        <v>December</v>
      </c>
      <c r="C273" s="2" t="str">
        <f>TEXT(AutoPomodoro[[#This Row],[DATE]],"yyyy")</f>
        <v>2021</v>
      </c>
      <c r="D273" s="8">
        <v>0.89236111111111116</v>
      </c>
      <c r="E273" s="8">
        <v>0.9472222222222223</v>
      </c>
      <c r="F273" s="3">
        <f>E273-D273</f>
        <v>5.4861111111111138E-2</v>
      </c>
      <c r="G273" t="s">
        <v>18</v>
      </c>
      <c r="H273" t="s">
        <v>1</v>
      </c>
    </row>
    <row r="274" spans="1:8" x14ac:dyDescent="0.3">
      <c r="A274" s="2">
        <v>44547</v>
      </c>
      <c r="B274" s="2" t="str">
        <f>TEXT(AutoPomodoro[[#This Row],[DATE]],"mmmm")</f>
        <v>December</v>
      </c>
      <c r="C274" s="2" t="str">
        <f>TEXT(AutoPomodoro[[#This Row],[DATE]],"yyyy")</f>
        <v>2021</v>
      </c>
      <c r="D274" s="8"/>
      <c r="E274" s="8">
        <f>D274+$T$15</f>
        <v>1.7361111111111112E-2</v>
      </c>
      <c r="F274" s="3">
        <v>1.4583333333333332E-2</v>
      </c>
      <c r="G274" t="s">
        <v>0</v>
      </c>
      <c r="H274" t="s">
        <v>1</v>
      </c>
    </row>
    <row r="275" spans="1:8" x14ac:dyDescent="0.3">
      <c r="A275" s="2">
        <v>44548</v>
      </c>
      <c r="B275" s="2" t="str">
        <f>TEXT(AutoPomodoro[[#This Row],[DATE]],"mmmm")</f>
        <v>December</v>
      </c>
      <c r="C275" s="2" t="str">
        <f>TEXT(AutoPomodoro[[#This Row],[DATE]],"yyyy")</f>
        <v>2021</v>
      </c>
      <c r="D275" s="8">
        <v>0.8125</v>
      </c>
      <c r="E275" s="8">
        <v>0.86041666666666661</v>
      </c>
      <c r="F275" s="3">
        <f>E275-D275</f>
        <v>4.7916666666666607E-2</v>
      </c>
      <c r="G275" t="s">
        <v>18</v>
      </c>
      <c r="H275" t="s">
        <v>1</v>
      </c>
    </row>
    <row r="276" spans="1:8" x14ac:dyDescent="0.3">
      <c r="A276" s="2">
        <v>44550</v>
      </c>
      <c r="B276" s="2" t="str">
        <f>TEXT(AutoPomodoro[[#This Row],[DATE]],"mmmm")</f>
        <v>December</v>
      </c>
      <c r="C276" s="2" t="str">
        <f>TEXT(AutoPomodoro[[#This Row],[DATE]],"yyyy")</f>
        <v>2021</v>
      </c>
      <c r="D276" s="8">
        <v>0.69791666666666663</v>
      </c>
      <c r="E276" s="8">
        <v>0.74583333333333324</v>
      </c>
      <c r="F276" s="3">
        <f>E276-D276</f>
        <v>4.7916666666666607E-2</v>
      </c>
      <c r="G276" t="s">
        <v>18</v>
      </c>
      <c r="H276" t="s">
        <v>1</v>
      </c>
    </row>
    <row r="277" spans="1:8" x14ac:dyDescent="0.3">
      <c r="A277" s="2">
        <v>44550</v>
      </c>
      <c r="B277" s="2" t="str">
        <f>TEXT(AutoPomodoro[[#This Row],[DATE]],"mmmm")</f>
        <v>December</v>
      </c>
      <c r="C277" s="2" t="str">
        <f>TEXT(AutoPomodoro[[#This Row],[DATE]],"yyyy")</f>
        <v>2021</v>
      </c>
      <c r="D277" s="8">
        <v>0.76180555555555562</v>
      </c>
      <c r="E277" s="8">
        <v>0.78611111111111109</v>
      </c>
      <c r="F277" s="3">
        <f>E277-D277</f>
        <v>2.4305555555555469E-2</v>
      </c>
      <c r="G277" t="s">
        <v>17</v>
      </c>
      <c r="H277" t="s">
        <v>1</v>
      </c>
    </row>
    <row r="278" spans="1:8" x14ac:dyDescent="0.3">
      <c r="A278" s="2">
        <v>44550</v>
      </c>
      <c r="B278" s="2" t="str">
        <f>TEXT(AutoPomodoro[[#This Row],[DATE]],"mmmm")</f>
        <v>December</v>
      </c>
      <c r="C278" s="2" t="str">
        <f>TEXT(AutoPomodoro[[#This Row],[DATE]],"yyyy")</f>
        <v>2021</v>
      </c>
      <c r="D278" s="8">
        <v>0.79791666666666661</v>
      </c>
      <c r="E278" s="8">
        <v>0.83750000000000002</v>
      </c>
      <c r="F278" s="3">
        <f>E278-D278</f>
        <v>3.9583333333333415E-2</v>
      </c>
      <c r="G278" t="s">
        <v>18</v>
      </c>
      <c r="H278" t="s">
        <v>1</v>
      </c>
    </row>
    <row r="279" spans="1:8" x14ac:dyDescent="0.3">
      <c r="A279" s="2">
        <v>44550</v>
      </c>
      <c r="B279" s="2" t="str">
        <f>TEXT(AutoPomodoro[[#This Row],[DATE]],"mmmm")</f>
        <v>December</v>
      </c>
      <c r="C279" s="2" t="str">
        <f>TEXT(AutoPomodoro[[#This Row],[DATE]],"yyyy")</f>
        <v>2021</v>
      </c>
      <c r="D279" s="8">
        <v>0.84444444444444444</v>
      </c>
      <c r="E279" s="8">
        <v>0.86111111111111116</v>
      </c>
      <c r="F279" s="3">
        <f>E279-D279</f>
        <v>1.6666666666666718E-2</v>
      </c>
      <c r="G279" t="s">
        <v>18</v>
      </c>
      <c r="H279" t="s">
        <v>1</v>
      </c>
    </row>
    <row r="280" spans="1:8" x14ac:dyDescent="0.3">
      <c r="A280" s="2">
        <v>44553</v>
      </c>
      <c r="B280" s="2" t="str">
        <f>TEXT(AutoPomodoro[[#This Row],[DATE]],"mmmm")</f>
        <v>December</v>
      </c>
      <c r="C280" s="2" t="str">
        <f>TEXT(AutoPomodoro[[#This Row],[DATE]],"yyyy")</f>
        <v>2021</v>
      </c>
      <c r="D280" s="8"/>
      <c r="E280" s="8">
        <f>D280+$T$15</f>
        <v>1.7361111111111112E-2</v>
      </c>
      <c r="F280" s="3">
        <v>2.0833333333333332E-2</v>
      </c>
      <c r="G280" t="s">
        <v>0</v>
      </c>
      <c r="H280" t="s">
        <v>1</v>
      </c>
    </row>
    <row r="281" spans="1:8" x14ac:dyDescent="0.3">
      <c r="A281" s="2">
        <v>44553</v>
      </c>
      <c r="B281" s="2" t="str">
        <f>TEXT(AutoPomodoro[[#This Row],[DATE]],"mmmm")</f>
        <v>December</v>
      </c>
      <c r="C281" s="2" t="str">
        <f>TEXT(AutoPomodoro[[#This Row],[DATE]],"yyyy")</f>
        <v>2021</v>
      </c>
      <c r="D281" s="8">
        <v>0.66666666666666663</v>
      </c>
      <c r="E281" s="8">
        <f>D281+$T$15</f>
        <v>0.68402777777777779</v>
      </c>
      <c r="F281" s="3">
        <f t="shared" ref="F281:F287" si="20">E281-D281</f>
        <v>1.736111111111116E-2</v>
      </c>
      <c r="G281" t="s">
        <v>0</v>
      </c>
      <c r="H281" t="s">
        <v>1</v>
      </c>
    </row>
    <row r="282" spans="1:8" x14ac:dyDescent="0.3">
      <c r="A282" s="2">
        <v>44553</v>
      </c>
      <c r="B282" s="2" t="str">
        <f>TEXT(AutoPomodoro[[#This Row],[DATE]],"mmmm")</f>
        <v>December</v>
      </c>
      <c r="C282" s="2" t="str">
        <f>TEXT(AutoPomodoro[[#This Row],[DATE]],"yyyy")</f>
        <v>2021</v>
      </c>
      <c r="D282" s="8">
        <f>E281+$T$16</f>
        <v>0.6875</v>
      </c>
      <c r="E282" s="8">
        <f>D282+$T$15</f>
        <v>0.70486111111111116</v>
      </c>
      <c r="F282" s="3">
        <f t="shared" si="20"/>
        <v>1.736111111111116E-2</v>
      </c>
      <c r="G282" t="s">
        <v>17</v>
      </c>
      <c r="H282" t="s">
        <v>1</v>
      </c>
    </row>
    <row r="283" spans="1:8" x14ac:dyDescent="0.3">
      <c r="A283" s="2">
        <v>44553</v>
      </c>
      <c r="B283" s="2" t="str">
        <f>TEXT(AutoPomodoro[[#This Row],[DATE]],"mmmm")</f>
        <v>December</v>
      </c>
      <c r="C283" s="2" t="str">
        <f>TEXT(AutoPomodoro[[#This Row],[DATE]],"yyyy")</f>
        <v>2021</v>
      </c>
      <c r="D283" s="8">
        <f>E282+$T$16</f>
        <v>0.70833333333333337</v>
      </c>
      <c r="E283" s="8">
        <f>D283+$T$15</f>
        <v>0.72569444444444453</v>
      </c>
      <c r="F283" s="3">
        <f t="shared" si="20"/>
        <v>1.736111111111116E-2</v>
      </c>
      <c r="G283" t="s">
        <v>17</v>
      </c>
      <c r="H283" t="s">
        <v>1</v>
      </c>
    </row>
    <row r="284" spans="1:8" x14ac:dyDescent="0.3">
      <c r="A284" s="2">
        <v>44553</v>
      </c>
      <c r="B284" s="2" t="str">
        <f>TEXT(AutoPomodoro[[#This Row],[DATE]],"mmmm")</f>
        <v>December</v>
      </c>
      <c r="C284" s="2" t="str">
        <f>TEXT(AutoPomodoro[[#This Row],[DATE]],"yyyy")</f>
        <v>2021</v>
      </c>
      <c r="D284" s="8">
        <v>0.72569444444444453</v>
      </c>
      <c r="E284" s="8">
        <v>0.75</v>
      </c>
      <c r="F284" s="3">
        <f t="shared" si="20"/>
        <v>2.4305555555555469E-2</v>
      </c>
      <c r="G284" t="s">
        <v>21</v>
      </c>
      <c r="H284" t="s">
        <v>1</v>
      </c>
    </row>
    <row r="285" spans="1:8" x14ac:dyDescent="0.3">
      <c r="A285" s="2">
        <v>44553</v>
      </c>
      <c r="B285" s="2" t="str">
        <f>TEXT(AutoPomodoro[[#This Row],[DATE]],"mmmm")</f>
        <v>December</v>
      </c>
      <c r="C285" s="2" t="str">
        <f>TEXT(AutoPomodoro[[#This Row],[DATE]],"yyyy")</f>
        <v>2021</v>
      </c>
      <c r="D285" s="8">
        <v>0.75</v>
      </c>
      <c r="E285" s="8">
        <f>D285+$T$15</f>
        <v>0.76736111111111116</v>
      </c>
      <c r="F285" s="3">
        <f t="shared" si="20"/>
        <v>1.736111111111116E-2</v>
      </c>
      <c r="G285" t="s">
        <v>17</v>
      </c>
      <c r="H285" t="s">
        <v>1</v>
      </c>
    </row>
    <row r="286" spans="1:8" x14ac:dyDescent="0.3">
      <c r="A286" s="2">
        <v>44553</v>
      </c>
      <c r="B286" s="2" t="str">
        <f>TEXT(AutoPomodoro[[#This Row],[DATE]],"mmmm")</f>
        <v>December</v>
      </c>
      <c r="C286" s="2" t="str">
        <f>TEXT(AutoPomodoro[[#This Row],[DATE]],"yyyy")</f>
        <v>2021</v>
      </c>
      <c r="D286" s="8">
        <f>E285+$T$16</f>
        <v>0.77083333333333337</v>
      </c>
      <c r="E286" s="8">
        <f>D286+$T$15</f>
        <v>0.78819444444444453</v>
      </c>
      <c r="F286" s="3">
        <f t="shared" si="20"/>
        <v>1.736111111111116E-2</v>
      </c>
      <c r="G286" t="s">
        <v>17</v>
      </c>
      <c r="H286" t="s">
        <v>1</v>
      </c>
    </row>
    <row r="287" spans="1:8" x14ac:dyDescent="0.3">
      <c r="A287" s="2">
        <v>44553</v>
      </c>
      <c r="B287" s="2" t="str">
        <f>TEXT(AutoPomodoro[[#This Row],[DATE]],"mmmm")</f>
        <v>December</v>
      </c>
      <c r="C287" s="2" t="str">
        <f>TEXT(AutoPomodoro[[#This Row],[DATE]],"yyyy")</f>
        <v>2021</v>
      </c>
      <c r="D287" s="8">
        <f>E286+$T$16</f>
        <v>0.79166666666666674</v>
      </c>
      <c r="E287" s="8">
        <f>D287+$T$15</f>
        <v>0.8090277777777779</v>
      </c>
      <c r="F287" s="3">
        <f t="shared" si="20"/>
        <v>1.736111111111116E-2</v>
      </c>
      <c r="G287" t="s">
        <v>17</v>
      </c>
      <c r="H287" t="s">
        <v>1</v>
      </c>
    </row>
    <row r="288" spans="1:8" x14ac:dyDescent="0.3">
      <c r="A288" s="2">
        <v>44553</v>
      </c>
      <c r="B288" s="2" t="str">
        <f>TEXT(AutoPomodoro[[#This Row],[DATE]],"mmmm")</f>
        <v>December</v>
      </c>
      <c r="C288" s="2" t="str">
        <f>TEXT(AutoPomodoro[[#This Row],[DATE]],"yyyy")</f>
        <v>2021</v>
      </c>
      <c r="D288" s="8">
        <f>E287+$T$17</f>
        <v>0.81388888888888899</v>
      </c>
      <c r="E288" s="8">
        <f>D288+$T$15</f>
        <v>0.83125000000000016</v>
      </c>
      <c r="F288" s="3">
        <v>9.0277777777777787E-3</v>
      </c>
      <c r="G288" t="s">
        <v>17</v>
      </c>
      <c r="H288" t="s">
        <v>1</v>
      </c>
    </row>
    <row r="289" spans="1:8" x14ac:dyDescent="0.3">
      <c r="A289" s="2">
        <v>44553</v>
      </c>
      <c r="B289" s="2" t="str">
        <f>TEXT(AutoPomodoro[[#This Row],[DATE]],"mmmm")</f>
        <v>December</v>
      </c>
      <c r="C289" s="2" t="str">
        <f>TEXT(AutoPomodoro[[#This Row],[DATE]],"yyyy")</f>
        <v>2021</v>
      </c>
      <c r="D289" s="8">
        <v>0.83611111111111114</v>
      </c>
      <c r="E289" s="8">
        <f>D289+$T$15</f>
        <v>0.8534722222222223</v>
      </c>
      <c r="F289" s="3">
        <f t="shared" ref="F289:F302" si="21">E289-D289</f>
        <v>1.736111111111116E-2</v>
      </c>
      <c r="G289" t="s">
        <v>18</v>
      </c>
      <c r="H289" t="s">
        <v>2</v>
      </c>
    </row>
    <row r="290" spans="1:8" x14ac:dyDescent="0.3">
      <c r="A290" s="2">
        <v>44553</v>
      </c>
      <c r="B290" s="2" t="str">
        <f>TEXT(AutoPomodoro[[#This Row],[DATE]],"mmmm")</f>
        <v>December</v>
      </c>
      <c r="C290" s="2" t="str">
        <f>TEXT(AutoPomodoro[[#This Row],[DATE]],"yyyy")</f>
        <v>2021</v>
      </c>
      <c r="D290" s="8">
        <v>0.8534722222222223</v>
      </c>
      <c r="E290" s="8">
        <v>0.88888888888888884</v>
      </c>
      <c r="F290" s="3">
        <f t="shared" si="21"/>
        <v>3.5416666666666541E-2</v>
      </c>
      <c r="G290" t="s">
        <v>21</v>
      </c>
      <c r="H290" t="s">
        <v>2</v>
      </c>
    </row>
    <row r="291" spans="1:8" x14ac:dyDescent="0.3">
      <c r="A291" s="2">
        <v>44553</v>
      </c>
      <c r="B291" s="2" t="str">
        <f>TEXT(AutoPomodoro[[#This Row],[DATE]],"mmmm")</f>
        <v>December</v>
      </c>
      <c r="C291" s="2" t="str">
        <f>TEXT(AutoPomodoro[[#This Row],[DATE]],"yyyy")</f>
        <v>2021</v>
      </c>
      <c r="D291" s="8">
        <v>0.88888888888888884</v>
      </c>
      <c r="E291" s="8">
        <f>D291+$T$15</f>
        <v>0.90625</v>
      </c>
      <c r="F291" s="3">
        <f t="shared" si="21"/>
        <v>1.736111111111116E-2</v>
      </c>
      <c r="G291" t="s">
        <v>18</v>
      </c>
      <c r="H291" t="s">
        <v>2</v>
      </c>
    </row>
    <row r="292" spans="1:8" x14ac:dyDescent="0.3">
      <c r="A292" s="2">
        <v>44553</v>
      </c>
      <c r="B292" s="2" t="str">
        <f>TEXT(AutoPomodoro[[#This Row],[DATE]],"mmmm")</f>
        <v>December</v>
      </c>
      <c r="C292" s="2" t="str">
        <f>TEXT(AutoPomodoro[[#This Row],[DATE]],"yyyy")</f>
        <v>2021</v>
      </c>
      <c r="D292" s="8">
        <v>0.90972222222222221</v>
      </c>
      <c r="E292" s="8">
        <f>D292+$T$15</f>
        <v>0.92708333333333337</v>
      </c>
      <c r="F292" s="3">
        <f t="shared" si="21"/>
        <v>1.736111111111116E-2</v>
      </c>
      <c r="G292" t="s">
        <v>18</v>
      </c>
      <c r="H292" t="s">
        <v>2</v>
      </c>
    </row>
    <row r="293" spans="1:8" x14ac:dyDescent="0.3">
      <c r="A293" s="2">
        <v>44553</v>
      </c>
      <c r="B293" s="2" t="str">
        <f>TEXT(AutoPomodoro[[#This Row],[DATE]],"mmmm")</f>
        <v>December</v>
      </c>
      <c r="C293" s="2" t="str">
        <f>TEXT(AutoPomodoro[[#This Row],[DATE]],"yyyy")</f>
        <v>2021</v>
      </c>
      <c r="D293" s="8">
        <v>0.92499999999999993</v>
      </c>
      <c r="E293" s="8">
        <v>0.97986111111111107</v>
      </c>
      <c r="F293" s="3">
        <f t="shared" si="21"/>
        <v>5.4861111111111138E-2</v>
      </c>
      <c r="G293" t="s">
        <v>18</v>
      </c>
      <c r="H293" t="s">
        <v>1</v>
      </c>
    </row>
    <row r="294" spans="1:8" x14ac:dyDescent="0.3">
      <c r="A294" s="2">
        <v>44554</v>
      </c>
      <c r="B294" s="2" t="str">
        <f>TEXT(AutoPomodoro[[#This Row],[DATE]],"mmmm")</f>
        <v>December</v>
      </c>
      <c r="C294" s="2" t="str">
        <f>TEXT(AutoPomodoro[[#This Row],[DATE]],"yyyy")</f>
        <v>2021</v>
      </c>
      <c r="D294" s="8">
        <v>0.82291666666666663</v>
      </c>
      <c r="E294" s="8">
        <v>0.85625000000000007</v>
      </c>
      <c r="F294" s="3">
        <f t="shared" si="21"/>
        <v>3.3333333333333437E-2</v>
      </c>
      <c r="G294" t="s">
        <v>18</v>
      </c>
      <c r="H294" t="s">
        <v>1</v>
      </c>
    </row>
    <row r="295" spans="1:8" x14ac:dyDescent="0.3">
      <c r="A295" s="2">
        <v>44554</v>
      </c>
      <c r="B295" s="2" t="str">
        <f>TEXT(AutoPomodoro[[#This Row],[DATE]],"mmmm")</f>
        <v>December</v>
      </c>
      <c r="C295" s="2" t="str">
        <f>TEXT(AutoPomodoro[[#This Row],[DATE]],"yyyy")</f>
        <v>2021</v>
      </c>
      <c r="D295" s="8">
        <v>0.89236111111111116</v>
      </c>
      <c r="E295" s="8">
        <v>0.99305555555555547</v>
      </c>
      <c r="F295" s="3">
        <f t="shared" si="21"/>
        <v>0.10069444444444431</v>
      </c>
      <c r="G295" t="s">
        <v>18</v>
      </c>
      <c r="H295" t="s">
        <v>1</v>
      </c>
    </row>
    <row r="296" spans="1:8" x14ac:dyDescent="0.3">
      <c r="A296" s="2">
        <v>44557</v>
      </c>
      <c r="B296" s="2" t="str">
        <f>TEXT(AutoPomodoro[[#This Row],[DATE]],"mmmm")</f>
        <v>December</v>
      </c>
      <c r="C296" s="2" t="str">
        <f>TEXT(AutoPomodoro[[#This Row],[DATE]],"yyyy")</f>
        <v>2021</v>
      </c>
      <c r="D296" s="8">
        <v>0.86388888888888893</v>
      </c>
      <c r="E296" s="8">
        <v>0.92291666666666661</v>
      </c>
      <c r="F296" s="3">
        <f t="shared" si="21"/>
        <v>5.9027777777777679E-2</v>
      </c>
      <c r="G296" t="s">
        <v>18</v>
      </c>
      <c r="H296" t="s">
        <v>1</v>
      </c>
    </row>
    <row r="297" spans="1:8" x14ac:dyDescent="0.3">
      <c r="A297" s="2">
        <v>44561</v>
      </c>
      <c r="B297" s="2" t="str">
        <f>TEXT(AutoPomodoro[[#This Row],[DATE]],"mmmm")</f>
        <v>December</v>
      </c>
      <c r="C297" s="2" t="str">
        <f>TEXT(AutoPomodoro[[#This Row],[DATE]],"yyyy")</f>
        <v>2021</v>
      </c>
      <c r="D297" s="8">
        <v>0.67361111111111116</v>
      </c>
      <c r="E297" s="8">
        <v>0.73333333333333339</v>
      </c>
      <c r="F297" s="3">
        <f t="shared" si="21"/>
        <v>5.9722222222222232E-2</v>
      </c>
      <c r="G297" t="s">
        <v>18</v>
      </c>
      <c r="H297" t="s">
        <v>1</v>
      </c>
    </row>
    <row r="298" spans="1:8" x14ac:dyDescent="0.3">
      <c r="A298" s="2">
        <v>44562</v>
      </c>
      <c r="B298" s="2" t="str">
        <f>TEXT(AutoPomodoro[[#This Row],[DATE]],"mmmm")</f>
        <v>January</v>
      </c>
      <c r="C298" s="2" t="str">
        <f>TEXT(AutoPomodoro[[#This Row],[DATE]],"yyyy")</f>
        <v>2022</v>
      </c>
      <c r="D298" s="8">
        <v>0.77361111111111114</v>
      </c>
      <c r="E298" s="8">
        <v>0.79375000000000007</v>
      </c>
      <c r="F298" s="3">
        <f t="shared" si="21"/>
        <v>2.0138888888888928E-2</v>
      </c>
      <c r="G298" t="s">
        <v>18</v>
      </c>
      <c r="H298" t="s">
        <v>1</v>
      </c>
    </row>
    <row r="299" spans="1:8" x14ac:dyDescent="0.3">
      <c r="A299" s="2">
        <v>44562</v>
      </c>
      <c r="B299" s="2" t="str">
        <f>TEXT(AutoPomodoro[[#This Row],[DATE]],"mmmm")</f>
        <v>January</v>
      </c>
      <c r="C299" s="2" t="str">
        <f>TEXT(AutoPomodoro[[#This Row],[DATE]],"yyyy")</f>
        <v>2022</v>
      </c>
      <c r="D299" s="8">
        <v>0.79791666666666661</v>
      </c>
      <c r="E299" s="8">
        <v>0.82291666666666663</v>
      </c>
      <c r="F299" s="3">
        <f t="shared" si="21"/>
        <v>2.5000000000000022E-2</v>
      </c>
      <c r="G299" t="s">
        <v>18</v>
      </c>
      <c r="H299" t="s">
        <v>1</v>
      </c>
    </row>
    <row r="300" spans="1:8" x14ac:dyDescent="0.3">
      <c r="A300" s="2">
        <v>44562</v>
      </c>
      <c r="B300" s="2" t="str">
        <f>TEXT(AutoPomodoro[[#This Row],[DATE]],"mmmm")</f>
        <v>January</v>
      </c>
      <c r="C300" s="2" t="str">
        <f>TEXT(AutoPomodoro[[#This Row],[DATE]],"yyyy")</f>
        <v>2022</v>
      </c>
      <c r="D300" s="8">
        <v>0.89097222222222217</v>
      </c>
      <c r="E300" s="8">
        <v>0.93055555555555547</v>
      </c>
      <c r="F300" s="3">
        <f t="shared" si="21"/>
        <v>3.9583333333333304E-2</v>
      </c>
      <c r="G300" t="s">
        <v>18</v>
      </c>
      <c r="H300" t="s">
        <v>1</v>
      </c>
    </row>
    <row r="301" spans="1:8" x14ac:dyDescent="0.3">
      <c r="A301" s="2">
        <v>44562</v>
      </c>
      <c r="B301" s="2" t="str">
        <f>TEXT(AutoPomodoro[[#This Row],[DATE]],"mmmm")</f>
        <v>January</v>
      </c>
      <c r="C301" s="2" t="str">
        <f>TEXT(AutoPomodoro[[#This Row],[DATE]],"yyyy")</f>
        <v>2022</v>
      </c>
      <c r="D301" s="8">
        <v>0.97222222222222221</v>
      </c>
      <c r="E301" s="8">
        <v>1.0125</v>
      </c>
      <c r="F301" s="3">
        <f t="shared" si="21"/>
        <v>4.0277777777777746E-2</v>
      </c>
      <c r="G301" t="s">
        <v>18</v>
      </c>
      <c r="H301" t="s">
        <v>1</v>
      </c>
    </row>
    <row r="302" spans="1:8" x14ac:dyDescent="0.3">
      <c r="A302" s="2">
        <v>44562</v>
      </c>
      <c r="B302" s="2" t="str">
        <f>TEXT(AutoPomodoro[[#This Row],[DATE]],"mmmm")</f>
        <v>January</v>
      </c>
      <c r="C302" s="2" t="str">
        <f>TEXT(AutoPomodoro[[#This Row],[DATE]],"yyyy")</f>
        <v>2022</v>
      </c>
      <c r="D302" s="8">
        <v>1.5277777777777777E-2</v>
      </c>
      <c r="E302" s="8">
        <v>4.3750000000000004E-2</v>
      </c>
      <c r="F302" s="3">
        <f t="shared" si="21"/>
        <v>2.8472222222222225E-2</v>
      </c>
      <c r="G302" t="s">
        <v>18</v>
      </c>
      <c r="H302" t="s">
        <v>1</v>
      </c>
    </row>
    <row r="303" spans="1:8" x14ac:dyDescent="0.3">
      <c r="A303" s="2">
        <v>44563</v>
      </c>
      <c r="B303" s="2" t="str">
        <f>TEXT(AutoPomodoro[[#This Row],[DATE]],"mmmm")</f>
        <v>January</v>
      </c>
      <c r="C303" s="2" t="str">
        <f>TEXT(AutoPomodoro[[#This Row],[DATE]],"yyyy")</f>
        <v>2022</v>
      </c>
      <c r="D303" s="8">
        <v>0.88194444444444453</v>
      </c>
      <c r="E303" s="8">
        <v>0.98888888888888893</v>
      </c>
      <c r="F303" s="3">
        <v>0.125</v>
      </c>
      <c r="G303" t="s">
        <v>18</v>
      </c>
      <c r="H303" t="s">
        <v>1</v>
      </c>
    </row>
    <row r="304" spans="1:8" x14ac:dyDescent="0.3">
      <c r="A304" s="2">
        <v>44564</v>
      </c>
      <c r="B304" s="2" t="str">
        <f>TEXT(AutoPomodoro[[#This Row],[DATE]],"mmmm")</f>
        <v>January</v>
      </c>
      <c r="C304" s="2" t="str">
        <f>TEXT(AutoPomodoro[[#This Row],[DATE]],"yyyy")</f>
        <v>2022</v>
      </c>
      <c r="D304" s="8">
        <v>0.82361111111111107</v>
      </c>
      <c r="E304" s="8">
        <v>0.90902777777777777</v>
      </c>
      <c r="F304" s="3">
        <f>E304-D304</f>
        <v>8.5416666666666696E-2</v>
      </c>
      <c r="G304" t="s">
        <v>18</v>
      </c>
      <c r="H304" t="s">
        <v>1</v>
      </c>
    </row>
    <row r="305" spans="1:8" x14ac:dyDescent="0.3">
      <c r="A305" s="2">
        <v>44564</v>
      </c>
      <c r="B305" s="2" t="str">
        <f>TEXT(AutoPomodoro[[#This Row],[DATE]],"mmmm")</f>
        <v>January</v>
      </c>
      <c r="C305" s="2" t="str">
        <f>TEXT(AutoPomodoro[[#This Row],[DATE]],"yyyy")</f>
        <v>2022</v>
      </c>
      <c r="D305" s="8">
        <v>0.92499999999999993</v>
      </c>
      <c r="E305" s="8">
        <v>0.96666666666666667</v>
      </c>
      <c r="F305" s="3">
        <f>E305-D305</f>
        <v>4.1666666666666741E-2</v>
      </c>
      <c r="G305" t="s">
        <v>18</v>
      </c>
      <c r="H305" t="s">
        <v>1</v>
      </c>
    </row>
    <row r="306" spans="1:8" x14ac:dyDescent="0.3">
      <c r="A306" s="2">
        <v>44566</v>
      </c>
      <c r="B306" s="2" t="str">
        <f>TEXT(AutoPomodoro[[#This Row],[DATE]],"mmmm")</f>
        <v>January</v>
      </c>
      <c r="C306" s="2" t="str">
        <f>TEXT(AutoPomodoro[[#This Row],[DATE]],"yyyy")</f>
        <v>2022</v>
      </c>
      <c r="D306" s="8">
        <v>0.82430555555555562</v>
      </c>
      <c r="E306" s="8">
        <v>0.875</v>
      </c>
      <c r="F306" s="3">
        <f>E306-D306</f>
        <v>5.0694444444444375E-2</v>
      </c>
      <c r="G306" t="s">
        <v>18</v>
      </c>
      <c r="H306" t="s">
        <v>1</v>
      </c>
    </row>
    <row r="307" spans="1:8" x14ac:dyDescent="0.3">
      <c r="A307" s="2">
        <v>44566</v>
      </c>
      <c r="B307" s="2" t="str">
        <f>TEXT(AutoPomodoro[[#This Row],[DATE]],"mmmm")</f>
        <v>January</v>
      </c>
      <c r="C307" s="2" t="str">
        <f>TEXT(AutoPomodoro[[#This Row],[DATE]],"yyyy")</f>
        <v>2022</v>
      </c>
      <c r="D307" s="8">
        <v>0.88263888888888886</v>
      </c>
      <c r="E307" s="8">
        <v>0.9291666666666667</v>
      </c>
      <c r="F307" s="3">
        <v>5.5555555555555552E-2</v>
      </c>
      <c r="G307" t="s">
        <v>18</v>
      </c>
      <c r="H307" t="s">
        <v>1</v>
      </c>
    </row>
    <row r="308" spans="1:8" x14ac:dyDescent="0.3">
      <c r="A308" s="2">
        <v>44568</v>
      </c>
      <c r="B308" s="2" t="str">
        <f>TEXT(AutoPomodoro[[#This Row],[DATE]],"mmmm")</f>
        <v>January</v>
      </c>
      <c r="C308" s="2" t="str">
        <f>TEXT(AutoPomodoro[[#This Row],[DATE]],"yyyy")</f>
        <v>2022</v>
      </c>
      <c r="D308" s="8">
        <v>0.92152777777777783</v>
      </c>
      <c r="E308" s="8">
        <v>0.97222222222222221</v>
      </c>
      <c r="F308" s="3">
        <f t="shared" ref="F308:F334" si="22">E308-D308</f>
        <v>5.0694444444444375E-2</v>
      </c>
      <c r="G308" t="s">
        <v>18</v>
      </c>
      <c r="H308" t="s">
        <v>1</v>
      </c>
    </row>
    <row r="309" spans="1:8" x14ac:dyDescent="0.3">
      <c r="A309" s="2">
        <v>44569</v>
      </c>
      <c r="B309" s="2" t="str">
        <f>TEXT(AutoPomodoro[[#This Row],[DATE]],"mmmm")</f>
        <v>January</v>
      </c>
      <c r="C309" s="2" t="str">
        <f>TEXT(AutoPomodoro[[#This Row],[DATE]],"yyyy")</f>
        <v>2022</v>
      </c>
      <c r="D309" s="8">
        <v>0.83680555555555547</v>
      </c>
      <c r="E309" s="8">
        <v>0.91388888888888886</v>
      </c>
      <c r="F309" s="3">
        <f t="shared" si="22"/>
        <v>7.7083333333333393E-2</v>
      </c>
      <c r="G309" t="s">
        <v>18</v>
      </c>
      <c r="H309" t="s">
        <v>1</v>
      </c>
    </row>
    <row r="310" spans="1:8" x14ac:dyDescent="0.3">
      <c r="A310" s="2">
        <v>44569</v>
      </c>
      <c r="B310" s="2" t="str">
        <f>TEXT(AutoPomodoro[[#This Row],[DATE]],"mmmm")</f>
        <v>January</v>
      </c>
      <c r="C310" s="2" t="str">
        <f>TEXT(AutoPomodoro[[#This Row],[DATE]],"yyyy")</f>
        <v>2022</v>
      </c>
      <c r="D310" s="8">
        <v>0.92013888888888884</v>
      </c>
      <c r="E310" s="8">
        <v>0.9458333333333333</v>
      </c>
      <c r="F310" s="3">
        <f t="shared" si="22"/>
        <v>2.5694444444444464E-2</v>
      </c>
      <c r="G310" t="s">
        <v>18</v>
      </c>
      <c r="H310" t="s">
        <v>1</v>
      </c>
    </row>
    <row r="311" spans="1:8" x14ac:dyDescent="0.3">
      <c r="A311" s="2">
        <v>44570</v>
      </c>
      <c r="B311" s="2" t="str">
        <f>TEXT(AutoPomodoro[[#This Row],[DATE]],"mmmm")</f>
        <v>January</v>
      </c>
      <c r="C311" s="2" t="str">
        <f>TEXT(AutoPomodoro[[#This Row],[DATE]],"yyyy")</f>
        <v>2022</v>
      </c>
      <c r="D311" s="8">
        <v>0.57361111111111118</v>
      </c>
      <c r="E311" s="8">
        <v>0.59930555555555554</v>
      </c>
      <c r="F311" s="3">
        <f t="shared" si="22"/>
        <v>2.5694444444444353E-2</v>
      </c>
      <c r="G311" t="s">
        <v>18</v>
      </c>
      <c r="H311" t="s">
        <v>1</v>
      </c>
    </row>
    <row r="312" spans="1:8" x14ac:dyDescent="0.3">
      <c r="A312" s="2">
        <v>44570</v>
      </c>
      <c r="B312" s="2" t="str">
        <f>TEXT(AutoPomodoro[[#This Row],[DATE]],"mmmm")</f>
        <v>January</v>
      </c>
      <c r="C312" s="2" t="str">
        <f>TEXT(AutoPomodoro[[#This Row],[DATE]],"yyyy")</f>
        <v>2022</v>
      </c>
      <c r="D312" s="8">
        <v>0.61249999999999993</v>
      </c>
      <c r="E312" s="8">
        <v>0.71944444444444444</v>
      </c>
      <c r="F312" s="3">
        <f t="shared" si="22"/>
        <v>0.10694444444444451</v>
      </c>
      <c r="G312" t="s">
        <v>18</v>
      </c>
      <c r="H312" t="s">
        <v>1</v>
      </c>
    </row>
    <row r="313" spans="1:8" x14ac:dyDescent="0.3">
      <c r="A313" s="2">
        <v>44570</v>
      </c>
      <c r="B313" s="2" t="str">
        <f>TEXT(AutoPomodoro[[#This Row],[DATE]],"mmmm")</f>
        <v>January</v>
      </c>
      <c r="C313" s="2" t="str">
        <f>TEXT(AutoPomodoro[[#This Row],[DATE]],"yyyy")</f>
        <v>2022</v>
      </c>
      <c r="D313" s="8">
        <v>0.86111111111111116</v>
      </c>
      <c r="E313" s="8">
        <v>0.89583333333333337</v>
      </c>
      <c r="F313" s="3">
        <f t="shared" si="22"/>
        <v>3.472222222222221E-2</v>
      </c>
      <c r="G313" t="s">
        <v>18</v>
      </c>
      <c r="H313" t="s">
        <v>1</v>
      </c>
    </row>
    <row r="314" spans="1:8" x14ac:dyDescent="0.3">
      <c r="A314" s="2">
        <v>44570</v>
      </c>
      <c r="B314" s="2" t="str">
        <f>TEXT(AutoPomodoro[[#This Row],[DATE]],"mmmm")</f>
        <v>January</v>
      </c>
      <c r="C314" s="2" t="str">
        <f>TEXT(AutoPomodoro[[#This Row],[DATE]],"yyyy")</f>
        <v>2022</v>
      </c>
      <c r="D314" s="8">
        <v>0.90208333333333324</v>
      </c>
      <c r="E314" s="8">
        <v>0.93194444444444446</v>
      </c>
      <c r="F314" s="3">
        <f t="shared" si="22"/>
        <v>2.9861111111111227E-2</v>
      </c>
      <c r="G314" t="s">
        <v>18</v>
      </c>
      <c r="H314" t="s">
        <v>1</v>
      </c>
    </row>
    <row r="315" spans="1:8" x14ac:dyDescent="0.3">
      <c r="A315" s="2">
        <v>44570</v>
      </c>
      <c r="B315" s="2" t="str">
        <f>TEXT(AutoPomodoro[[#This Row],[DATE]],"mmmm")</f>
        <v>January</v>
      </c>
      <c r="C315" s="2" t="str">
        <f>TEXT(AutoPomodoro[[#This Row],[DATE]],"yyyy")</f>
        <v>2022</v>
      </c>
      <c r="D315" s="8">
        <v>0.93888888888888899</v>
      </c>
      <c r="E315" s="8">
        <v>0.96666666666666667</v>
      </c>
      <c r="F315" s="3">
        <f t="shared" si="22"/>
        <v>2.7777777777777679E-2</v>
      </c>
      <c r="G315" t="s">
        <v>18</v>
      </c>
      <c r="H315" t="s">
        <v>1</v>
      </c>
    </row>
    <row r="316" spans="1:8" x14ac:dyDescent="0.3">
      <c r="A316" s="2">
        <v>44574</v>
      </c>
      <c r="B316" s="2" t="str">
        <f>TEXT(AutoPomodoro[[#This Row],[DATE]],"mmmm")</f>
        <v>January</v>
      </c>
      <c r="C316" s="2" t="str">
        <f>TEXT(AutoPomodoro[[#This Row],[DATE]],"yyyy")</f>
        <v>2022</v>
      </c>
      <c r="D316" s="8">
        <v>0.79166666666666663</v>
      </c>
      <c r="E316" s="8">
        <f>D316+$T$15</f>
        <v>0.80902777777777779</v>
      </c>
      <c r="F316" s="3">
        <f t="shared" si="22"/>
        <v>1.736111111111116E-2</v>
      </c>
      <c r="G316" t="s">
        <v>18</v>
      </c>
      <c r="H316" t="s">
        <v>1</v>
      </c>
    </row>
    <row r="317" spans="1:8" x14ac:dyDescent="0.3">
      <c r="A317" s="2">
        <v>44574</v>
      </c>
      <c r="B317" s="2" t="str">
        <f>TEXT(AutoPomodoro[[#This Row],[DATE]],"mmmm")</f>
        <v>January</v>
      </c>
      <c r="C317" s="2" t="str">
        <f>TEXT(AutoPomodoro[[#This Row],[DATE]],"yyyy")</f>
        <v>2022</v>
      </c>
      <c r="D317" s="8">
        <f>E316+$T$16</f>
        <v>0.8125</v>
      </c>
      <c r="E317" s="8">
        <f>D317+$T$15</f>
        <v>0.82986111111111116</v>
      </c>
      <c r="F317" s="3">
        <f t="shared" si="22"/>
        <v>1.736111111111116E-2</v>
      </c>
      <c r="G317" t="s">
        <v>18</v>
      </c>
      <c r="H317" t="s">
        <v>1</v>
      </c>
    </row>
    <row r="318" spans="1:8" x14ac:dyDescent="0.3">
      <c r="A318" s="2">
        <v>44574</v>
      </c>
      <c r="B318" s="2" t="str">
        <f>TEXT(AutoPomodoro[[#This Row],[DATE]],"mmmm")</f>
        <v>January</v>
      </c>
      <c r="C318" s="2" t="str">
        <f>TEXT(AutoPomodoro[[#This Row],[DATE]],"yyyy")</f>
        <v>2022</v>
      </c>
      <c r="D318" s="8">
        <f>E317+$T$16</f>
        <v>0.83333333333333337</v>
      </c>
      <c r="E318" s="8">
        <f>D318+$T$15</f>
        <v>0.85069444444444453</v>
      </c>
      <c r="F318" s="3">
        <f t="shared" si="22"/>
        <v>1.736111111111116E-2</v>
      </c>
      <c r="G318" t="s">
        <v>18</v>
      </c>
      <c r="H318" t="s">
        <v>1</v>
      </c>
    </row>
    <row r="319" spans="1:8" x14ac:dyDescent="0.3">
      <c r="A319" s="2">
        <v>44574</v>
      </c>
      <c r="B319" s="2" t="str">
        <f>TEXT(AutoPomodoro[[#This Row],[DATE]],"mmmm")</f>
        <v>January</v>
      </c>
      <c r="C319" s="2" t="str">
        <f>TEXT(AutoPomodoro[[#This Row],[DATE]],"yyyy")</f>
        <v>2022</v>
      </c>
      <c r="D319" s="8">
        <f>E318+$T$17</f>
        <v>0.85555555555555562</v>
      </c>
      <c r="E319" s="8">
        <f>D319+$T$15</f>
        <v>0.87291666666666679</v>
      </c>
      <c r="F319" s="3">
        <f t="shared" si="22"/>
        <v>1.736111111111116E-2</v>
      </c>
      <c r="G319" t="s">
        <v>18</v>
      </c>
      <c r="H319" t="s">
        <v>1</v>
      </c>
    </row>
    <row r="320" spans="1:8" x14ac:dyDescent="0.3">
      <c r="A320" s="2">
        <v>44574</v>
      </c>
      <c r="B320" s="2" t="str">
        <f>TEXT(AutoPomodoro[[#This Row],[DATE]],"mmmm")</f>
        <v>January</v>
      </c>
      <c r="C320" s="2" t="str">
        <f>TEXT(AutoPomodoro[[#This Row],[DATE]],"yyyy")</f>
        <v>2022</v>
      </c>
      <c r="D320" s="8">
        <v>0.87777777777777777</v>
      </c>
      <c r="E320" s="8">
        <f>D320+$T$15</f>
        <v>0.89513888888888893</v>
      </c>
      <c r="F320" s="3">
        <f t="shared" si="22"/>
        <v>1.736111111111116E-2</v>
      </c>
      <c r="G320" t="s">
        <v>18</v>
      </c>
      <c r="H320" t="s">
        <v>1</v>
      </c>
    </row>
    <row r="321" spans="1:8" x14ac:dyDescent="0.3">
      <c r="A321" s="2">
        <v>44576</v>
      </c>
      <c r="B321" s="2" t="str">
        <f>TEXT(AutoPomodoro[[#This Row],[DATE]],"mmmm")</f>
        <v>January</v>
      </c>
      <c r="C321" s="2" t="str">
        <f>TEXT(AutoPomodoro[[#This Row],[DATE]],"yyyy")</f>
        <v>2022</v>
      </c>
      <c r="D321" s="8">
        <v>0.82986111111111116</v>
      </c>
      <c r="E321" s="8">
        <v>0.88680555555555562</v>
      </c>
      <c r="F321" s="3">
        <f t="shared" si="22"/>
        <v>5.6944444444444464E-2</v>
      </c>
      <c r="G321" t="s">
        <v>18</v>
      </c>
      <c r="H321" t="s">
        <v>1</v>
      </c>
    </row>
    <row r="322" spans="1:8" x14ac:dyDescent="0.3">
      <c r="A322" s="2">
        <v>44576</v>
      </c>
      <c r="B322" s="2" t="str">
        <f>TEXT(AutoPomodoro[[#This Row],[DATE]],"mmmm")</f>
        <v>January</v>
      </c>
      <c r="C322" s="2" t="str">
        <f>TEXT(AutoPomodoro[[#This Row],[DATE]],"yyyy")</f>
        <v>2022</v>
      </c>
      <c r="D322" s="8">
        <v>0.90069444444444446</v>
      </c>
      <c r="E322" s="8">
        <v>0.91666666666666663</v>
      </c>
      <c r="F322" s="3">
        <f t="shared" si="22"/>
        <v>1.5972222222222165E-2</v>
      </c>
      <c r="G322" t="s">
        <v>18</v>
      </c>
      <c r="H322" t="s">
        <v>1</v>
      </c>
    </row>
    <row r="323" spans="1:8" x14ac:dyDescent="0.3">
      <c r="A323" s="2">
        <v>44576</v>
      </c>
      <c r="B323" s="2" t="str">
        <f>TEXT(AutoPomodoro[[#This Row],[DATE]],"mmmm")</f>
        <v>January</v>
      </c>
      <c r="C323" s="2" t="str">
        <f>TEXT(AutoPomodoro[[#This Row],[DATE]],"yyyy")</f>
        <v>2022</v>
      </c>
      <c r="D323" s="8">
        <v>0.93402777777777779</v>
      </c>
      <c r="E323" s="8">
        <v>0.96597222222222223</v>
      </c>
      <c r="F323" s="3">
        <f t="shared" si="22"/>
        <v>3.1944444444444442E-2</v>
      </c>
      <c r="G323" t="s">
        <v>18</v>
      </c>
      <c r="H323" t="s">
        <v>1</v>
      </c>
    </row>
    <row r="324" spans="1:8" x14ac:dyDescent="0.3">
      <c r="A324" s="2">
        <v>44577</v>
      </c>
      <c r="B324" s="2" t="str">
        <f>TEXT(AutoPomodoro[[#This Row],[DATE]],"mmmm")</f>
        <v>January</v>
      </c>
      <c r="C324" s="2" t="str">
        <f>TEXT(AutoPomodoro[[#This Row],[DATE]],"yyyy")</f>
        <v>2022</v>
      </c>
      <c r="D324" s="8">
        <v>0.61249999999999993</v>
      </c>
      <c r="E324" s="8">
        <v>0.67847222222222225</v>
      </c>
      <c r="F324" s="3">
        <f t="shared" si="22"/>
        <v>6.5972222222222321E-2</v>
      </c>
      <c r="G324" t="s">
        <v>18</v>
      </c>
      <c r="H324" t="s">
        <v>1</v>
      </c>
    </row>
    <row r="325" spans="1:8" x14ac:dyDescent="0.3">
      <c r="A325" s="2">
        <v>44577</v>
      </c>
      <c r="B325" s="2" t="str">
        <f>TEXT(AutoPomodoro[[#This Row],[DATE]],"mmmm")</f>
        <v>January</v>
      </c>
      <c r="C325" s="2" t="str">
        <f>TEXT(AutoPomodoro[[#This Row],[DATE]],"yyyy")</f>
        <v>2022</v>
      </c>
      <c r="D325" s="8">
        <v>0.70000000000000007</v>
      </c>
      <c r="E325" s="8">
        <v>0.74097222222222225</v>
      </c>
      <c r="F325" s="3">
        <f t="shared" si="22"/>
        <v>4.0972222222222188E-2</v>
      </c>
      <c r="G325" t="s">
        <v>18</v>
      </c>
      <c r="H325" t="s">
        <v>1</v>
      </c>
    </row>
    <row r="326" spans="1:8" x14ac:dyDescent="0.3">
      <c r="A326" s="2">
        <v>44577</v>
      </c>
      <c r="B326" s="2" t="str">
        <f>TEXT(AutoPomodoro[[#This Row],[DATE]],"mmmm")</f>
        <v>January</v>
      </c>
      <c r="C326" s="2" t="str">
        <f>TEXT(AutoPomodoro[[#This Row],[DATE]],"yyyy")</f>
        <v>2022</v>
      </c>
      <c r="D326" s="8">
        <v>0.82430555555555562</v>
      </c>
      <c r="E326" s="8">
        <v>0.88888888888888884</v>
      </c>
      <c r="F326" s="3">
        <f t="shared" si="22"/>
        <v>6.4583333333333215E-2</v>
      </c>
      <c r="G326" t="s">
        <v>18</v>
      </c>
      <c r="H326" t="s">
        <v>1</v>
      </c>
    </row>
    <row r="327" spans="1:8" x14ac:dyDescent="0.3">
      <c r="A327" s="2">
        <v>44578</v>
      </c>
      <c r="B327" s="2" t="str">
        <f>TEXT(AutoPomodoro[[#This Row],[DATE]],"mmmm")</f>
        <v>January</v>
      </c>
      <c r="C327" s="2" t="str">
        <f>TEXT(AutoPomodoro[[#This Row],[DATE]],"yyyy")</f>
        <v>2022</v>
      </c>
      <c r="D327" s="8">
        <v>0.62152777777777779</v>
      </c>
      <c r="E327" s="8">
        <f t="shared" ref="E327:E333" si="23">D327+$T$15</f>
        <v>0.63888888888888895</v>
      </c>
      <c r="F327" s="3">
        <f t="shared" si="22"/>
        <v>1.736111111111116E-2</v>
      </c>
      <c r="G327" t="s">
        <v>17</v>
      </c>
      <c r="H327" t="s">
        <v>1</v>
      </c>
    </row>
    <row r="328" spans="1:8" x14ac:dyDescent="0.3">
      <c r="A328" s="2">
        <v>44578</v>
      </c>
      <c r="B328" s="2" t="str">
        <f>TEXT(AutoPomodoro[[#This Row],[DATE]],"mmmm")</f>
        <v>January</v>
      </c>
      <c r="C328" s="2" t="str">
        <f>TEXT(AutoPomodoro[[#This Row],[DATE]],"yyyy")</f>
        <v>2022</v>
      </c>
      <c r="D328" s="8">
        <f>E327+$T$16</f>
        <v>0.64236111111111116</v>
      </c>
      <c r="E328" s="8">
        <f t="shared" si="23"/>
        <v>0.65972222222222232</v>
      </c>
      <c r="F328" s="3">
        <f t="shared" si="22"/>
        <v>1.736111111111116E-2</v>
      </c>
      <c r="G328" t="s">
        <v>17</v>
      </c>
      <c r="H328" t="s">
        <v>1</v>
      </c>
    </row>
    <row r="329" spans="1:8" x14ac:dyDescent="0.3">
      <c r="A329" s="2">
        <v>44578</v>
      </c>
      <c r="B329" s="2" t="str">
        <f>TEXT(AutoPomodoro[[#This Row],[DATE]],"mmmm")</f>
        <v>January</v>
      </c>
      <c r="C329" s="2" t="str">
        <f>TEXT(AutoPomodoro[[#This Row],[DATE]],"yyyy")</f>
        <v>2022</v>
      </c>
      <c r="D329" s="8">
        <f>E328+$T$16</f>
        <v>0.66319444444444453</v>
      </c>
      <c r="E329" s="8">
        <f t="shared" si="23"/>
        <v>0.68055555555555569</v>
      </c>
      <c r="F329" s="3">
        <f t="shared" si="22"/>
        <v>1.736111111111116E-2</v>
      </c>
      <c r="G329" t="s">
        <v>17</v>
      </c>
      <c r="H329" t="s">
        <v>1</v>
      </c>
    </row>
    <row r="330" spans="1:8" x14ac:dyDescent="0.3">
      <c r="A330" s="2">
        <v>44578</v>
      </c>
      <c r="B330" s="2" t="str">
        <f>TEXT(AutoPomodoro[[#This Row],[DATE]],"mmmm")</f>
        <v>January</v>
      </c>
      <c r="C330" s="2" t="str">
        <f>TEXT(AutoPomodoro[[#This Row],[DATE]],"yyyy")</f>
        <v>2022</v>
      </c>
      <c r="D330" s="8">
        <v>0.93402777777777779</v>
      </c>
      <c r="E330" s="8">
        <f t="shared" si="23"/>
        <v>0.95138888888888895</v>
      </c>
      <c r="F330" s="3">
        <f t="shared" si="22"/>
        <v>1.736111111111116E-2</v>
      </c>
      <c r="G330" t="s">
        <v>18</v>
      </c>
      <c r="H330" t="s">
        <v>1</v>
      </c>
    </row>
    <row r="331" spans="1:8" x14ac:dyDescent="0.3">
      <c r="A331" s="2">
        <v>44578</v>
      </c>
      <c r="B331" s="2" t="str">
        <f>TEXT(AutoPomodoro[[#This Row],[DATE]],"mmmm")</f>
        <v>January</v>
      </c>
      <c r="C331" s="2" t="str">
        <f>TEXT(AutoPomodoro[[#This Row],[DATE]],"yyyy")</f>
        <v>2022</v>
      </c>
      <c r="D331" s="8">
        <f>E330+$T$16</f>
        <v>0.95486111111111116</v>
      </c>
      <c r="E331" s="8">
        <f t="shared" si="23"/>
        <v>0.97222222222222232</v>
      </c>
      <c r="F331" s="3">
        <f t="shared" si="22"/>
        <v>1.736111111111116E-2</v>
      </c>
      <c r="G331" t="s">
        <v>18</v>
      </c>
      <c r="H331" t="s">
        <v>1</v>
      </c>
    </row>
    <row r="332" spans="1:8" x14ac:dyDescent="0.3">
      <c r="A332" s="2">
        <v>44578</v>
      </c>
      <c r="B332" s="2" t="str">
        <f>TEXT(AutoPomodoro[[#This Row],[DATE]],"mmmm")</f>
        <v>January</v>
      </c>
      <c r="C332" s="2" t="str">
        <f>TEXT(AutoPomodoro[[#This Row],[DATE]],"yyyy")</f>
        <v>2022</v>
      </c>
      <c r="D332" s="8">
        <f>E331+$T$16</f>
        <v>0.97569444444444453</v>
      </c>
      <c r="E332" s="8">
        <f t="shared" si="23"/>
        <v>0.99305555555555569</v>
      </c>
      <c r="F332" s="3">
        <f t="shared" si="22"/>
        <v>1.736111111111116E-2</v>
      </c>
      <c r="G332" t="s">
        <v>18</v>
      </c>
      <c r="H332" t="s">
        <v>1</v>
      </c>
    </row>
    <row r="333" spans="1:8" x14ac:dyDescent="0.3">
      <c r="A333" s="2">
        <v>44578</v>
      </c>
      <c r="B333" s="2" t="str">
        <f>TEXT(AutoPomodoro[[#This Row],[DATE]],"mmmm")</f>
        <v>January</v>
      </c>
      <c r="C333" s="2" t="str">
        <f>TEXT(AutoPomodoro[[#This Row],[DATE]],"yyyy")</f>
        <v>2022</v>
      </c>
      <c r="D333" s="8">
        <f>E332+$T$17</f>
        <v>0.99791666666666679</v>
      </c>
      <c r="E333" s="8">
        <f t="shared" si="23"/>
        <v>1.0152777777777779</v>
      </c>
      <c r="F333" s="3">
        <f t="shared" si="22"/>
        <v>1.736111111111116E-2</v>
      </c>
      <c r="G333" t="s">
        <v>18</v>
      </c>
      <c r="H333" t="s">
        <v>1</v>
      </c>
    </row>
    <row r="334" spans="1:8" x14ac:dyDescent="0.3">
      <c r="A334" s="2">
        <v>44578</v>
      </c>
      <c r="B334" s="2" t="str">
        <f>TEXT(AutoPomodoro[[#This Row],[DATE]],"mmmm")</f>
        <v>January</v>
      </c>
      <c r="C334" s="2" t="str">
        <f>TEXT(AutoPomodoro[[#This Row],[DATE]],"yyyy")</f>
        <v>2022</v>
      </c>
      <c r="D334" s="8">
        <v>1.5277777777777777E-2</v>
      </c>
      <c r="E334" s="8">
        <v>2.7777777777777776E-2</v>
      </c>
      <c r="F334" s="3">
        <f t="shared" si="22"/>
        <v>1.2499999999999999E-2</v>
      </c>
      <c r="G334" t="s">
        <v>21</v>
      </c>
      <c r="H334" t="s">
        <v>1</v>
      </c>
    </row>
    <row r="335" spans="1:8" x14ac:dyDescent="0.3">
      <c r="A335" s="2">
        <v>44578</v>
      </c>
      <c r="B335" s="2" t="str">
        <f>TEXT(AutoPomodoro[[#This Row],[DATE]],"mmmm")</f>
        <v>January</v>
      </c>
      <c r="C335" s="2" t="str">
        <f>TEXT(AutoPomodoro[[#This Row],[DATE]],"yyyy")</f>
        <v>2022</v>
      </c>
      <c r="D335" s="8">
        <v>2.7777777777777776E-2</v>
      </c>
      <c r="E335" s="8">
        <f>D335+$T$15</f>
        <v>4.5138888888888888E-2</v>
      </c>
      <c r="F335" s="3">
        <v>1.8055555555555557E-2</v>
      </c>
      <c r="G335" t="s">
        <v>18</v>
      </c>
      <c r="H335" t="s">
        <v>1</v>
      </c>
    </row>
    <row r="336" spans="1:8" x14ac:dyDescent="0.3">
      <c r="A336" s="2">
        <v>44578</v>
      </c>
      <c r="B336" s="2" t="str">
        <f>TEXT(AutoPomodoro[[#This Row],[DATE]],"mmmm")</f>
        <v>January</v>
      </c>
      <c r="C336" s="2" t="str">
        <f>TEXT(AutoPomodoro[[#This Row],[DATE]],"yyyy")</f>
        <v>2022</v>
      </c>
      <c r="D336" s="8">
        <f>E335+$T$16</f>
        <v>4.8611111111111112E-2</v>
      </c>
      <c r="E336" s="8">
        <f>D336+$T$15</f>
        <v>6.5972222222222224E-2</v>
      </c>
      <c r="F336" s="3">
        <f>E336-D336</f>
        <v>1.7361111111111112E-2</v>
      </c>
      <c r="G336" t="s">
        <v>18</v>
      </c>
      <c r="H336" t="s">
        <v>1</v>
      </c>
    </row>
    <row r="337" spans="1:8" x14ac:dyDescent="0.3">
      <c r="A337" s="2">
        <v>44578</v>
      </c>
      <c r="B337" s="2" t="str">
        <f>TEXT(AutoPomodoro[[#This Row],[DATE]],"mmmm")</f>
        <v>January</v>
      </c>
      <c r="C337" s="2" t="str">
        <f>TEXT(AutoPomodoro[[#This Row],[DATE]],"yyyy")</f>
        <v>2022</v>
      </c>
      <c r="D337" s="8">
        <f>E336+$T$16</f>
        <v>6.9444444444444448E-2</v>
      </c>
      <c r="E337" s="8">
        <f>D337+$T$15</f>
        <v>8.6805555555555552E-2</v>
      </c>
      <c r="F337" s="3">
        <f>E337-D337</f>
        <v>1.7361111111111105E-2</v>
      </c>
      <c r="G337" t="s">
        <v>18</v>
      </c>
      <c r="H337" t="s">
        <v>1</v>
      </c>
    </row>
    <row r="338" spans="1:8" x14ac:dyDescent="0.3">
      <c r="A338" s="2">
        <v>44578</v>
      </c>
      <c r="B338" s="2" t="str">
        <f>TEXT(AutoPomodoro[[#This Row],[DATE]],"mmmm")</f>
        <v>January</v>
      </c>
      <c r="C338" s="2" t="str">
        <f>TEXT(AutoPomodoro[[#This Row],[DATE]],"yyyy")</f>
        <v>2022</v>
      </c>
      <c r="D338" s="8">
        <f>E337+$T$17</f>
        <v>9.166666666666666E-2</v>
      </c>
      <c r="E338" s="8">
        <f>D338+$T$15</f>
        <v>0.10902777777777778</v>
      </c>
      <c r="F338" s="3">
        <v>2.5694444444444447E-2</v>
      </c>
      <c r="G338" t="s">
        <v>18</v>
      </c>
      <c r="H338" t="s">
        <v>1</v>
      </c>
    </row>
    <row r="339" spans="1:8" x14ac:dyDescent="0.3">
      <c r="A339" s="2">
        <v>44578</v>
      </c>
      <c r="B339" s="2" t="str">
        <f>TEXT(AutoPomodoro[[#This Row],[DATE]],"mmmm")</f>
        <v>January</v>
      </c>
      <c r="C339" s="2" t="str">
        <f>TEXT(AutoPomodoro[[#This Row],[DATE]],"yyyy")</f>
        <v>2022</v>
      </c>
      <c r="D339" s="8">
        <v>0.14166666666666666</v>
      </c>
      <c r="E339" s="8">
        <v>0.17361111111111113</v>
      </c>
      <c r="F339" s="3">
        <f t="shared" ref="F339:F346" si="24">E339-D339</f>
        <v>3.194444444444447E-2</v>
      </c>
      <c r="G339" t="s">
        <v>18</v>
      </c>
      <c r="H339" t="s">
        <v>1</v>
      </c>
    </row>
    <row r="340" spans="1:8" x14ac:dyDescent="0.3">
      <c r="A340" s="2">
        <v>44579</v>
      </c>
      <c r="B340" s="2" t="str">
        <f>TEXT(AutoPomodoro[[#This Row],[DATE]],"mmmm")</f>
        <v>January</v>
      </c>
      <c r="C340" s="2" t="str">
        <f>TEXT(AutoPomodoro[[#This Row],[DATE]],"yyyy")</f>
        <v>2022</v>
      </c>
      <c r="D340" s="8">
        <v>0.63888888888888895</v>
      </c>
      <c r="E340" s="8">
        <f>D340+$T$15</f>
        <v>0.65625000000000011</v>
      </c>
      <c r="F340" s="3">
        <f t="shared" si="24"/>
        <v>1.736111111111116E-2</v>
      </c>
      <c r="G340" t="s">
        <v>18</v>
      </c>
      <c r="H340" t="s">
        <v>1</v>
      </c>
    </row>
    <row r="341" spans="1:8" x14ac:dyDescent="0.3">
      <c r="A341" s="2">
        <v>44579</v>
      </c>
      <c r="B341" s="2" t="str">
        <f>TEXT(AutoPomodoro[[#This Row],[DATE]],"mmmm")</f>
        <v>January</v>
      </c>
      <c r="C341" s="2" t="str">
        <f>TEXT(AutoPomodoro[[#This Row],[DATE]],"yyyy")</f>
        <v>2022</v>
      </c>
      <c r="D341" s="8">
        <f>E340+$T$16</f>
        <v>0.65972222222222232</v>
      </c>
      <c r="E341" s="8">
        <f>D341+$T$15</f>
        <v>0.67708333333333348</v>
      </c>
      <c r="F341" s="3">
        <f t="shared" si="24"/>
        <v>1.736111111111116E-2</v>
      </c>
      <c r="G341" t="s">
        <v>18</v>
      </c>
      <c r="H341" t="s">
        <v>1</v>
      </c>
    </row>
    <row r="342" spans="1:8" x14ac:dyDescent="0.3">
      <c r="A342" s="2">
        <v>44579</v>
      </c>
      <c r="B342" s="2" t="str">
        <f>TEXT(AutoPomodoro[[#This Row],[DATE]],"mmmm")</f>
        <v>January</v>
      </c>
      <c r="C342" s="2" t="str">
        <f>TEXT(AutoPomodoro[[#This Row],[DATE]],"yyyy")</f>
        <v>2022</v>
      </c>
      <c r="D342" s="8">
        <f>E341+$T$16</f>
        <v>0.68055555555555569</v>
      </c>
      <c r="E342" s="8">
        <f>D342+$T$15</f>
        <v>0.69791666666666685</v>
      </c>
      <c r="F342" s="3">
        <f t="shared" si="24"/>
        <v>1.736111111111116E-2</v>
      </c>
      <c r="G342" t="s">
        <v>18</v>
      </c>
      <c r="H342" t="s">
        <v>1</v>
      </c>
    </row>
    <row r="343" spans="1:8" x14ac:dyDescent="0.3">
      <c r="A343" s="2">
        <v>44579</v>
      </c>
      <c r="B343" s="2" t="str">
        <f>TEXT(AutoPomodoro[[#This Row],[DATE]],"mmmm")</f>
        <v>January</v>
      </c>
      <c r="C343" s="2" t="str">
        <f>TEXT(AutoPomodoro[[#This Row],[DATE]],"yyyy")</f>
        <v>2022</v>
      </c>
      <c r="D343" s="8">
        <f>E342+$T$17</f>
        <v>0.70277777777777795</v>
      </c>
      <c r="E343" s="8">
        <f>D343+$T$15</f>
        <v>0.72013888888888911</v>
      </c>
      <c r="F343" s="3">
        <f t="shared" si="24"/>
        <v>1.736111111111116E-2</v>
      </c>
      <c r="G343" t="s">
        <v>18</v>
      </c>
      <c r="H343" t="s">
        <v>1</v>
      </c>
    </row>
    <row r="344" spans="1:8" x14ac:dyDescent="0.3">
      <c r="A344" s="2">
        <v>44579</v>
      </c>
      <c r="B344" s="2" t="str">
        <f>TEXT(AutoPomodoro[[#This Row],[DATE]],"mmmm")</f>
        <v>January</v>
      </c>
      <c r="C344" s="2" t="str">
        <f>TEXT(AutoPomodoro[[#This Row],[DATE]],"yyyy")</f>
        <v>2022</v>
      </c>
      <c r="D344" s="8">
        <v>0.72499999999999998</v>
      </c>
      <c r="E344" s="8">
        <v>0.74236111111111114</v>
      </c>
      <c r="F344" s="3">
        <f t="shared" si="24"/>
        <v>1.736111111111116E-2</v>
      </c>
      <c r="G344" t="s">
        <v>18</v>
      </c>
      <c r="H344" t="s">
        <v>1</v>
      </c>
    </row>
    <row r="345" spans="1:8" x14ac:dyDescent="0.3">
      <c r="A345" s="2">
        <v>44579</v>
      </c>
      <c r="B345" s="2" t="str">
        <f>TEXT(AutoPomodoro[[#This Row],[DATE]],"mmmm")</f>
        <v>January</v>
      </c>
      <c r="C345" s="2" t="str">
        <f>TEXT(AutoPomodoro[[#This Row],[DATE]],"yyyy")</f>
        <v>2022</v>
      </c>
      <c r="D345" s="8">
        <v>0.74236111111111114</v>
      </c>
      <c r="E345" s="8">
        <v>0.76388888888888884</v>
      </c>
      <c r="F345" s="3">
        <f t="shared" si="24"/>
        <v>2.1527777777777701E-2</v>
      </c>
      <c r="G345" t="s">
        <v>21</v>
      </c>
      <c r="H345" t="s">
        <v>1</v>
      </c>
    </row>
    <row r="346" spans="1:8" x14ac:dyDescent="0.3">
      <c r="A346" s="2">
        <v>44579</v>
      </c>
      <c r="B346" s="2" t="str">
        <f>TEXT(AutoPomodoro[[#This Row],[DATE]],"mmmm")</f>
        <v>January</v>
      </c>
      <c r="C346" s="2" t="str">
        <f>TEXT(AutoPomodoro[[#This Row],[DATE]],"yyyy")</f>
        <v>2022</v>
      </c>
      <c r="D346" s="8">
        <v>0.76388888888888884</v>
      </c>
      <c r="E346" s="8">
        <f>D346+$T$15</f>
        <v>0.78125</v>
      </c>
      <c r="F346" s="3">
        <f t="shared" si="24"/>
        <v>1.736111111111116E-2</v>
      </c>
      <c r="G346" t="s">
        <v>18</v>
      </c>
      <c r="H346" t="s">
        <v>2</v>
      </c>
    </row>
    <row r="347" spans="1:8" x14ac:dyDescent="0.3">
      <c r="A347" s="2">
        <v>44579</v>
      </c>
      <c r="B347" s="2" t="str">
        <f>TEXT(AutoPomodoro[[#This Row],[DATE]],"mmmm")</f>
        <v>January</v>
      </c>
      <c r="C347" s="2" t="str">
        <f>TEXT(AutoPomodoro[[#This Row],[DATE]],"yyyy")</f>
        <v>2022</v>
      </c>
      <c r="D347" s="8">
        <f>E346+$T$16</f>
        <v>0.78472222222222221</v>
      </c>
      <c r="E347" s="8">
        <f>D347+$T$15</f>
        <v>0.80208333333333337</v>
      </c>
      <c r="F347" s="3">
        <v>2.0833333333333332E-2</v>
      </c>
      <c r="G347" t="s">
        <v>18</v>
      </c>
      <c r="H347" t="s">
        <v>1</v>
      </c>
    </row>
    <row r="348" spans="1:8" x14ac:dyDescent="0.3">
      <c r="A348" s="2">
        <v>44579</v>
      </c>
      <c r="B348" s="2" t="str">
        <f>TEXT(AutoPomodoro[[#This Row],[DATE]],"mmmm")</f>
        <v>January</v>
      </c>
      <c r="C348" s="2" t="str">
        <f>TEXT(AutoPomodoro[[#This Row],[DATE]],"yyyy")</f>
        <v>2022</v>
      </c>
      <c r="D348" s="8">
        <f>E347+$T$16</f>
        <v>0.80555555555555558</v>
      </c>
      <c r="E348" s="8">
        <f>D348+$T$15</f>
        <v>0.82291666666666674</v>
      </c>
      <c r="F348" s="3">
        <f>E348-D348</f>
        <v>1.736111111111116E-2</v>
      </c>
      <c r="G348" t="s">
        <v>18</v>
      </c>
      <c r="H348" t="s">
        <v>1</v>
      </c>
    </row>
    <row r="349" spans="1:8" x14ac:dyDescent="0.3">
      <c r="A349" s="2">
        <v>44579</v>
      </c>
      <c r="B349" s="2" t="str">
        <f>TEXT(AutoPomodoro[[#This Row],[DATE]],"mmmm")</f>
        <v>January</v>
      </c>
      <c r="C349" s="2" t="str">
        <f>TEXT(AutoPomodoro[[#This Row],[DATE]],"yyyy")</f>
        <v>2022</v>
      </c>
      <c r="D349" s="8">
        <f>E348+$T$17</f>
        <v>0.82777777777777783</v>
      </c>
      <c r="E349" s="8">
        <f>D349+$T$15</f>
        <v>0.84513888888888899</v>
      </c>
      <c r="F349" s="3">
        <f>E349-D349</f>
        <v>1.736111111111116E-2</v>
      </c>
      <c r="G349" t="s">
        <v>18</v>
      </c>
      <c r="H349" t="s">
        <v>1</v>
      </c>
    </row>
    <row r="350" spans="1:8" x14ac:dyDescent="0.3">
      <c r="A350" s="2">
        <v>44579</v>
      </c>
      <c r="B350" s="2" t="str">
        <f>TEXT(AutoPomodoro[[#This Row],[DATE]],"mmmm")</f>
        <v>January</v>
      </c>
      <c r="C350" s="2" t="str">
        <f>TEXT(AutoPomodoro[[#This Row],[DATE]],"yyyy")</f>
        <v>2022</v>
      </c>
      <c r="D350" s="8">
        <v>0.85</v>
      </c>
      <c r="E350" s="8">
        <f>D350+$T$15</f>
        <v>0.86736111111111114</v>
      </c>
      <c r="F350" s="3">
        <v>2.6388888888888889E-2</v>
      </c>
      <c r="G350" t="s">
        <v>18</v>
      </c>
      <c r="H350" t="s">
        <v>1</v>
      </c>
    </row>
    <row r="351" spans="1:8" x14ac:dyDescent="0.3">
      <c r="A351" s="2">
        <v>44579</v>
      </c>
      <c r="B351" s="2" t="str">
        <f>TEXT(AutoPomodoro[[#This Row],[DATE]],"mmmm")</f>
        <v>January</v>
      </c>
      <c r="C351" s="2" t="str">
        <f>TEXT(AutoPomodoro[[#This Row],[DATE]],"yyyy")</f>
        <v>2022</v>
      </c>
      <c r="D351" s="8">
        <v>0.86736111111111114</v>
      </c>
      <c r="E351" s="8">
        <v>0.90277777777777779</v>
      </c>
      <c r="F351" s="3">
        <f>E351-D351</f>
        <v>3.5416666666666652E-2</v>
      </c>
      <c r="G351" t="s">
        <v>21</v>
      </c>
      <c r="H351" t="s">
        <v>1</v>
      </c>
    </row>
    <row r="352" spans="1:8" x14ac:dyDescent="0.3">
      <c r="A352" s="2">
        <v>44579</v>
      </c>
      <c r="B352" s="2" t="str">
        <f>TEXT(AutoPomodoro[[#This Row],[DATE]],"mmmm")</f>
        <v>January</v>
      </c>
      <c r="C352" s="2" t="str">
        <f>TEXT(AutoPomodoro[[#This Row],[DATE]],"yyyy")</f>
        <v>2022</v>
      </c>
      <c r="D352" s="8">
        <v>0.90277777777777779</v>
      </c>
      <c r="E352" s="8">
        <f t="shared" ref="E352:E361" si="25">D352+$T$15</f>
        <v>0.92013888888888895</v>
      </c>
      <c r="F352" s="3">
        <v>2.0833333333333332E-2</v>
      </c>
      <c r="G352" t="s">
        <v>18</v>
      </c>
      <c r="H352" t="s">
        <v>1</v>
      </c>
    </row>
    <row r="353" spans="1:8" x14ac:dyDescent="0.3">
      <c r="A353" s="2">
        <v>44579</v>
      </c>
      <c r="B353" s="2" t="str">
        <f>TEXT(AutoPomodoro[[#This Row],[DATE]],"mmmm")</f>
        <v>January</v>
      </c>
      <c r="C353" s="2" t="str">
        <f>TEXT(AutoPomodoro[[#This Row],[DATE]],"yyyy")</f>
        <v>2022</v>
      </c>
      <c r="D353" s="8">
        <f>E352+$T$16</f>
        <v>0.92361111111111116</v>
      </c>
      <c r="E353" s="8">
        <f t="shared" si="25"/>
        <v>0.94097222222222232</v>
      </c>
      <c r="F353" s="3">
        <f>E353-D353</f>
        <v>1.736111111111116E-2</v>
      </c>
      <c r="G353" t="s">
        <v>18</v>
      </c>
      <c r="H353" t="s">
        <v>1</v>
      </c>
    </row>
    <row r="354" spans="1:8" x14ac:dyDescent="0.3">
      <c r="A354" s="2">
        <v>44579</v>
      </c>
      <c r="B354" s="2" t="str">
        <f>TEXT(AutoPomodoro[[#This Row],[DATE]],"mmmm")</f>
        <v>January</v>
      </c>
      <c r="C354" s="2" t="str">
        <f>TEXT(AutoPomodoro[[#This Row],[DATE]],"yyyy")</f>
        <v>2022</v>
      </c>
      <c r="D354" s="8">
        <f>E353+$T$16</f>
        <v>0.94444444444444453</v>
      </c>
      <c r="E354" s="8">
        <f t="shared" si="25"/>
        <v>0.96180555555555569</v>
      </c>
      <c r="F354" s="3">
        <v>2.7777777777777776E-2</v>
      </c>
      <c r="G354" t="s">
        <v>18</v>
      </c>
      <c r="H354" t="s">
        <v>1</v>
      </c>
    </row>
    <row r="355" spans="1:8" x14ac:dyDescent="0.3">
      <c r="A355" s="2">
        <v>44579</v>
      </c>
      <c r="B355" s="2" t="str">
        <f>TEXT(AutoPomodoro[[#This Row],[DATE]],"mmmm")</f>
        <v>January</v>
      </c>
      <c r="C355" s="2" t="str">
        <f>TEXT(AutoPomodoro[[#This Row],[DATE]],"yyyy")</f>
        <v>2022</v>
      </c>
      <c r="D355" s="8">
        <f>E354+$T$17</f>
        <v>0.96666666666666679</v>
      </c>
      <c r="E355" s="8">
        <f t="shared" si="25"/>
        <v>0.98402777777777795</v>
      </c>
      <c r="F355" s="3">
        <f>E355-D355</f>
        <v>1.736111111111116E-2</v>
      </c>
      <c r="G355" t="s">
        <v>18</v>
      </c>
      <c r="H355" t="s">
        <v>2</v>
      </c>
    </row>
    <row r="356" spans="1:8" x14ac:dyDescent="0.3">
      <c r="A356" s="2">
        <v>44579</v>
      </c>
      <c r="B356" s="2" t="str">
        <f>TEXT(AutoPomodoro[[#This Row],[DATE]],"mmmm")</f>
        <v>January</v>
      </c>
      <c r="C356" s="2" t="str">
        <f>TEXT(AutoPomodoro[[#This Row],[DATE]],"yyyy")</f>
        <v>2022</v>
      </c>
      <c r="D356" s="8"/>
      <c r="E356" s="8">
        <f t="shared" si="25"/>
        <v>1.7361111111111112E-2</v>
      </c>
      <c r="F356" s="3">
        <v>6.9444444444444434E-2</v>
      </c>
      <c r="G356" t="s">
        <v>18</v>
      </c>
      <c r="H356" t="s">
        <v>1</v>
      </c>
    </row>
    <row r="357" spans="1:8" x14ac:dyDescent="0.3">
      <c r="A357" s="2">
        <v>44581</v>
      </c>
      <c r="B357" s="2" t="str">
        <f>TEXT(AutoPomodoro[[#This Row],[DATE]],"mmmm")</f>
        <v>January</v>
      </c>
      <c r="C357" s="2" t="str">
        <f>TEXT(AutoPomodoro[[#This Row],[DATE]],"yyyy")</f>
        <v>2022</v>
      </c>
      <c r="D357" s="8">
        <v>0.75694444444444453</v>
      </c>
      <c r="E357" s="8">
        <f t="shared" si="25"/>
        <v>0.77430555555555569</v>
      </c>
      <c r="F357" s="3">
        <f>E357-D357</f>
        <v>1.736111111111116E-2</v>
      </c>
      <c r="G357" t="s">
        <v>0</v>
      </c>
      <c r="H357" t="s">
        <v>1</v>
      </c>
    </row>
    <row r="358" spans="1:8" x14ac:dyDescent="0.3">
      <c r="A358" s="2">
        <v>44583</v>
      </c>
      <c r="B358" s="2" t="str">
        <f>TEXT(AutoPomodoro[[#This Row],[DATE]],"mmmm")</f>
        <v>January</v>
      </c>
      <c r="C358" s="2" t="str">
        <f>TEXT(AutoPomodoro[[#This Row],[DATE]],"yyyy")</f>
        <v>2022</v>
      </c>
      <c r="D358" s="8">
        <v>0.68055555555555547</v>
      </c>
      <c r="E358" s="8">
        <f t="shared" si="25"/>
        <v>0.69791666666666663</v>
      </c>
      <c r="F358" s="3">
        <f>E358-D358</f>
        <v>1.736111111111116E-2</v>
      </c>
      <c r="G358" t="s">
        <v>18</v>
      </c>
      <c r="H358" t="s">
        <v>1</v>
      </c>
    </row>
    <row r="359" spans="1:8" x14ac:dyDescent="0.3">
      <c r="A359" s="2">
        <v>44583</v>
      </c>
      <c r="B359" s="2" t="str">
        <f>TEXT(AutoPomodoro[[#This Row],[DATE]],"mmmm")</f>
        <v>January</v>
      </c>
      <c r="C359" s="2" t="str">
        <f>TEXT(AutoPomodoro[[#This Row],[DATE]],"yyyy")</f>
        <v>2022</v>
      </c>
      <c r="D359" s="8">
        <f>E358+$T$16</f>
        <v>0.70138888888888884</v>
      </c>
      <c r="E359" s="8">
        <f t="shared" si="25"/>
        <v>0.71875</v>
      </c>
      <c r="F359" s="3">
        <f>E359-D359</f>
        <v>1.736111111111116E-2</v>
      </c>
      <c r="G359" t="s">
        <v>18</v>
      </c>
      <c r="H359" t="s">
        <v>1</v>
      </c>
    </row>
    <row r="360" spans="1:8" x14ac:dyDescent="0.3">
      <c r="A360" s="2">
        <v>44583</v>
      </c>
      <c r="B360" s="2" t="str">
        <f>TEXT(AutoPomodoro[[#This Row],[DATE]],"mmmm")</f>
        <v>January</v>
      </c>
      <c r="C360" s="2" t="str">
        <f>TEXT(AutoPomodoro[[#This Row],[DATE]],"yyyy")</f>
        <v>2022</v>
      </c>
      <c r="D360" s="8">
        <f>E359+$T$16</f>
        <v>0.72222222222222221</v>
      </c>
      <c r="E360" s="8">
        <f t="shared" si="25"/>
        <v>0.73958333333333337</v>
      </c>
      <c r="F360" s="3">
        <v>1.5972222222222224E-2</v>
      </c>
      <c r="G360" t="s">
        <v>18</v>
      </c>
      <c r="H360" t="s">
        <v>1</v>
      </c>
    </row>
    <row r="361" spans="1:8" x14ac:dyDescent="0.3">
      <c r="A361" s="2">
        <v>44583</v>
      </c>
      <c r="B361" s="2" t="str">
        <f>TEXT(AutoPomodoro[[#This Row],[DATE]],"mmmm")</f>
        <v>January</v>
      </c>
      <c r="C361" s="2" t="str">
        <f>TEXT(AutoPomodoro[[#This Row],[DATE]],"yyyy")</f>
        <v>2022</v>
      </c>
      <c r="D361" s="8">
        <f>E360+$T$17</f>
        <v>0.74444444444444446</v>
      </c>
      <c r="E361" s="8">
        <f t="shared" si="25"/>
        <v>0.76180555555555562</v>
      </c>
      <c r="F361" s="3">
        <f t="shared" ref="F361:F366" si="26">E361-D361</f>
        <v>1.736111111111116E-2</v>
      </c>
      <c r="G361" t="s">
        <v>18</v>
      </c>
      <c r="H361" t="s">
        <v>1</v>
      </c>
    </row>
    <row r="362" spans="1:8" x14ac:dyDescent="0.3">
      <c r="A362" s="2">
        <v>44583</v>
      </c>
      <c r="B362" s="2" t="str">
        <f>TEXT(AutoPomodoro[[#This Row],[DATE]],"mmmm")</f>
        <v>January</v>
      </c>
      <c r="C362" s="2" t="str">
        <f>TEXT(AutoPomodoro[[#This Row],[DATE]],"yyyy")</f>
        <v>2022</v>
      </c>
      <c r="D362" s="8">
        <v>0.76180555555555562</v>
      </c>
      <c r="E362" s="8">
        <v>0.78472222222222221</v>
      </c>
      <c r="F362" s="3">
        <f t="shared" si="26"/>
        <v>2.2916666666666585E-2</v>
      </c>
      <c r="G362" t="s">
        <v>21</v>
      </c>
      <c r="H362" t="s">
        <v>1</v>
      </c>
    </row>
    <row r="363" spans="1:8" x14ac:dyDescent="0.3">
      <c r="A363" s="2">
        <v>44583</v>
      </c>
      <c r="B363" s="2" t="str">
        <f>TEXT(AutoPomodoro[[#This Row],[DATE]],"mmmm")</f>
        <v>January</v>
      </c>
      <c r="C363" s="2" t="str">
        <f>TEXT(AutoPomodoro[[#This Row],[DATE]],"yyyy")</f>
        <v>2022</v>
      </c>
      <c r="D363" s="8">
        <v>0.78472222222222221</v>
      </c>
      <c r="E363" s="8">
        <f>D363+$T$15</f>
        <v>0.80208333333333337</v>
      </c>
      <c r="F363" s="3">
        <f t="shared" si="26"/>
        <v>1.736111111111116E-2</v>
      </c>
      <c r="G363" t="s">
        <v>18</v>
      </c>
      <c r="H363" t="s">
        <v>1</v>
      </c>
    </row>
    <row r="364" spans="1:8" x14ac:dyDescent="0.3">
      <c r="A364" s="2">
        <v>44583</v>
      </c>
      <c r="B364" s="2" t="str">
        <f>TEXT(AutoPomodoro[[#This Row],[DATE]],"mmmm")</f>
        <v>January</v>
      </c>
      <c r="C364" s="2" t="str">
        <f>TEXT(AutoPomodoro[[#This Row],[DATE]],"yyyy")</f>
        <v>2022</v>
      </c>
      <c r="D364" s="8">
        <f>E363+$T$16</f>
        <v>0.80555555555555558</v>
      </c>
      <c r="E364" s="8">
        <f>D364+$T$15</f>
        <v>0.82291666666666674</v>
      </c>
      <c r="F364" s="3">
        <f t="shared" si="26"/>
        <v>1.736111111111116E-2</v>
      </c>
      <c r="G364" t="s">
        <v>18</v>
      </c>
      <c r="H364" t="s">
        <v>1</v>
      </c>
    </row>
    <row r="365" spans="1:8" x14ac:dyDescent="0.3">
      <c r="A365" s="2">
        <v>44583</v>
      </c>
      <c r="B365" s="2" t="str">
        <f>TEXT(AutoPomodoro[[#This Row],[DATE]],"mmmm")</f>
        <v>January</v>
      </c>
      <c r="C365" s="2" t="str">
        <f>TEXT(AutoPomodoro[[#This Row],[DATE]],"yyyy")</f>
        <v>2022</v>
      </c>
      <c r="D365" s="8">
        <f>E364+$T$16</f>
        <v>0.82638888888888895</v>
      </c>
      <c r="E365" s="8">
        <f>D365+$T$15</f>
        <v>0.84375000000000011</v>
      </c>
      <c r="F365" s="3">
        <f t="shared" si="26"/>
        <v>1.736111111111116E-2</v>
      </c>
      <c r="G365" t="s">
        <v>18</v>
      </c>
      <c r="H365" t="s">
        <v>1</v>
      </c>
    </row>
    <row r="366" spans="1:8" x14ac:dyDescent="0.3">
      <c r="A366" s="2">
        <v>44583</v>
      </c>
      <c r="B366" s="2" t="str">
        <f>TEXT(AutoPomodoro[[#This Row],[DATE]],"mmmm")</f>
        <v>January</v>
      </c>
      <c r="C366" s="2" t="str">
        <f>TEXT(AutoPomodoro[[#This Row],[DATE]],"yyyy")</f>
        <v>2022</v>
      </c>
      <c r="D366" s="8">
        <f>E365+$T$17</f>
        <v>0.8486111111111112</v>
      </c>
      <c r="E366" s="8">
        <f>D366+$T$15</f>
        <v>0.86597222222222237</v>
      </c>
      <c r="F366" s="3">
        <f t="shared" si="26"/>
        <v>1.736111111111116E-2</v>
      </c>
      <c r="G366" t="s">
        <v>18</v>
      </c>
      <c r="H366" t="s">
        <v>1</v>
      </c>
    </row>
    <row r="367" spans="1:8" x14ac:dyDescent="0.3">
      <c r="A367" s="2">
        <v>44583</v>
      </c>
      <c r="B367" s="2" t="str">
        <f>TEXT(AutoPomodoro[[#This Row],[DATE]],"mmmm")</f>
        <v>January</v>
      </c>
      <c r="C367" s="2" t="str">
        <f>TEXT(AutoPomodoro[[#This Row],[DATE]],"yyyy")</f>
        <v>2022</v>
      </c>
      <c r="D367" s="8">
        <v>0.87083333333333324</v>
      </c>
      <c r="E367" s="8">
        <v>0.8881944444444444</v>
      </c>
      <c r="F367" s="3">
        <v>1.7361111111111112E-2</v>
      </c>
      <c r="G367" t="s">
        <v>18</v>
      </c>
      <c r="H367" t="s">
        <v>1</v>
      </c>
    </row>
    <row r="368" spans="1:8" x14ac:dyDescent="0.3">
      <c r="A368" s="2">
        <v>44583</v>
      </c>
      <c r="B368" s="2" t="str">
        <f>TEXT(AutoPomodoro[[#This Row],[DATE]],"mmmm")</f>
        <v>January</v>
      </c>
      <c r="C368" s="2" t="str">
        <f>TEXT(AutoPomodoro[[#This Row],[DATE]],"yyyy")</f>
        <v>2022</v>
      </c>
      <c r="D368" s="8">
        <v>0.8881944444444444</v>
      </c>
      <c r="E368" s="8">
        <v>0.93055555555555547</v>
      </c>
      <c r="F368" s="3">
        <f t="shared" ref="F368:F375" si="27">E368-D368</f>
        <v>4.2361111111111072E-2</v>
      </c>
      <c r="G368" t="s">
        <v>21</v>
      </c>
      <c r="H368" t="s">
        <v>1</v>
      </c>
    </row>
    <row r="369" spans="1:8" x14ac:dyDescent="0.3">
      <c r="A369" s="2">
        <v>44583</v>
      </c>
      <c r="B369" s="2" t="str">
        <f>TEXT(AutoPomodoro[[#This Row],[DATE]],"mmmm")</f>
        <v>January</v>
      </c>
      <c r="C369" s="2" t="str">
        <f>TEXT(AutoPomodoro[[#This Row],[DATE]],"yyyy")</f>
        <v>2022</v>
      </c>
      <c r="D369" s="8">
        <v>0.93055555555555547</v>
      </c>
      <c r="E369" s="8">
        <f t="shared" ref="E369:E375" si="28">D369+$T$15</f>
        <v>0.94791666666666663</v>
      </c>
      <c r="F369" s="3">
        <f t="shared" si="27"/>
        <v>1.736111111111116E-2</v>
      </c>
      <c r="G369" t="s">
        <v>18</v>
      </c>
      <c r="H369" t="s">
        <v>2</v>
      </c>
    </row>
    <row r="370" spans="1:8" x14ac:dyDescent="0.3">
      <c r="A370" s="2">
        <v>44583</v>
      </c>
      <c r="B370" s="2" t="str">
        <f>TEXT(AutoPomodoro[[#This Row],[DATE]],"mmmm")</f>
        <v>January</v>
      </c>
      <c r="C370" s="2" t="str">
        <f>TEXT(AutoPomodoro[[#This Row],[DATE]],"yyyy")</f>
        <v>2022</v>
      </c>
      <c r="D370" s="8">
        <f>E369+$T$16</f>
        <v>0.95138888888888884</v>
      </c>
      <c r="E370" s="8">
        <f t="shared" si="28"/>
        <v>0.96875</v>
      </c>
      <c r="F370" s="3">
        <f t="shared" si="27"/>
        <v>1.736111111111116E-2</v>
      </c>
      <c r="G370" t="s">
        <v>18</v>
      </c>
      <c r="H370" t="s">
        <v>1</v>
      </c>
    </row>
    <row r="371" spans="1:8" x14ac:dyDescent="0.3">
      <c r="A371" s="2">
        <v>44583</v>
      </c>
      <c r="B371" s="2" t="str">
        <f>TEXT(AutoPomodoro[[#This Row],[DATE]],"mmmm")</f>
        <v>January</v>
      </c>
      <c r="C371" s="2" t="str">
        <f>TEXT(AutoPomodoro[[#This Row],[DATE]],"yyyy")</f>
        <v>2022</v>
      </c>
      <c r="D371" s="8">
        <f>E370+$T$16</f>
        <v>0.97222222222222221</v>
      </c>
      <c r="E371" s="8">
        <f t="shared" si="28"/>
        <v>0.98958333333333337</v>
      </c>
      <c r="F371" s="3">
        <f t="shared" si="27"/>
        <v>1.736111111111116E-2</v>
      </c>
      <c r="G371" t="s">
        <v>18</v>
      </c>
      <c r="H371" t="s">
        <v>1</v>
      </c>
    </row>
    <row r="372" spans="1:8" x14ac:dyDescent="0.3">
      <c r="A372" s="2">
        <v>44583</v>
      </c>
      <c r="B372" s="2" t="str">
        <f>TEXT(AutoPomodoro[[#This Row],[DATE]],"mmmm")</f>
        <v>January</v>
      </c>
      <c r="C372" s="2" t="str">
        <f>TEXT(AutoPomodoro[[#This Row],[DATE]],"yyyy")</f>
        <v>2022</v>
      </c>
      <c r="D372" s="8">
        <f>E371+$T$17</f>
        <v>0.99444444444444446</v>
      </c>
      <c r="E372" s="8">
        <f t="shared" si="28"/>
        <v>1.0118055555555556</v>
      </c>
      <c r="F372" s="3">
        <f t="shared" si="27"/>
        <v>1.736111111111116E-2</v>
      </c>
      <c r="G372" t="s">
        <v>18</v>
      </c>
      <c r="H372" t="s">
        <v>2</v>
      </c>
    </row>
    <row r="373" spans="1:8" x14ac:dyDescent="0.3">
      <c r="A373" s="2">
        <v>44584</v>
      </c>
      <c r="B373" s="2" t="str">
        <f>TEXT(AutoPomodoro[[#This Row],[DATE]],"mmmm")</f>
        <v>January</v>
      </c>
      <c r="C373" s="2" t="str">
        <f>TEXT(AutoPomodoro[[#This Row],[DATE]],"yyyy")</f>
        <v>2022</v>
      </c>
      <c r="D373" s="8">
        <v>0.66666666666666663</v>
      </c>
      <c r="E373" s="8">
        <f t="shared" si="28"/>
        <v>0.68402777777777779</v>
      </c>
      <c r="F373" s="3">
        <f t="shared" si="27"/>
        <v>1.736111111111116E-2</v>
      </c>
      <c r="G373" t="s">
        <v>18</v>
      </c>
      <c r="H373" t="s">
        <v>1</v>
      </c>
    </row>
    <row r="374" spans="1:8" x14ac:dyDescent="0.3">
      <c r="A374" s="2">
        <v>44584</v>
      </c>
      <c r="B374" s="2" t="str">
        <f>TEXT(AutoPomodoro[[#This Row],[DATE]],"mmmm")</f>
        <v>January</v>
      </c>
      <c r="C374" s="2" t="str">
        <f>TEXT(AutoPomodoro[[#This Row],[DATE]],"yyyy")</f>
        <v>2022</v>
      </c>
      <c r="D374" s="8">
        <f>E373+$T$16</f>
        <v>0.6875</v>
      </c>
      <c r="E374" s="8">
        <f t="shared" si="28"/>
        <v>0.70486111111111116</v>
      </c>
      <c r="F374" s="3">
        <f t="shared" si="27"/>
        <v>1.736111111111116E-2</v>
      </c>
      <c r="G374" t="s">
        <v>18</v>
      </c>
      <c r="H374" t="s">
        <v>1</v>
      </c>
    </row>
    <row r="375" spans="1:8" x14ac:dyDescent="0.3">
      <c r="A375" s="2">
        <v>44584</v>
      </c>
      <c r="B375" s="2" t="str">
        <f>TEXT(AutoPomodoro[[#This Row],[DATE]],"mmmm")</f>
        <v>January</v>
      </c>
      <c r="C375" s="2" t="str">
        <f>TEXT(AutoPomodoro[[#This Row],[DATE]],"yyyy")</f>
        <v>2022</v>
      </c>
      <c r="D375" s="8">
        <f>E374+$T$16</f>
        <v>0.70833333333333337</v>
      </c>
      <c r="E375" s="8">
        <f t="shared" si="28"/>
        <v>0.72569444444444453</v>
      </c>
      <c r="F375" s="3">
        <f t="shared" si="27"/>
        <v>1.736111111111116E-2</v>
      </c>
      <c r="G375" t="s">
        <v>18</v>
      </c>
      <c r="H375" t="s">
        <v>1</v>
      </c>
    </row>
    <row r="376" spans="1:8" x14ac:dyDescent="0.3">
      <c r="A376" s="2">
        <v>44584</v>
      </c>
      <c r="B376" s="2" t="str">
        <f>TEXT(AutoPomodoro[[#This Row],[DATE]],"mmmm")</f>
        <v>January</v>
      </c>
      <c r="C376" s="2" t="str">
        <f>TEXT(AutoPomodoro[[#This Row],[DATE]],"yyyy")</f>
        <v>2022</v>
      </c>
      <c r="D376" s="8">
        <f>E375+$T$17</f>
        <v>0.73055555555555562</v>
      </c>
      <c r="E376" s="8"/>
      <c r="F376" s="3">
        <v>1.7361111111111112E-2</v>
      </c>
      <c r="G376" t="s">
        <v>18</v>
      </c>
      <c r="H376" t="s">
        <v>1</v>
      </c>
    </row>
    <row r="377" spans="1:8" x14ac:dyDescent="0.3">
      <c r="A377" s="2">
        <v>44584</v>
      </c>
      <c r="B377" s="2" t="str">
        <f>TEXT(AutoPomodoro[[#This Row],[DATE]],"mmmm")</f>
        <v>January</v>
      </c>
      <c r="C377" s="2" t="str">
        <f>TEXT(AutoPomodoro[[#This Row],[DATE]],"yyyy")</f>
        <v>2022</v>
      </c>
      <c r="D377" s="8">
        <v>0.74791666666666667</v>
      </c>
      <c r="E377" s="8">
        <v>0.76041666666666663</v>
      </c>
      <c r="F377" s="3">
        <f>E377-D377</f>
        <v>1.2499999999999956E-2</v>
      </c>
      <c r="G377" t="s">
        <v>21</v>
      </c>
      <c r="H377" t="s">
        <v>1</v>
      </c>
    </row>
    <row r="378" spans="1:8" x14ac:dyDescent="0.3">
      <c r="A378" s="2">
        <v>44584</v>
      </c>
      <c r="B378" s="2" t="str">
        <f>TEXT(AutoPomodoro[[#This Row],[DATE]],"mmmm")</f>
        <v>January</v>
      </c>
      <c r="C378" s="2" t="str">
        <f>TEXT(AutoPomodoro[[#This Row],[DATE]],"yyyy")</f>
        <v>2022</v>
      </c>
      <c r="D378" s="8">
        <v>0.76041666666666663</v>
      </c>
      <c r="E378" s="8">
        <f>D378+$T$15</f>
        <v>0.77777777777777779</v>
      </c>
      <c r="F378" s="3">
        <f>E378-D378</f>
        <v>1.736111111111116E-2</v>
      </c>
      <c r="G378" t="s">
        <v>18</v>
      </c>
      <c r="H378" t="s">
        <v>1</v>
      </c>
    </row>
    <row r="379" spans="1:8" x14ac:dyDescent="0.3">
      <c r="A379" s="2">
        <v>44584</v>
      </c>
      <c r="B379" s="2" t="str">
        <f>TEXT(AutoPomodoro[[#This Row],[DATE]],"mmmm")</f>
        <v>January</v>
      </c>
      <c r="C379" s="2" t="str">
        <f>TEXT(AutoPomodoro[[#This Row],[DATE]],"yyyy")</f>
        <v>2022</v>
      </c>
      <c r="D379" s="8">
        <f>E378+$T$16</f>
        <v>0.78125</v>
      </c>
      <c r="E379" s="8">
        <f>D379+$T$15</f>
        <v>0.79861111111111116</v>
      </c>
      <c r="F379" s="3">
        <f>E379-D379</f>
        <v>1.736111111111116E-2</v>
      </c>
      <c r="G379" t="s">
        <v>18</v>
      </c>
      <c r="H379" t="s">
        <v>1</v>
      </c>
    </row>
    <row r="380" spans="1:8" x14ac:dyDescent="0.3">
      <c r="A380" s="2">
        <v>44584</v>
      </c>
      <c r="B380" s="2" t="str">
        <f>TEXT(AutoPomodoro[[#This Row],[DATE]],"mmmm")</f>
        <v>January</v>
      </c>
      <c r="C380" s="2" t="str">
        <f>TEXT(AutoPomodoro[[#This Row],[DATE]],"yyyy")</f>
        <v>2022</v>
      </c>
      <c r="D380" s="8">
        <f>E379+$T$16</f>
        <v>0.80208333333333337</v>
      </c>
      <c r="E380" s="8">
        <f>D380+$T$15</f>
        <v>0.81944444444444453</v>
      </c>
      <c r="F380" s="3">
        <v>2.361111111111111E-2</v>
      </c>
      <c r="G380" t="s">
        <v>18</v>
      </c>
      <c r="H380" t="s">
        <v>1</v>
      </c>
    </row>
    <row r="381" spans="1:8" x14ac:dyDescent="0.3">
      <c r="A381" s="2">
        <v>44584</v>
      </c>
      <c r="B381" s="2" t="str">
        <f>TEXT(AutoPomodoro[[#This Row],[DATE]],"mmmm")</f>
        <v>January</v>
      </c>
      <c r="C381" s="2" t="str">
        <f>TEXT(AutoPomodoro[[#This Row],[DATE]],"yyyy")</f>
        <v>2022</v>
      </c>
      <c r="D381" s="8">
        <f>E380+$T$17</f>
        <v>0.82430555555555562</v>
      </c>
      <c r="E381" s="8">
        <f>D381+$T$15</f>
        <v>0.84166666666666679</v>
      </c>
      <c r="F381" s="3">
        <f>E381-D381</f>
        <v>1.736111111111116E-2</v>
      </c>
      <c r="G381" t="s">
        <v>18</v>
      </c>
      <c r="H381" t="s">
        <v>2</v>
      </c>
    </row>
    <row r="382" spans="1:8" x14ac:dyDescent="0.3">
      <c r="A382" s="2">
        <v>44584</v>
      </c>
      <c r="B382" s="2" t="str">
        <f>TEXT(AutoPomodoro[[#This Row],[DATE]],"mmmm")</f>
        <v>January</v>
      </c>
      <c r="C382" s="2" t="str">
        <f>TEXT(AutoPomodoro[[#This Row],[DATE]],"yyyy")</f>
        <v>2022</v>
      </c>
      <c r="D382" s="8">
        <v>0.84166666666666667</v>
      </c>
      <c r="E382" s="8">
        <v>0.88541666666666663</v>
      </c>
      <c r="F382" s="3">
        <f>E382-D382</f>
        <v>4.3749999999999956E-2</v>
      </c>
      <c r="G382" t="s">
        <v>21</v>
      </c>
      <c r="H382" t="s">
        <v>1</v>
      </c>
    </row>
    <row r="383" spans="1:8" x14ac:dyDescent="0.3">
      <c r="A383" s="2">
        <v>44584</v>
      </c>
      <c r="B383" s="2" t="str">
        <f>TEXT(AutoPomodoro[[#This Row],[DATE]],"mmmm")</f>
        <v>January</v>
      </c>
      <c r="C383" s="2" t="str">
        <f>TEXT(AutoPomodoro[[#This Row],[DATE]],"yyyy")</f>
        <v>2022</v>
      </c>
      <c r="D383" s="8">
        <v>0.88541666666666663</v>
      </c>
      <c r="E383" s="8">
        <f>D383+$T$15</f>
        <v>0.90277777777777779</v>
      </c>
      <c r="F383" s="3">
        <v>5.5555555555555552E-2</v>
      </c>
      <c r="G383" t="s">
        <v>18</v>
      </c>
      <c r="H383" t="s">
        <v>1</v>
      </c>
    </row>
    <row r="384" spans="1:8" x14ac:dyDescent="0.3">
      <c r="A384" s="2">
        <v>44584</v>
      </c>
      <c r="B384" s="2" t="str">
        <f>TEXT(AutoPomodoro[[#This Row],[DATE]],"mmmm")</f>
        <v>January</v>
      </c>
      <c r="C384" s="2" t="str">
        <f>TEXT(AutoPomodoro[[#This Row],[DATE]],"yyyy")</f>
        <v>2022</v>
      </c>
      <c r="D384" s="8">
        <f>E383+$T$16</f>
        <v>0.90625</v>
      </c>
      <c r="E384" s="8">
        <f>D384+$T$15</f>
        <v>0.92361111111111116</v>
      </c>
      <c r="F384" s="3">
        <f t="shared" ref="F384:F391" si="29">E384-D384</f>
        <v>1.736111111111116E-2</v>
      </c>
      <c r="G384" t="s">
        <v>18</v>
      </c>
      <c r="H384" t="s">
        <v>2</v>
      </c>
    </row>
    <row r="385" spans="1:8" x14ac:dyDescent="0.3">
      <c r="A385" s="2">
        <v>44584</v>
      </c>
      <c r="B385" s="2" t="str">
        <f>TEXT(AutoPomodoro[[#This Row],[DATE]],"mmmm")</f>
        <v>January</v>
      </c>
      <c r="C385" s="2" t="str">
        <f>TEXT(AutoPomodoro[[#This Row],[DATE]],"yyyy")</f>
        <v>2022</v>
      </c>
      <c r="D385" s="8">
        <f>E384+$T$16</f>
        <v>0.92708333333333337</v>
      </c>
      <c r="E385" s="8">
        <f>D385+$T$15</f>
        <v>0.94444444444444453</v>
      </c>
      <c r="F385" s="3">
        <f t="shared" si="29"/>
        <v>1.736111111111116E-2</v>
      </c>
      <c r="G385" t="s">
        <v>18</v>
      </c>
      <c r="H385" t="s">
        <v>2</v>
      </c>
    </row>
    <row r="386" spans="1:8" x14ac:dyDescent="0.3">
      <c r="A386" s="2">
        <v>44584</v>
      </c>
      <c r="B386" s="2" t="str">
        <f>TEXT(AutoPomodoro[[#This Row],[DATE]],"mmmm")</f>
        <v>January</v>
      </c>
      <c r="C386" s="2" t="str">
        <f>TEXT(AutoPomodoro[[#This Row],[DATE]],"yyyy")</f>
        <v>2022</v>
      </c>
      <c r="D386" s="8">
        <f>E385+$T$17</f>
        <v>0.94930555555555562</v>
      </c>
      <c r="E386" s="8">
        <f>D386+$T$15</f>
        <v>0.96666666666666679</v>
      </c>
      <c r="F386" s="3">
        <f t="shared" si="29"/>
        <v>1.736111111111116E-2</v>
      </c>
      <c r="G386" t="s">
        <v>18</v>
      </c>
      <c r="H386" t="s">
        <v>2</v>
      </c>
    </row>
    <row r="387" spans="1:8" x14ac:dyDescent="0.3">
      <c r="A387" s="2">
        <v>44585</v>
      </c>
      <c r="B387" s="2" t="str">
        <f>TEXT(AutoPomodoro[[#This Row],[DATE]],"mmmm")</f>
        <v>January</v>
      </c>
      <c r="C387" s="2" t="str">
        <f>TEXT(AutoPomodoro[[#This Row],[DATE]],"yyyy")</f>
        <v>2022</v>
      </c>
      <c r="D387" s="8">
        <v>0.64930555555555558</v>
      </c>
      <c r="E387" s="8">
        <v>0.67361111111111116</v>
      </c>
      <c r="F387" s="3">
        <f t="shared" si="29"/>
        <v>2.430555555555558E-2</v>
      </c>
      <c r="G387" t="s">
        <v>19</v>
      </c>
      <c r="H387" t="s">
        <v>1</v>
      </c>
    </row>
    <row r="388" spans="1:8" x14ac:dyDescent="0.3">
      <c r="A388" s="2">
        <v>44591</v>
      </c>
      <c r="B388" s="2" t="str">
        <f>TEXT(AutoPomodoro[[#This Row],[DATE]],"mmmm")</f>
        <v>January</v>
      </c>
      <c r="C388" s="2" t="str">
        <f>TEXT(AutoPomodoro[[#This Row],[DATE]],"yyyy")</f>
        <v>2022</v>
      </c>
      <c r="D388" s="8">
        <v>0.68402777777777779</v>
      </c>
      <c r="E388" s="8">
        <v>0.73958333333333337</v>
      </c>
      <c r="F388" s="3">
        <f t="shared" si="29"/>
        <v>5.555555555555558E-2</v>
      </c>
      <c r="G388" t="s">
        <v>18</v>
      </c>
      <c r="H388" t="s">
        <v>1</v>
      </c>
    </row>
    <row r="389" spans="1:8" x14ac:dyDescent="0.3">
      <c r="A389" s="2">
        <v>44591</v>
      </c>
      <c r="B389" s="2" t="str">
        <f>TEXT(AutoPomodoro[[#This Row],[DATE]],"mmmm")</f>
        <v>January</v>
      </c>
      <c r="C389" s="2" t="str">
        <f>TEXT(AutoPomodoro[[#This Row],[DATE]],"yyyy")</f>
        <v>2022</v>
      </c>
      <c r="D389" s="8">
        <v>0.75694444444444453</v>
      </c>
      <c r="E389" s="8">
        <f>D389+$T$15</f>
        <v>0.77430555555555569</v>
      </c>
      <c r="F389" s="3">
        <f t="shared" si="29"/>
        <v>1.736111111111116E-2</v>
      </c>
      <c r="G389" t="s">
        <v>18</v>
      </c>
      <c r="H389" t="s">
        <v>1</v>
      </c>
    </row>
    <row r="390" spans="1:8" x14ac:dyDescent="0.3">
      <c r="A390" s="2">
        <v>44591</v>
      </c>
      <c r="B390" s="2" t="str">
        <f>TEXT(AutoPomodoro[[#This Row],[DATE]],"mmmm")</f>
        <v>January</v>
      </c>
      <c r="C390" s="2" t="str">
        <f>TEXT(AutoPomodoro[[#This Row],[DATE]],"yyyy")</f>
        <v>2022</v>
      </c>
      <c r="D390" s="8">
        <f>E389+$T$16</f>
        <v>0.7777777777777779</v>
      </c>
      <c r="E390" s="8">
        <f>D390+$T$15</f>
        <v>0.79513888888888906</v>
      </c>
      <c r="F390" s="3">
        <f t="shared" si="29"/>
        <v>1.736111111111116E-2</v>
      </c>
      <c r="G390" t="s">
        <v>18</v>
      </c>
      <c r="H390" t="s">
        <v>1</v>
      </c>
    </row>
    <row r="391" spans="1:8" x14ac:dyDescent="0.3">
      <c r="A391" s="2">
        <v>44591</v>
      </c>
      <c r="B391" s="2" t="str">
        <f>TEXT(AutoPomodoro[[#This Row],[DATE]],"mmmm")</f>
        <v>January</v>
      </c>
      <c r="C391" s="2" t="str">
        <f>TEXT(AutoPomodoro[[#This Row],[DATE]],"yyyy")</f>
        <v>2022</v>
      </c>
      <c r="D391" s="8">
        <f>E390+$T$16</f>
        <v>0.79861111111111127</v>
      </c>
      <c r="E391" s="8">
        <f>D391+$T$15</f>
        <v>0.81597222222222243</v>
      </c>
      <c r="F391" s="3">
        <f t="shared" si="29"/>
        <v>1.736111111111116E-2</v>
      </c>
      <c r="G391" t="s">
        <v>18</v>
      </c>
      <c r="H391" t="s">
        <v>1</v>
      </c>
    </row>
    <row r="392" spans="1:8" x14ac:dyDescent="0.3">
      <c r="A392" s="2">
        <v>44591</v>
      </c>
      <c r="B392" s="2" t="str">
        <f>TEXT(AutoPomodoro[[#This Row],[DATE]],"mmmm")</f>
        <v>January</v>
      </c>
      <c r="C392" s="2" t="str">
        <f>TEXT(AutoPomodoro[[#This Row],[DATE]],"yyyy")</f>
        <v>2022</v>
      </c>
      <c r="D392" s="8">
        <f>E391+$T$17</f>
        <v>0.82083333333333353</v>
      </c>
      <c r="E392" s="8">
        <f>D392+$T$15</f>
        <v>0.83819444444444469</v>
      </c>
      <c r="F392" s="3">
        <v>1.9444444444444445E-2</v>
      </c>
      <c r="G392" t="s">
        <v>0</v>
      </c>
      <c r="H392" t="s">
        <v>1</v>
      </c>
    </row>
    <row r="393" spans="1:8" x14ac:dyDescent="0.3">
      <c r="A393" s="2">
        <v>44591</v>
      </c>
      <c r="B393" s="2" t="str">
        <f>TEXT(AutoPomodoro[[#This Row],[DATE]],"mmmm")</f>
        <v>January</v>
      </c>
      <c r="C393" s="2" t="str">
        <f>TEXT(AutoPomodoro[[#This Row],[DATE]],"yyyy")</f>
        <v>2022</v>
      </c>
      <c r="D393" s="8">
        <v>0.88680555555555562</v>
      </c>
      <c r="E393" s="8">
        <v>0.92083333333333339</v>
      </c>
      <c r="F393" s="3">
        <f>E393-D393</f>
        <v>3.4027777777777768E-2</v>
      </c>
      <c r="G393" t="s">
        <v>18</v>
      </c>
      <c r="H393" t="s">
        <v>1</v>
      </c>
    </row>
    <row r="394" spans="1:8" x14ac:dyDescent="0.3">
      <c r="A394" s="2">
        <v>44596</v>
      </c>
      <c r="B394" s="2" t="str">
        <f>TEXT(AutoPomodoro[[#This Row],[DATE]],"mmmm")</f>
        <v>February</v>
      </c>
      <c r="C394" s="2" t="str">
        <f>TEXT(AutoPomodoro[[#This Row],[DATE]],"yyyy")</f>
        <v>2022</v>
      </c>
      <c r="D394" s="8">
        <v>0.77986111111111101</v>
      </c>
      <c r="E394" s="8">
        <v>0.80347222222222225</v>
      </c>
      <c r="F394" s="3">
        <f>E394-D394</f>
        <v>2.3611111111111249E-2</v>
      </c>
      <c r="G394" t="s">
        <v>18</v>
      </c>
      <c r="H394" t="s">
        <v>1</v>
      </c>
    </row>
    <row r="395" spans="1:8" x14ac:dyDescent="0.3">
      <c r="A395" s="2">
        <v>44598</v>
      </c>
      <c r="B395" s="2" t="str">
        <f>TEXT(AutoPomodoro[[#This Row],[DATE]],"mmmm")</f>
        <v>February</v>
      </c>
      <c r="C395" s="2" t="str">
        <f>TEXT(AutoPomodoro[[#This Row],[DATE]],"yyyy")</f>
        <v>2022</v>
      </c>
      <c r="D395" s="8"/>
      <c r="E395" s="8">
        <f>D395+$T$15</f>
        <v>1.7361111111111112E-2</v>
      </c>
      <c r="F395" s="3">
        <v>3.125E-2</v>
      </c>
      <c r="G395" t="s">
        <v>18</v>
      </c>
      <c r="H395" t="s">
        <v>1</v>
      </c>
    </row>
    <row r="396" spans="1:8" x14ac:dyDescent="0.3">
      <c r="A396" s="2">
        <v>44599</v>
      </c>
      <c r="B396" s="2" t="str">
        <f>TEXT(AutoPomodoro[[#This Row],[DATE]],"mmmm")</f>
        <v>February</v>
      </c>
      <c r="C396" s="2" t="str">
        <f>TEXT(AutoPomodoro[[#This Row],[DATE]],"yyyy")</f>
        <v>2022</v>
      </c>
      <c r="D396" s="8">
        <v>0.65138888888888891</v>
      </c>
      <c r="E396" s="8">
        <v>0.68402777777777779</v>
      </c>
      <c r="F396" s="3">
        <f>E396-D396</f>
        <v>3.2638888888888884E-2</v>
      </c>
      <c r="G396" t="s">
        <v>18</v>
      </c>
      <c r="H396" t="s">
        <v>1</v>
      </c>
    </row>
    <row r="397" spans="1:8" x14ac:dyDescent="0.3">
      <c r="A397" s="2">
        <v>44599</v>
      </c>
      <c r="B397" s="2" t="str">
        <f>TEXT(AutoPomodoro[[#This Row],[DATE]],"mmmm")</f>
        <v>February</v>
      </c>
      <c r="C397" s="2" t="str">
        <f>TEXT(AutoPomodoro[[#This Row],[DATE]],"yyyy")</f>
        <v>2022</v>
      </c>
      <c r="D397" s="8">
        <v>0.91319444444444453</v>
      </c>
      <c r="E397" s="8">
        <v>0.96111111111111114</v>
      </c>
      <c r="F397" s="3">
        <f>E397-D397</f>
        <v>4.7916666666666607E-2</v>
      </c>
      <c r="G397" t="s">
        <v>18</v>
      </c>
      <c r="H397" t="s">
        <v>1</v>
      </c>
    </row>
    <row r="398" spans="1:8" x14ac:dyDescent="0.3">
      <c r="A398" s="2">
        <v>44600</v>
      </c>
      <c r="B398" s="2" t="str">
        <f>TEXT(AutoPomodoro[[#This Row],[DATE]],"mmmm")</f>
        <v>February</v>
      </c>
      <c r="C398" s="2" t="str">
        <f>TEXT(AutoPomodoro[[#This Row],[DATE]],"yyyy")</f>
        <v>2022</v>
      </c>
      <c r="D398" s="8">
        <v>0.75138888888888899</v>
      </c>
      <c r="E398" s="8">
        <v>0.81388888888888899</v>
      </c>
      <c r="F398" s="3">
        <v>6.5972222222222224E-2</v>
      </c>
      <c r="G398" t="s">
        <v>18</v>
      </c>
      <c r="H398" t="s">
        <v>1</v>
      </c>
    </row>
    <row r="399" spans="1:8" x14ac:dyDescent="0.3">
      <c r="A399" s="2">
        <v>44600</v>
      </c>
      <c r="B399" s="2" t="str">
        <f>TEXT(AutoPomodoro[[#This Row],[DATE]],"mmmm")</f>
        <v>February</v>
      </c>
      <c r="C399" s="2" t="str">
        <f>TEXT(AutoPomodoro[[#This Row],[DATE]],"yyyy")</f>
        <v>2022</v>
      </c>
      <c r="D399" s="8">
        <v>0.8305555555555556</v>
      </c>
      <c r="E399" s="8">
        <v>0.87291666666666667</v>
      </c>
      <c r="F399" s="3">
        <f>E399-D399</f>
        <v>4.2361111111111072E-2</v>
      </c>
      <c r="G399" t="s">
        <v>18</v>
      </c>
      <c r="H399" t="s">
        <v>1</v>
      </c>
    </row>
    <row r="400" spans="1:8" x14ac:dyDescent="0.3">
      <c r="A400" s="2">
        <v>44600</v>
      </c>
      <c r="B400" s="2" t="str">
        <f>TEXT(AutoPomodoro[[#This Row],[DATE]],"mmmm")</f>
        <v>February</v>
      </c>
      <c r="C400" s="2" t="str">
        <f>TEXT(AutoPomodoro[[#This Row],[DATE]],"yyyy")</f>
        <v>2022</v>
      </c>
      <c r="D400" s="8"/>
      <c r="E400" s="8">
        <f>D400+$T$15</f>
        <v>1.7361111111111112E-2</v>
      </c>
      <c r="F400" s="3">
        <v>4.1666666666666664E-2</v>
      </c>
      <c r="G400" t="s">
        <v>18</v>
      </c>
      <c r="H400" t="s">
        <v>1</v>
      </c>
    </row>
    <row r="401" spans="1:9" x14ac:dyDescent="0.3">
      <c r="A401" s="2">
        <v>44601</v>
      </c>
      <c r="B401" s="2" t="str">
        <f>TEXT(AutoPomodoro[[#This Row],[DATE]],"mmmm")</f>
        <v>February</v>
      </c>
      <c r="C401" s="2" t="str">
        <f>TEXT(AutoPomodoro[[#This Row],[DATE]],"yyyy")</f>
        <v>2022</v>
      </c>
      <c r="D401" s="8"/>
      <c r="E401" s="8">
        <f>D401+$T$15</f>
        <v>1.7361111111111112E-2</v>
      </c>
      <c r="F401" s="3">
        <v>5.5555555555555552E-2</v>
      </c>
      <c r="G401" t="s">
        <v>18</v>
      </c>
      <c r="H401" t="s">
        <v>1</v>
      </c>
    </row>
    <row r="402" spans="1:9" x14ac:dyDescent="0.3">
      <c r="A402" s="2">
        <v>44601</v>
      </c>
      <c r="B402" s="2" t="str">
        <f>TEXT(AutoPomodoro[[#This Row],[DATE]],"mmmm")</f>
        <v>February</v>
      </c>
      <c r="C402" s="2" t="str">
        <f>TEXT(AutoPomodoro[[#This Row],[DATE]],"yyyy")</f>
        <v>2022</v>
      </c>
      <c r="D402" s="8"/>
      <c r="E402" s="8">
        <f>D402+$T$15</f>
        <v>1.7361111111111112E-2</v>
      </c>
      <c r="F402" s="3">
        <v>5.2083333333333336E-2</v>
      </c>
      <c r="G402" t="s">
        <v>18</v>
      </c>
      <c r="H402" t="s">
        <v>1</v>
      </c>
    </row>
    <row r="403" spans="1:9" x14ac:dyDescent="0.3">
      <c r="A403" s="2">
        <v>44602</v>
      </c>
      <c r="B403" s="2" t="str">
        <f>TEXT(AutoPomodoro[[#This Row],[DATE]],"mmmm")</f>
        <v>February</v>
      </c>
      <c r="C403" s="2" t="str">
        <f>TEXT(AutoPomodoro[[#This Row],[DATE]],"yyyy")</f>
        <v>2022</v>
      </c>
      <c r="D403" s="8">
        <v>0.49444444444444446</v>
      </c>
      <c r="E403" s="8">
        <v>0.51388888888888895</v>
      </c>
      <c r="F403" s="3">
        <f>E403-D403</f>
        <v>1.9444444444444486E-2</v>
      </c>
      <c r="G403" t="s">
        <v>18</v>
      </c>
      <c r="H403" t="s">
        <v>1</v>
      </c>
    </row>
    <row r="404" spans="1:9" x14ac:dyDescent="0.3">
      <c r="A404" s="2">
        <v>44602</v>
      </c>
      <c r="B404" s="2" t="str">
        <f>TEXT(AutoPomodoro[[#This Row],[DATE]],"mmmm")</f>
        <v>February</v>
      </c>
      <c r="C404" s="2" t="str">
        <f>TEXT(AutoPomodoro[[#This Row],[DATE]],"yyyy")</f>
        <v>2022</v>
      </c>
      <c r="D404" s="8">
        <v>0.59027777777777779</v>
      </c>
      <c r="E404" s="8"/>
      <c r="F404" s="3">
        <v>2.0833333333333332E-2</v>
      </c>
      <c r="G404" t="s">
        <v>18</v>
      </c>
      <c r="H404" t="s">
        <v>1</v>
      </c>
    </row>
    <row r="405" spans="1:9" x14ac:dyDescent="0.3">
      <c r="A405" s="2">
        <v>44602</v>
      </c>
      <c r="B405" s="2" t="str">
        <f>TEXT(AutoPomodoro[[#This Row],[DATE]],"mmmm")</f>
        <v>February</v>
      </c>
      <c r="C405" s="2" t="str">
        <f>TEXT(AutoPomodoro[[#This Row],[DATE]],"yyyy")</f>
        <v>2022</v>
      </c>
      <c r="D405" s="8">
        <v>0.5625</v>
      </c>
      <c r="E405" s="8">
        <v>0.60416666666666663</v>
      </c>
      <c r="F405" s="3">
        <f>E405-D405</f>
        <v>4.166666666666663E-2</v>
      </c>
      <c r="G405" t="s">
        <v>16</v>
      </c>
      <c r="H405" t="s">
        <v>1</v>
      </c>
    </row>
    <row r="406" spans="1:9" x14ac:dyDescent="0.3">
      <c r="A406" s="2">
        <v>44606</v>
      </c>
      <c r="B406" s="2" t="str">
        <f>TEXT(AutoPomodoro[[#This Row],[DATE]],"mmmm")</f>
        <v>February</v>
      </c>
      <c r="C406" s="2" t="str">
        <f>TEXT(AutoPomodoro[[#This Row],[DATE]],"yyyy")</f>
        <v>2022</v>
      </c>
      <c r="D406" s="8">
        <v>0.77777777777777779</v>
      </c>
      <c r="E406" s="8">
        <v>0</v>
      </c>
      <c r="F406" s="3">
        <f>E406+$T$15</f>
        <v>1.7361111111111112E-2</v>
      </c>
      <c r="G406" t="s">
        <v>18</v>
      </c>
      <c r="H406" t="s">
        <v>1</v>
      </c>
    </row>
    <row r="407" spans="1:9" x14ac:dyDescent="0.3">
      <c r="A407" s="2">
        <v>44606</v>
      </c>
      <c r="B407" s="2" t="str">
        <f>TEXT(AutoPomodoro[[#This Row],[DATE]],"mmmm")</f>
        <v>February</v>
      </c>
      <c r="C407" s="2" t="str">
        <f>TEXT(AutoPomodoro[[#This Row],[DATE]],"yyyy")</f>
        <v>2022</v>
      </c>
      <c r="D407" s="8">
        <v>0.84652777777777777</v>
      </c>
      <c r="E407" s="8">
        <f>F406+$T$16</f>
        <v>2.0833333333333336E-2</v>
      </c>
      <c r="F407" s="3">
        <f>E407+$T$15</f>
        <v>3.8194444444444448E-2</v>
      </c>
      <c r="G407" t="s">
        <v>18</v>
      </c>
      <c r="H407" t="s">
        <v>1</v>
      </c>
      <c r="I407" t="s">
        <v>3</v>
      </c>
    </row>
    <row r="408" spans="1:9" x14ac:dyDescent="0.3">
      <c r="A408" s="2">
        <v>44607</v>
      </c>
      <c r="B408" s="2" t="str">
        <f>TEXT(AutoPomodoro[[#This Row],[DATE]],"mmmm")</f>
        <v>February</v>
      </c>
      <c r="C408" s="2" t="str">
        <f>TEXT(AutoPomodoro[[#This Row],[DATE]],"yyyy")</f>
        <v>2022</v>
      </c>
      <c r="D408" s="8">
        <v>0.69791666666666663</v>
      </c>
      <c r="E408" s="8">
        <f>F407+$T$16</f>
        <v>4.1666666666666671E-2</v>
      </c>
      <c r="F408" s="3">
        <f>E408+$T$15</f>
        <v>5.9027777777777783E-2</v>
      </c>
      <c r="G408" t="s">
        <v>18</v>
      </c>
      <c r="H408" t="s">
        <v>1</v>
      </c>
    </row>
    <row r="409" spans="1:9" x14ac:dyDescent="0.3">
      <c r="A409" s="2">
        <v>44608</v>
      </c>
      <c r="B409" s="2" t="str">
        <f>TEXT(AutoPomodoro[[#This Row],[DATE]],"mmmm")</f>
        <v>February</v>
      </c>
      <c r="C409" s="2" t="str">
        <f>TEXT(AutoPomodoro[[#This Row],[DATE]],"yyyy")</f>
        <v>2022</v>
      </c>
      <c r="D409" s="8">
        <v>0.61597222222222225</v>
      </c>
      <c r="E409" s="8">
        <f>F408+$T$17</f>
        <v>6.3888888888888898E-2</v>
      </c>
      <c r="F409" s="3">
        <f>E409+$T$15</f>
        <v>8.1250000000000017E-2</v>
      </c>
      <c r="G409" t="s">
        <v>18</v>
      </c>
      <c r="H409" t="s">
        <v>1</v>
      </c>
    </row>
    <row r="410" spans="1:9" x14ac:dyDescent="0.3">
      <c r="A410" s="2">
        <v>44615</v>
      </c>
      <c r="B410" s="2" t="str">
        <f>TEXT(AutoPomodoro[[#This Row],[DATE]],"mmmm")</f>
        <v>February</v>
      </c>
      <c r="C410" s="2" t="str">
        <f>TEXT(AutoPomodoro[[#This Row],[DATE]],"yyyy")</f>
        <v>2022</v>
      </c>
      <c r="D410" s="8">
        <v>0.78472222222222221</v>
      </c>
      <c r="E410" s="8">
        <f>D410+$T$15</f>
        <v>0.80208333333333337</v>
      </c>
      <c r="F410" s="3">
        <f t="shared" ref="F410:F415" si="30">E410-D410</f>
        <v>1.736111111111116E-2</v>
      </c>
      <c r="G410" t="s">
        <v>16</v>
      </c>
      <c r="H410" t="s">
        <v>1</v>
      </c>
    </row>
    <row r="411" spans="1:9" x14ac:dyDescent="0.3">
      <c r="A411" s="2">
        <v>44615</v>
      </c>
      <c r="B411" s="2" t="str">
        <f>TEXT(AutoPomodoro[[#This Row],[DATE]],"mmmm")</f>
        <v>February</v>
      </c>
      <c r="C411" s="2" t="str">
        <f>TEXT(AutoPomodoro[[#This Row],[DATE]],"yyyy")</f>
        <v>2022</v>
      </c>
      <c r="D411" s="8">
        <v>0.78472222222222221</v>
      </c>
      <c r="E411" s="8">
        <f>D411+$T$15</f>
        <v>0.80208333333333337</v>
      </c>
      <c r="F411" s="3">
        <f t="shared" si="30"/>
        <v>1.736111111111116E-2</v>
      </c>
      <c r="G411" t="s">
        <v>16</v>
      </c>
      <c r="H411" t="s">
        <v>1</v>
      </c>
    </row>
    <row r="412" spans="1:9" x14ac:dyDescent="0.3">
      <c r="A412" s="2">
        <v>44615</v>
      </c>
      <c r="B412" s="2" t="str">
        <f>TEXT(AutoPomodoro[[#This Row],[DATE]],"mmmm")</f>
        <v>February</v>
      </c>
      <c r="C412" s="2" t="str">
        <f>TEXT(AutoPomodoro[[#This Row],[DATE]],"yyyy")</f>
        <v>2022</v>
      </c>
      <c r="D412" s="8">
        <f>E411+$T$16</f>
        <v>0.80555555555555558</v>
      </c>
      <c r="E412" s="8">
        <f>D412+$T$15</f>
        <v>0.82291666666666674</v>
      </c>
      <c r="F412" s="3">
        <f t="shared" si="30"/>
        <v>1.736111111111116E-2</v>
      </c>
      <c r="G412" t="s">
        <v>16</v>
      </c>
      <c r="H412" t="s">
        <v>1</v>
      </c>
    </row>
    <row r="413" spans="1:9" x14ac:dyDescent="0.3">
      <c r="A413" s="2">
        <v>44616</v>
      </c>
      <c r="B413" s="2" t="str">
        <f>TEXT(AutoPomodoro[[#This Row],[DATE]],"mmmm")</f>
        <v>February</v>
      </c>
      <c r="C413" s="2" t="str">
        <f>TEXT(AutoPomodoro[[#This Row],[DATE]],"yyyy")</f>
        <v>2022</v>
      </c>
      <c r="D413" s="8">
        <v>0.58888888888888891</v>
      </c>
      <c r="E413" s="8">
        <v>0.60069444444444442</v>
      </c>
      <c r="F413" s="3">
        <f t="shared" si="30"/>
        <v>1.1805555555555514E-2</v>
      </c>
      <c r="G413" t="s">
        <v>16</v>
      </c>
      <c r="H413" t="s">
        <v>1</v>
      </c>
    </row>
    <row r="414" spans="1:9" x14ac:dyDescent="0.3">
      <c r="A414" s="2">
        <v>44616</v>
      </c>
      <c r="B414" s="2" t="str">
        <f>TEXT(AutoPomodoro[[#This Row],[DATE]],"mmmm")</f>
        <v>February</v>
      </c>
      <c r="C414" s="2" t="str">
        <f>TEXT(AutoPomodoro[[#This Row],[DATE]],"yyyy")</f>
        <v>2022</v>
      </c>
      <c r="D414" s="8">
        <v>0.62291666666666667</v>
      </c>
      <c r="E414" s="8">
        <v>0.64930555555555558</v>
      </c>
      <c r="F414" s="3">
        <f t="shared" si="30"/>
        <v>2.6388888888888906E-2</v>
      </c>
      <c r="G414" t="s">
        <v>16</v>
      </c>
      <c r="H414" t="s">
        <v>1</v>
      </c>
    </row>
    <row r="415" spans="1:9" x14ac:dyDescent="0.3">
      <c r="A415" s="2">
        <v>44618</v>
      </c>
      <c r="B415" s="2" t="str">
        <f>TEXT(AutoPomodoro[[#This Row],[DATE]],"mmmm")</f>
        <v>February</v>
      </c>
      <c r="C415" s="2" t="str">
        <f>TEXT(AutoPomodoro[[#This Row],[DATE]],"yyyy")</f>
        <v>2022</v>
      </c>
      <c r="D415" s="8">
        <v>0.49305555555555558</v>
      </c>
      <c r="E415" s="8">
        <v>0.53055555555555556</v>
      </c>
      <c r="F415" s="3">
        <f t="shared" si="30"/>
        <v>3.7499999999999978E-2</v>
      </c>
      <c r="G415" t="s">
        <v>16</v>
      </c>
      <c r="H415" t="s">
        <v>1</v>
      </c>
    </row>
    <row r="416" spans="1:9" x14ac:dyDescent="0.3">
      <c r="A416" s="2">
        <v>44618</v>
      </c>
      <c r="B416" s="2" t="str">
        <f>TEXT(AutoPomodoro[[#This Row],[DATE]],"mmmm")</f>
        <v>February</v>
      </c>
      <c r="C416" s="2" t="str">
        <f>TEXT(AutoPomodoro[[#This Row],[DATE]],"yyyy")</f>
        <v>2022</v>
      </c>
      <c r="D416" s="8">
        <v>0.67361111111111116</v>
      </c>
      <c r="E416" s="8">
        <v>0.70000000000000007</v>
      </c>
      <c r="F416" s="3">
        <v>4.1666666666666664E-2</v>
      </c>
      <c r="G416" t="s">
        <v>18</v>
      </c>
      <c r="H416" t="s">
        <v>1</v>
      </c>
    </row>
    <row r="417" spans="1:8" x14ac:dyDescent="0.3">
      <c r="A417" s="2">
        <v>44620</v>
      </c>
      <c r="B417" s="2" t="str">
        <f>TEXT(AutoPomodoro[[#This Row],[DATE]],"mmmm")</f>
        <v>February</v>
      </c>
      <c r="C417" s="2" t="str">
        <f>TEXT(AutoPomodoro[[#This Row],[DATE]],"yyyy")</f>
        <v>2022</v>
      </c>
      <c r="D417" s="8">
        <v>0.76041666666666663</v>
      </c>
      <c r="E417" s="8">
        <v>0.79583333333333339</v>
      </c>
      <c r="F417" s="3">
        <f t="shared" ref="F417:F430" si="31">E417-D417</f>
        <v>3.5416666666666763E-2</v>
      </c>
      <c r="G417" t="s">
        <v>18</v>
      </c>
      <c r="H417" t="s">
        <v>1</v>
      </c>
    </row>
    <row r="418" spans="1:8" x14ac:dyDescent="0.3">
      <c r="A418" s="2">
        <v>44620</v>
      </c>
      <c r="B418" s="2" t="str">
        <f>TEXT(AutoPomodoro[[#This Row],[DATE]],"mmmm")</f>
        <v>February</v>
      </c>
      <c r="C418" s="2" t="str">
        <f>TEXT(AutoPomodoro[[#This Row],[DATE]],"yyyy")</f>
        <v>2022</v>
      </c>
      <c r="D418" s="8">
        <v>0.81805555555555554</v>
      </c>
      <c r="E418" s="8">
        <v>0.84097222222222223</v>
      </c>
      <c r="F418" s="3">
        <f t="shared" si="31"/>
        <v>2.2916666666666696E-2</v>
      </c>
      <c r="G418" t="s">
        <v>16</v>
      </c>
      <c r="H418" t="s">
        <v>1</v>
      </c>
    </row>
    <row r="419" spans="1:8" x14ac:dyDescent="0.3">
      <c r="A419" s="2">
        <v>44620</v>
      </c>
      <c r="B419" s="2" t="str">
        <f>TEXT(AutoPomodoro[[#This Row],[DATE]],"mmmm")</f>
        <v>February</v>
      </c>
      <c r="C419" s="2" t="str">
        <f>TEXT(AutoPomodoro[[#This Row],[DATE]],"yyyy")</f>
        <v>2022</v>
      </c>
      <c r="D419" s="8">
        <v>0.85</v>
      </c>
      <c r="E419" s="8">
        <v>0.91111111111111109</v>
      </c>
      <c r="F419" s="3">
        <f t="shared" si="31"/>
        <v>6.1111111111111116E-2</v>
      </c>
      <c r="G419" t="s">
        <v>18</v>
      </c>
      <c r="H419" t="s">
        <v>1</v>
      </c>
    </row>
    <row r="420" spans="1:8" x14ac:dyDescent="0.3">
      <c r="A420" s="2">
        <v>44621</v>
      </c>
      <c r="B420" s="2" t="str">
        <f>TEXT(AutoPomodoro[[#This Row],[DATE]],"mmmm")</f>
        <v>March</v>
      </c>
      <c r="C420" s="2" t="str">
        <f>TEXT(AutoPomodoro[[#This Row],[DATE]],"yyyy")</f>
        <v>2022</v>
      </c>
      <c r="D420" s="8">
        <v>0.77708333333333324</v>
      </c>
      <c r="E420" s="8">
        <v>0.79652777777777783</v>
      </c>
      <c r="F420" s="3">
        <f t="shared" si="31"/>
        <v>1.9444444444444597E-2</v>
      </c>
      <c r="G420" t="s">
        <v>16</v>
      </c>
      <c r="H420" t="s">
        <v>1</v>
      </c>
    </row>
    <row r="421" spans="1:8" x14ac:dyDescent="0.3">
      <c r="A421" s="2">
        <v>44622</v>
      </c>
      <c r="B421" s="2" t="str">
        <f>TEXT(AutoPomodoro[[#This Row],[DATE]],"mmmm")</f>
        <v>March</v>
      </c>
      <c r="C421" s="2" t="str">
        <f>TEXT(AutoPomodoro[[#This Row],[DATE]],"yyyy")</f>
        <v>2022</v>
      </c>
      <c r="D421" s="8">
        <v>0.81944444444444453</v>
      </c>
      <c r="E421" s="8">
        <v>0.84930555555555554</v>
      </c>
      <c r="F421" s="3">
        <f t="shared" si="31"/>
        <v>2.9861111111111005E-2</v>
      </c>
      <c r="G421" t="s">
        <v>18</v>
      </c>
      <c r="H421" t="s">
        <v>1</v>
      </c>
    </row>
    <row r="422" spans="1:8" x14ac:dyDescent="0.3">
      <c r="A422" s="2">
        <v>44623</v>
      </c>
      <c r="B422" s="2" t="str">
        <f>TEXT(AutoPomodoro[[#This Row],[DATE]],"mmmm")</f>
        <v>March</v>
      </c>
      <c r="C422" s="2" t="str">
        <f>TEXT(AutoPomodoro[[#This Row],[DATE]],"yyyy")</f>
        <v>2022</v>
      </c>
      <c r="D422" s="8">
        <v>0.75069444444444444</v>
      </c>
      <c r="E422" s="8">
        <v>0.77222222222222225</v>
      </c>
      <c r="F422" s="3">
        <f t="shared" si="31"/>
        <v>2.1527777777777812E-2</v>
      </c>
      <c r="G422" t="s">
        <v>16</v>
      </c>
      <c r="H422" t="s">
        <v>1</v>
      </c>
    </row>
    <row r="423" spans="1:8" x14ac:dyDescent="0.3">
      <c r="A423" s="2">
        <v>44625</v>
      </c>
      <c r="B423" s="2" t="str">
        <f>TEXT(AutoPomodoro[[#This Row],[DATE]],"mmmm")</f>
        <v>March</v>
      </c>
      <c r="C423" s="2" t="str">
        <f>TEXT(AutoPomodoro[[#This Row],[DATE]],"yyyy")</f>
        <v>2022</v>
      </c>
      <c r="D423" s="8">
        <v>0.72222222222222221</v>
      </c>
      <c r="E423" s="8">
        <v>0.75624999999999998</v>
      </c>
      <c r="F423" s="3">
        <f t="shared" si="31"/>
        <v>3.4027777777777768E-2</v>
      </c>
      <c r="G423" t="s">
        <v>16</v>
      </c>
      <c r="H423" t="s">
        <v>1</v>
      </c>
    </row>
    <row r="424" spans="1:8" x14ac:dyDescent="0.3">
      <c r="A424" s="2">
        <v>44625</v>
      </c>
      <c r="B424" s="2" t="str">
        <f>TEXT(AutoPomodoro[[#This Row],[DATE]],"mmmm")</f>
        <v>March</v>
      </c>
      <c r="C424" s="2" t="str">
        <f>TEXT(AutoPomodoro[[#This Row],[DATE]],"yyyy")</f>
        <v>2022</v>
      </c>
      <c r="D424" s="8">
        <v>0.76458333333333339</v>
      </c>
      <c r="E424" s="8">
        <v>0.79791666666666661</v>
      </c>
      <c r="F424" s="3">
        <f t="shared" si="31"/>
        <v>3.3333333333333215E-2</v>
      </c>
      <c r="G424" t="s">
        <v>18</v>
      </c>
      <c r="H424" t="s">
        <v>1</v>
      </c>
    </row>
    <row r="425" spans="1:8" x14ac:dyDescent="0.3">
      <c r="A425" s="2">
        <v>44625</v>
      </c>
      <c r="B425" s="2" t="str">
        <f>TEXT(AutoPomodoro[[#This Row],[DATE]],"mmmm")</f>
        <v>March</v>
      </c>
      <c r="C425" s="2" t="str">
        <f>TEXT(AutoPomodoro[[#This Row],[DATE]],"yyyy")</f>
        <v>2022</v>
      </c>
      <c r="D425" s="8">
        <v>0.8125</v>
      </c>
      <c r="E425" s="8">
        <v>0.8520833333333333</v>
      </c>
      <c r="F425" s="3">
        <f t="shared" si="31"/>
        <v>3.9583333333333304E-2</v>
      </c>
      <c r="G425" t="s">
        <v>18</v>
      </c>
      <c r="H425" t="s">
        <v>1</v>
      </c>
    </row>
    <row r="426" spans="1:8" x14ac:dyDescent="0.3">
      <c r="A426" s="2">
        <v>44629</v>
      </c>
      <c r="B426" s="2" t="str">
        <f>TEXT(AutoPomodoro[[#This Row],[DATE]],"mmmm")</f>
        <v>March</v>
      </c>
      <c r="C426" s="2" t="str">
        <f>TEXT(AutoPomodoro[[#This Row],[DATE]],"yyyy")</f>
        <v>2022</v>
      </c>
      <c r="D426" s="8">
        <v>0.4465277777777778</v>
      </c>
      <c r="E426" s="8">
        <v>0.47222222222222227</v>
      </c>
      <c r="F426" s="3">
        <f t="shared" si="31"/>
        <v>2.5694444444444464E-2</v>
      </c>
      <c r="G426" t="s">
        <v>16</v>
      </c>
      <c r="H426" t="s">
        <v>1</v>
      </c>
    </row>
    <row r="427" spans="1:8" x14ac:dyDescent="0.3">
      <c r="A427" s="2">
        <v>44629</v>
      </c>
      <c r="B427" s="2" t="str">
        <f>TEXT(AutoPomodoro[[#This Row],[DATE]],"mmmm")</f>
        <v>March</v>
      </c>
      <c r="C427" s="2" t="str">
        <f>TEXT(AutoPomodoro[[#This Row],[DATE]],"yyyy")</f>
        <v>2022</v>
      </c>
      <c r="D427" s="8">
        <v>0.52638888888888891</v>
      </c>
      <c r="E427" s="8">
        <v>0.54652777777777783</v>
      </c>
      <c r="F427" s="3">
        <f t="shared" si="31"/>
        <v>2.0138888888888928E-2</v>
      </c>
      <c r="G427" t="s">
        <v>16</v>
      </c>
      <c r="H427" t="s">
        <v>1</v>
      </c>
    </row>
    <row r="428" spans="1:8" x14ac:dyDescent="0.3">
      <c r="A428" s="2">
        <v>44630</v>
      </c>
      <c r="B428" s="2" t="str">
        <f>TEXT(AutoPomodoro[[#This Row],[DATE]],"mmmm")</f>
        <v>March</v>
      </c>
      <c r="C428" s="2" t="str">
        <f>TEXT(AutoPomodoro[[#This Row],[DATE]],"yyyy")</f>
        <v>2022</v>
      </c>
      <c r="D428" s="8">
        <v>0.64930555555555558</v>
      </c>
      <c r="E428" s="8">
        <f>D428+$T$15</f>
        <v>0.66666666666666674</v>
      </c>
      <c r="F428" s="3">
        <f t="shared" si="31"/>
        <v>1.736111111111116E-2</v>
      </c>
      <c r="G428" t="s">
        <v>16</v>
      </c>
      <c r="H428" t="s">
        <v>1</v>
      </c>
    </row>
    <row r="429" spans="1:8" x14ac:dyDescent="0.3">
      <c r="A429" s="2">
        <v>44630</v>
      </c>
      <c r="B429" s="2" t="str">
        <f>TEXT(AutoPomodoro[[#This Row],[DATE]],"mmmm")</f>
        <v>March</v>
      </c>
      <c r="C429" s="2" t="str">
        <f>TEXT(AutoPomodoro[[#This Row],[DATE]],"yyyy")</f>
        <v>2022</v>
      </c>
      <c r="D429" s="8">
        <f>E428+$T$16</f>
        <v>0.67013888888888895</v>
      </c>
      <c r="E429" s="8">
        <f>D429+$T$15</f>
        <v>0.68750000000000011</v>
      </c>
      <c r="F429" s="3">
        <f t="shared" si="31"/>
        <v>1.736111111111116E-2</v>
      </c>
      <c r="G429" t="s">
        <v>16</v>
      </c>
      <c r="H429" t="s">
        <v>1</v>
      </c>
    </row>
    <row r="430" spans="1:8" x14ac:dyDescent="0.3">
      <c r="A430" s="2">
        <v>44630</v>
      </c>
      <c r="B430" s="2" t="str">
        <f>TEXT(AutoPomodoro[[#This Row],[DATE]],"mmmm")</f>
        <v>March</v>
      </c>
      <c r="C430" s="2" t="str">
        <f>TEXT(AutoPomodoro[[#This Row],[DATE]],"yyyy")</f>
        <v>2022</v>
      </c>
      <c r="D430" s="8">
        <f>E429+$T$16</f>
        <v>0.69097222222222232</v>
      </c>
      <c r="E430" s="8">
        <f>D430+$T$15</f>
        <v>0.70833333333333348</v>
      </c>
      <c r="F430" s="3">
        <f t="shared" si="31"/>
        <v>1.736111111111116E-2</v>
      </c>
      <c r="G430" t="s">
        <v>16</v>
      </c>
      <c r="H430" t="s">
        <v>1</v>
      </c>
    </row>
    <row r="431" spans="1:8" x14ac:dyDescent="0.3">
      <c r="A431" s="2">
        <v>44630</v>
      </c>
      <c r="B431" s="2" t="str">
        <f>TEXT(AutoPomodoro[[#This Row],[DATE]],"mmmm")</f>
        <v>March</v>
      </c>
      <c r="C431" s="2" t="str">
        <f>TEXT(AutoPomodoro[[#This Row],[DATE]],"yyyy")</f>
        <v>2022</v>
      </c>
      <c r="D431" s="8">
        <f>E430+$T$17</f>
        <v>0.71319444444444458</v>
      </c>
      <c r="E431" s="8">
        <f>D431+$T$15</f>
        <v>0.73055555555555574</v>
      </c>
      <c r="F431" s="3">
        <v>1.9444444444444445E-2</v>
      </c>
      <c r="G431" t="s">
        <v>16</v>
      </c>
      <c r="H431" t="s">
        <v>1</v>
      </c>
    </row>
    <row r="432" spans="1:8" x14ac:dyDescent="0.3">
      <c r="A432" s="2">
        <v>44630</v>
      </c>
      <c r="B432" s="2" t="str">
        <f>TEXT(AutoPomodoro[[#This Row],[DATE]],"mmmm")</f>
        <v>March</v>
      </c>
      <c r="C432" s="2" t="str">
        <f>TEXT(AutoPomodoro[[#This Row],[DATE]],"yyyy")</f>
        <v>2022</v>
      </c>
      <c r="D432" s="8">
        <v>0.73055555555555562</v>
      </c>
      <c r="E432" s="8">
        <v>0.75347222222222221</v>
      </c>
      <c r="F432" s="3">
        <f t="shared" ref="F432:F437" si="32">E432-D432</f>
        <v>2.2916666666666585E-2</v>
      </c>
      <c r="G432" t="s">
        <v>21</v>
      </c>
      <c r="H432" t="s">
        <v>1</v>
      </c>
    </row>
    <row r="433" spans="1:8" x14ac:dyDescent="0.3">
      <c r="A433" s="2">
        <v>44630</v>
      </c>
      <c r="B433" s="2" t="str">
        <f>TEXT(AutoPomodoro[[#This Row],[DATE]],"mmmm")</f>
        <v>March</v>
      </c>
      <c r="C433" s="2" t="str">
        <f>TEXT(AutoPomodoro[[#This Row],[DATE]],"yyyy")</f>
        <v>2022</v>
      </c>
      <c r="D433" s="8">
        <v>0.75347222222222221</v>
      </c>
      <c r="E433" s="8">
        <f>D433+$T$15</f>
        <v>0.77083333333333337</v>
      </c>
      <c r="F433" s="3">
        <f t="shared" si="32"/>
        <v>1.736111111111116E-2</v>
      </c>
      <c r="G433" t="s">
        <v>16</v>
      </c>
      <c r="H433" t="s">
        <v>1</v>
      </c>
    </row>
    <row r="434" spans="1:8" x14ac:dyDescent="0.3">
      <c r="A434" s="2">
        <v>44630</v>
      </c>
      <c r="B434" s="2" t="str">
        <f>TEXT(AutoPomodoro[[#This Row],[DATE]],"mmmm")</f>
        <v>March</v>
      </c>
      <c r="C434" s="2" t="str">
        <f>TEXT(AutoPomodoro[[#This Row],[DATE]],"yyyy")</f>
        <v>2022</v>
      </c>
      <c r="D434" s="8">
        <f>E433+$T$16</f>
        <v>0.77430555555555558</v>
      </c>
      <c r="E434" s="8">
        <f>D434+$T$15</f>
        <v>0.79166666666666674</v>
      </c>
      <c r="F434" s="3">
        <f t="shared" si="32"/>
        <v>1.736111111111116E-2</v>
      </c>
      <c r="G434" t="s">
        <v>16</v>
      </c>
      <c r="H434" t="s">
        <v>1</v>
      </c>
    </row>
    <row r="435" spans="1:8" x14ac:dyDescent="0.3">
      <c r="A435" s="2">
        <v>44630</v>
      </c>
      <c r="B435" s="2" t="str">
        <f>TEXT(AutoPomodoro[[#This Row],[DATE]],"mmmm")</f>
        <v>March</v>
      </c>
      <c r="C435" s="2" t="str">
        <f>TEXT(AutoPomodoro[[#This Row],[DATE]],"yyyy")</f>
        <v>2022</v>
      </c>
      <c r="D435" s="8">
        <f>E434+$T$16</f>
        <v>0.79513888888888895</v>
      </c>
      <c r="E435" s="8">
        <f>D435+$T$15</f>
        <v>0.81250000000000011</v>
      </c>
      <c r="F435" s="3">
        <f t="shared" si="32"/>
        <v>1.736111111111116E-2</v>
      </c>
      <c r="G435" t="s">
        <v>16</v>
      </c>
      <c r="H435" t="s">
        <v>1</v>
      </c>
    </row>
    <row r="436" spans="1:8" x14ac:dyDescent="0.3">
      <c r="A436" s="2">
        <v>44630</v>
      </c>
      <c r="B436" s="2" t="str">
        <f>TEXT(AutoPomodoro[[#This Row],[DATE]],"mmmm")</f>
        <v>March</v>
      </c>
      <c r="C436" s="2" t="str">
        <f>TEXT(AutoPomodoro[[#This Row],[DATE]],"yyyy")</f>
        <v>2022</v>
      </c>
      <c r="D436" s="8">
        <v>0.81736111111111109</v>
      </c>
      <c r="E436" s="8">
        <v>0.82430555555555562</v>
      </c>
      <c r="F436" s="3">
        <f t="shared" si="32"/>
        <v>6.9444444444445308E-3</v>
      </c>
      <c r="G436" t="s">
        <v>16</v>
      </c>
      <c r="H436" t="s">
        <v>1</v>
      </c>
    </row>
    <row r="437" spans="1:8" x14ac:dyDescent="0.3">
      <c r="A437" s="2">
        <v>44630</v>
      </c>
      <c r="B437" s="2" t="str">
        <f>TEXT(AutoPomodoro[[#This Row],[DATE]],"mmmm")</f>
        <v>March</v>
      </c>
      <c r="C437" s="2" t="str">
        <f>TEXT(AutoPomodoro[[#This Row],[DATE]],"yyyy")</f>
        <v>2022</v>
      </c>
      <c r="D437" s="8">
        <v>0.83124999999999993</v>
      </c>
      <c r="E437" s="8">
        <v>0.84305555555555556</v>
      </c>
      <c r="F437" s="3">
        <f t="shared" si="32"/>
        <v>1.1805555555555625E-2</v>
      </c>
      <c r="G437" t="s">
        <v>16</v>
      </c>
      <c r="H437" t="s">
        <v>1</v>
      </c>
    </row>
    <row r="438" spans="1:8" x14ac:dyDescent="0.3">
      <c r="A438" s="2">
        <v>44631</v>
      </c>
      <c r="B438" s="2" t="str">
        <f>TEXT(AutoPomodoro[[#This Row],[DATE]],"mmmm")</f>
        <v>March</v>
      </c>
      <c r="C438" s="2" t="str">
        <f>TEXT(AutoPomodoro[[#This Row],[DATE]],"yyyy")</f>
        <v>2022</v>
      </c>
      <c r="D438" s="8">
        <v>0.49305555555555558</v>
      </c>
      <c r="E438" s="8">
        <f t="shared" ref="E438:E443" si="33">D438+$T$15</f>
        <v>0.51041666666666674</v>
      </c>
      <c r="F438" s="3">
        <v>2.4305555555555556E-2</v>
      </c>
      <c r="G438" t="s">
        <v>16</v>
      </c>
      <c r="H438" t="s">
        <v>1</v>
      </c>
    </row>
    <row r="439" spans="1:8" x14ac:dyDescent="0.3">
      <c r="A439" s="2">
        <v>44631</v>
      </c>
      <c r="B439" s="2" t="str">
        <f>TEXT(AutoPomodoro[[#This Row],[DATE]],"mmmm")</f>
        <v>March</v>
      </c>
      <c r="C439" s="2" t="str">
        <f>TEXT(AutoPomodoro[[#This Row],[DATE]],"yyyy")</f>
        <v>2022</v>
      </c>
      <c r="D439" s="8">
        <f>E438+$T$16</f>
        <v>0.51388888888888895</v>
      </c>
      <c r="E439" s="8">
        <f t="shared" si="33"/>
        <v>0.53125000000000011</v>
      </c>
      <c r="F439" s="3">
        <f>E439-D439</f>
        <v>1.736111111111116E-2</v>
      </c>
      <c r="G439" t="s">
        <v>16</v>
      </c>
      <c r="H439" t="s">
        <v>1</v>
      </c>
    </row>
    <row r="440" spans="1:8" x14ac:dyDescent="0.3">
      <c r="A440" s="2">
        <v>44631</v>
      </c>
      <c r="B440" s="2" t="str">
        <f>TEXT(AutoPomodoro[[#This Row],[DATE]],"mmmm")</f>
        <v>March</v>
      </c>
      <c r="C440" s="2" t="str">
        <f>TEXT(AutoPomodoro[[#This Row],[DATE]],"yyyy")</f>
        <v>2022</v>
      </c>
      <c r="D440" s="8">
        <f>E439+$T$16</f>
        <v>0.53472222222222232</v>
      </c>
      <c r="E440" s="8">
        <f t="shared" si="33"/>
        <v>0.55208333333333348</v>
      </c>
      <c r="F440" s="3">
        <f>E440-D440</f>
        <v>1.736111111111116E-2</v>
      </c>
      <c r="G440" t="s">
        <v>16</v>
      </c>
      <c r="H440" t="s">
        <v>1</v>
      </c>
    </row>
    <row r="441" spans="1:8" x14ac:dyDescent="0.3">
      <c r="A441" s="2">
        <v>44631</v>
      </c>
      <c r="B441" s="2" t="str">
        <f>TEXT(AutoPomodoro[[#This Row],[DATE]],"mmmm")</f>
        <v>March</v>
      </c>
      <c r="C441" s="2" t="str">
        <f>TEXT(AutoPomodoro[[#This Row],[DATE]],"yyyy")</f>
        <v>2022</v>
      </c>
      <c r="D441" s="8">
        <f>E440+$T$17</f>
        <v>0.55694444444444458</v>
      </c>
      <c r="E441" s="8">
        <f t="shared" si="33"/>
        <v>0.57430555555555574</v>
      </c>
      <c r="F441" s="3">
        <f>E441-D441</f>
        <v>1.736111111111116E-2</v>
      </c>
      <c r="G441" t="s">
        <v>16</v>
      </c>
      <c r="H441" t="s">
        <v>1</v>
      </c>
    </row>
    <row r="442" spans="1:8" x14ac:dyDescent="0.3">
      <c r="A442" s="2">
        <v>44631</v>
      </c>
      <c r="B442" s="2" t="str">
        <f>TEXT(AutoPomodoro[[#This Row],[DATE]],"mmmm")</f>
        <v>March</v>
      </c>
      <c r="C442" s="2" t="str">
        <f>TEXT(AutoPomodoro[[#This Row],[DATE]],"yyyy")</f>
        <v>2022</v>
      </c>
      <c r="D442" s="8">
        <v>0.57916666666666672</v>
      </c>
      <c r="E442" s="8">
        <f t="shared" si="33"/>
        <v>0.59652777777777788</v>
      </c>
      <c r="F442" s="3">
        <f>E442-D442</f>
        <v>1.736111111111116E-2</v>
      </c>
      <c r="G442" t="s">
        <v>16</v>
      </c>
      <c r="H442" t="s">
        <v>1</v>
      </c>
    </row>
    <row r="443" spans="1:8" x14ac:dyDescent="0.3">
      <c r="A443" s="2">
        <v>44631</v>
      </c>
      <c r="B443" s="2" t="str">
        <f>TEXT(AutoPomodoro[[#This Row],[DATE]],"mmmm")</f>
        <v>March</v>
      </c>
      <c r="C443" s="2" t="str">
        <f>TEXT(AutoPomodoro[[#This Row],[DATE]],"yyyy")</f>
        <v>2022</v>
      </c>
      <c r="D443" s="8">
        <v>0.60138888888888886</v>
      </c>
      <c r="E443" s="8">
        <f t="shared" si="33"/>
        <v>0.61875000000000002</v>
      </c>
      <c r="F443" s="3">
        <v>1.8055555555555557E-2</v>
      </c>
      <c r="G443" t="s">
        <v>16</v>
      </c>
      <c r="H443" t="s">
        <v>1</v>
      </c>
    </row>
    <row r="444" spans="1:8" x14ac:dyDescent="0.3">
      <c r="A444" s="2">
        <v>44631</v>
      </c>
      <c r="B444" s="2" t="str">
        <f>TEXT(AutoPomodoro[[#This Row],[DATE]],"mmmm")</f>
        <v>March</v>
      </c>
      <c r="C444" s="2" t="str">
        <f>TEXT(AutoPomodoro[[#This Row],[DATE]],"yyyy")</f>
        <v>2022</v>
      </c>
      <c r="D444" s="8">
        <v>0.61875000000000002</v>
      </c>
      <c r="E444" s="8">
        <v>0.64236111111111105</v>
      </c>
      <c r="F444" s="3">
        <f>E444-D444</f>
        <v>2.3611111111111027E-2</v>
      </c>
      <c r="G444" t="s">
        <v>21</v>
      </c>
      <c r="H444" t="s">
        <v>1</v>
      </c>
    </row>
    <row r="445" spans="1:8" x14ac:dyDescent="0.3">
      <c r="A445" s="2">
        <v>44631</v>
      </c>
      <c r="B445" s="2" t="str">
        <f>TEXT(AutoPomodoro[[#This Row],[DATE]],"mmmm")</f>
        <v>March</v>
      </c>
      <c r="C445" s="2" t="str">
        <f>TEXT(AutoPomodoro[[#This Row],[DATE]],"yyyy")</f>
        <v>2022</v>
      </c>
      <c r="D445" s="8">
        <v>0.64236111111111105</v>
      </c>
      <c r="E445" s="8">
        <f>D445+$T$15</f>
        <v>0.65972222222222221</v>
      </c>
      <c r="F445" s="3">
        <f>E445-D445</f>
        <v>1.736111111111116E-2</v>
      </c>
      <c r="G445" t="s">
        <v>16</v>
      </c>
      <c r="H445" t="s">
        <v>1</v>
      </c>
    </row>
    <row r="446" spans="1:8" x14ac:dyDescent="0.3">
      <c r="A446" s="2">
        <v>44631</v>
      </c>
      <c r="B446" s="2" t="str">
        <f>TEXT(AutoPomodoro[[#This Row],[DATE]],"mmmm")</f>
        <v>March</v>
      </c>
      <c r="C446" s="2" t="str">
        <f>TEXT(AutoPomodoro[[#This Row],[DATE]],"yyyy")</f>
        <v>2022</v>
      </c>
      <c r="D446" s="8">
        <f>E445+$T$16</f>
        <v>0.66319444444444442</v>
      </c>
      <c r="E446" s="8">
        <f>D446+$T$15</f>
        <v>0.68055555555555558</v>
      </c>
      <c r="F446" s="3">
        <f>E446-D446</f>
        <v>1.736111111111116E-2</v>
      </c>
      <c r="G446" t="s">
        <v>16</v>
      </c>
      <c r="H446" t="s">
        <v>1</v>
      </c>
    </row>
    <row r="447" spans="1:8" x14ac:dyDescent="0.3">
      <c r="A447" s="2">
        <v>44631</v>
      </c>
      <c r="B447" s="2" t="str">
        <f>TEXT(AutoPomodoro[[#This Row],[DATE]],"mmmm")</f>
        <v>March</v>
      </c>
      <c r="C447" s="2" t="str">
        <f>TEXT(AutoPomodoro[[#This Row],[DATE]],"yyyy")</f>
        <v>2022</v>
      </c>
      <c r="D447" s="8">
        <f>E446+$T$16</f>
        <v>0.68402777777777779</v>
      </c>
      <c r="E447" s="8">
        <v>0.70486111111111116</v>
      </c>
      <c r="F447" s="3">
        <v>2.6388888888888889E-2</v>
      </c>
      <c r="G447" t="s">
        <v>16</v>
      </c>
      <c r="H447" t="s">
        <v>1</v>
      </c>
    </row>
    <row r="448" spans="1:8" x14ac:dyDescent="0.3">
      <c r="A448" s="2">
        <v>44632</v>
      </c>
      <c r="B448" s="2" t="str">
        <f>TEXT(AutoPomodoro[[#This Row],[DATE]],"mmmm")</f>
        <v>March</v>
      </c>
      <c r="C448" s="2" t="str">
        <f>TEXT(AutoPomodoro[[#This Row],[DATE]],"yyyy")</f>
        <v>2022</v>
      </c>
      <c r="D448" s="8">
        <v>0.6958333333333333</v>
      </c>
      <c r="E448" s="8">
        <v>0.73263888888888884</v>
      </c>
      <c r="F448" s="3">
        <f>E448-D448</f>
        <v>3.6805555555555536E-2</v>
      </c>
      <c r="G448" t="s">
        <v>16</v>
      </c>
      <c r="H448" t="s">
        <v>1</v>
      </c>
    </row>
    <row r="449" spans="1:10" x14ac:dyDescent="0.3">
      <c r="A449" s="2">
        <v>44633</v>
      </c>
      <c r="B449" s="2" t="str">
        <f>TEXT(AutoPomodoro[[#This Row],[DATE]],"mmmm")</f>
        <v>March</v>
      </c>
      <c r="C449" s="2" t="str">
        <f>TEXT(AutoPomodoro[[#This Row],[DATE]],"yyyy")</f>
        <v>2022</v>
      </c>
      <c r="D449" s="8"/>
      <c r="E449" s="8">
        <f>D449+$T$15</f>
        <v>1.7361111111111112E-2</v>
      </c>
      <c r="F449" s="3">
        <v>0.11805555555555557</v>
      </c>
      <c r="G449" t="s">
        <v>16</v>
      </c>
      <c r="H449" t="s">
        <v>1</v>
      </c>
    </row>
    <row r="450" spans="1:10" x14ac:dyDescent="0.3">
      <c r="A450" s="2">
        <v>44633</v>
      </c>
      <c r="B450" s="2" t="str">
        <f>TEXT(AutoPomodoro[[#This Row],[DATE]],"mmmm")</f>
        <v>March</v>
      </c>
      <c r="C450" s="2" t="str">
        <f>TEXT(AutoPomodoro[[#This Row],[DATE]],"yyyy")</f>
        <v>2022</v>
      </c>
      <c r="D450" s="8">
        <v>0.95138888888888884</v>
      </c>
      <c r="E450" s="8">
        <v>0.99097222222222225</v>
      </c>
      <c r="F450" s="3">
        <f t="shared" ref="F450:F479" si="34">E450-D450</f>
        <v>3.9583333333333415E-2</v>
      </c>
      <c r="G450" t="s">
        <v>16</v>
      </c>
      <c r="H450" t="s">
        <v>1</v>
      </c>
    </row>
    <row r="451" spans="1:10" x14ac:dyDescent="0.3">
      <c r="A451" s="2">
        <v>44634</v>
      </c>
      <c r="B451" s="2" t="str">
        <f>TEXT(AutoPomodoro[[#This Row],[DATE]],"mmmm")</f>
        <v>March</v>
      </c>
      <c r="C451" s="2" t="str">
        <f>TEXT(AutoPomodoro[[#This Row],[DATE]],"yyyy")</f>
        <v>2022</v>
      </c>
      <c r="D451" s="8">
        <v>0.46527777777777773</v>
      </c>
      <c r="E451" s="8">
        <v>0.49027777777777781</v>
      </c>
      <c r="F451" s="3">
        <f t="shared" si="34"/>
        <v>2.5000000000000078E-2</v>
      </c>
      <c r="G451" t="s">
        <v>16</v>
      </c>
      <c r="H451" t="s">
        <v>1</v>
      </c>
    </row>
    <row r="452" spans="1:10" x14ac:dyDescent="0.3">
      <c r="A452" s="2">
        <v>44634</v>
      </c>
      <c r="B452" s="2" t="str">
        <f>TEXT(AutoPomodoro[[#This Row],[DATE]],"mmmm")</f>
        <v>March</v>
      </c>
      <c r="C452" s="2" t="str">
        <f>TEXT(AutoPomodoro[[#This Row],[DATE]],"yyyy")</f>
        <v>2022</v>
      </c>
      <c r="D452" s="8">
        <v>0.49374999999999997</v>
      </c>
      <c r="E452" s="8">
        <v>0.55277777777777781</v>
      </c>
      <c r="F452" s="3">
        <f t="shared" si="34"/>
        <v>5.9027777777777846E-2</v>
      </c>
      <c r="G452" t="s">
        <v>16</v>
      </c>
      <c r="H452" t="s">
        <v>1</v>
      </c>
    </row>
    <row r="453" spans="1:10" x14ac:dyDescent="0.3">
      <c r="A453" s="2">
        <v>44634</v>
      </c>
      <c r="B453" s="2" t="str">
        <f>TEXT(AutoPomodoro[[#This Row],[DATE]],"mmmm")</f>
        <v>March</v>
      </c>
      <c r="C453" s="2" t="str">
        <f>TEXT(AutoPomodoro[[#This Row],[DATE]],"yyyy")</f>
        <v>2022</v>
      </c>
      <c r="D453" s="8">
        <v>0.57638888888888895</v>
      </c>
      <c r="E453" s="8">
        <v>0.59861111111111109</v>
      </c>
      <c r="F453" s="3">
        <f t="shared" si="34"/>
        <v>2.2222222222222143E-2</v>
      </c>
      <c r="G453" t="s">
        <v>16</v>
      </c>
      <c r="H453" t="s">
        <v>1</v>
      </c>
    </row>
    <row r="454" spans="1:10" x14ac:dyDescent="0.3">
      <c r="A454" s="2">
        <v>44635</v>
      </c>
      <c r="B454" s="2" t="str">
        <f>TEXT(AutoPomodoro[[#This Row],[DATE]],"mmmm")</f>
        <v>March</v>
      </c>
      <c r="C454" s="2" t="str">
        <f>TEXT(AutoPomodoro[[#This Row],[DATE]],"yyyy")</f>
        <v>2022</v>
      </c>
      <c r="D454" s="8">
        <v>0.52847222222222223</v>
      </c>
      <c r="E454" s="8">
        <v>0.56944444444444442</v>
      </c>
      <c r="F454" s="3">
        <f t="shared" si="34"/>
        <v>4.0972222222222188E-2</v>
      </c>
      <c r="G454" t="s">
        <v>16</v>
      </c>
      <c r="H454" t="s">
        <v>1</v>
      </c>
    </row>
    <row r="455" spans="1:10" x14ac:dyDescent="0.3">
      <c r="A455" s="2">
        <v>44635</v>
      </c>
      <c r="B455" s="2" t="str">
        <f>TEXT(AutoPomodoro[[#This Row],[DATE]],"mmmm")</f>
        <v>March</v>
      </c>
      <c r="C455" s="2" t="str">
        <f>TEXT(AutoPomodoro[[#This Row],[DATE]],"yyyy")</f>
        <v>2022</v>
      </c>
      <c r="D455" s="8">
        <v>0.57777777777777783</v>
      </c>
      <c r="E455" s="8">
        <v>0.61805555555555558</v>
      </c>
      <c r="F455" s="3">
        <f t="shared" si="34"/>
        <v>4.0277777777777746E-2</v>
      </c>
      <c r="G455" t="s">
        <v>16</v>
      </c>
      <c r="H455" t="s">
        <v>1</v>
      </c>
    </row>
    <row r="456" spans="1:10" x14ac:dyDescent="0.3">
      <c r="A456" s="2">
        <v>44635</v>
      </c>
      <c r="B456" s="2" t="str">
        <f>TEXT(AutoPomodoro[[#This Row],[DATE]],"mmmm")</f>
        <v>March</v>
      </c>
      <c r="C456" s="2" t="str">
        <f>TEXT(AutoPomodoro[[#This Row],[DATE]],"yyyy")</f>
        <v>2022</v>
      </c>
      <c r="D456" s="8">
        <v>0.62291666666666667</v>
      </c>
      <c r="E456" s="8">
        <v>0.67847222222222225</v>
      </c>
      <c r="F456" s="3">
        <f t="shared" si="34"/>
        <v>5.555555555555558E-2</v>
      </c>
      <c r="G456" t="s">
        <v>16</v>
      </c>
      <c r="H456" t="s">
        <v>1</v>
      </c>
    </row>
    <row r="457" spans="1:10" x14ac:dyDescent="0.3">
      <c r="A457" s="2">
        <v>44635</v>
      </c>
      <c r="B457" s="2" t="str">
        <f>TEXT(AutoPomodoro[[#This Row],[DATE]],"mmmm")</f>
        <v>March</v>
      </c>
      <c r="C457" s="2" t="str">
        <f>TEXT(AutoPomodoro[[#This Row],[DATE]],"yyyy")</f>
        <v>2022</v>
      </c>
      <c r="D457" s="8">
        <v>0.70138888888888884</v>
      </c>
      <c r="E457" s="8">
        <v>0.73402777777777783</v>
      </c>
      <c r="F457" s="3">
        <f t="shared" si="34"/>
        <v>3.2638888888888995E-2</v>
      </c>
      <c r="G457" t="s">
        <v>16</v>
      </c>
      <c r="H457" t="s">
        <v>1</v>
      </c>
    </row>
    <row r="458" spans="1:10" x14ac:dyDescent="0.3">
      <c r="A458" s="2">
        <v>44636</v>
      </c>
      <c r="B458" s="2" t="str">
        <f>TEXT(AutoPomodoro[[#This Row],[DATE]],"mmmm")</f>
        <v>March</v>
      </c>
      <c r="C458" s="2" t="str">
        <f>TEXT(AutoPomodoro[[#This Row],[DATE]],"yyyy")</f>
        <v>2022</v>
      </c>
      <c r="D458" s="8">
        <v>0.6118055555555556</v>
      </c>
      <c r="E458" s="8">
        <v>0.66111111111111109</v>
      </c>
      <c r="F458" s="3">
        <f t="shared" si="34"/>
        <v>4.9305555555555491E-2</v>
      </c>
      <c r="G458" t="s">
        <v>16</v>
      </c>
      <c r="H458" t="s">
        <v>1</v>
      </c>
    </row>
    <row r="459" spans="1:10" x14ac:dyDescent="0.3">
      <c r="A459" s="2">
        <v>44636</v>
      </c>
      <c r="B459" s="2" t="str">
        <f>TEXT(AutoPomodoro[[#This Row],[DATE]],"mmmm")</f>
        <v>March</v>
      </c>
      <c r="C459" s="2" t="str">
        <f>TEXT(AutoPomodoro[[#This Row],[DATE]],"yyyy")</f>
        <v>2022</v>
      </c>
      <c r="D459" s="8">
        <v>0.67152777777777783</v>
      </c>
      <c r="E459" s="8">
        <v>0.7090277777777777</v>
      </c>
      <c r="F459" s="3">
        <f t="shared" si="34"/>
        <v>3.7499999999999867E-2</v>
      </c>
      <c r="G459" t="s">
        <v>16</v>
      </c>
      <c r="H459" t="s">
        <v>1</v>
      </c>
    </row>
    <row r="460" spans="1:10" x14ac:dyDescent="0.3">
      <c r="A460" s="2">
        <v>44636</v>
      </c>
      <c r="B460" s="2" t="str">
        <f>TEXT(AutoPomodoro[[#This Row],[DATE]],"mmmm")</f>
        <v>March</v>
      </c>
      <c r="C460" s="2" t="str">
        <f>TEXT(AutoPomodoro[[#This Row],[DATE]],"yyyy")</f>
        <v>2022</v>
      </c>
      <c r="D460" s="8">
        <v>0.73749999999999993</v>
      </c>
      <c r="E460" s="8">
        <v>0.75416666666666676</v>
      </c>
      <c r="F460" s="3">
        <f t="shared" si="34"/>
        <v>1.6666666666666829E-2</v>
      </c>
      <c r="G460" t="s">
        <v>16</v>
      </c>
      <c r="H460" t="s">
        <v>1</v>
      </c>
      <c r="J460" t="s">
        <v>4</v>
      </c>
    </row>
    <row r="461" spans="1:10" x14ac:dyDescent="0.3">
      <c r="A461" s="2">
        <v>44636</v>
      </c>
      <c r="B461" s="2" t="str">
        <f>TEXT(AutoPomodoro[[#This Row],[DATE]],"mmmm")</f>
        <v>March</v>
      </c>
      <c r="C461" s="2" t="str">
        <f>TEXT(AutoPomodoro[[#This Row],[DATE]],"yyyy")</f>
        <v>2022</v>
      </c>
      <c r="D461" s="8">
        <v>0.7583333333333333</v>
      </c>
      <c r="E461" s="8">
        <v>0.7993055555555556</v>
      </c>
      <c r="F461" s="3">
        <f t="shared" si="34"/>
        <v>4.0972222222222299E-2</v>
      </c>
      <c r="G461" t="s">
        <v>16</v>
      </c>
      <c r="H461" t="s">
        <v>1</v>
      </c>
    </row>
    <row r="462" spans="1:10" x14ac:dyDescent="0.3">
      <c r="A462" s="2">
        <v>44636</v>
      </c>
      <c r="B462" s="2" t="str">
        <f>TEXT(AutoPomodoro[[#This Row],[DATE]],"mmmm")</f>
        <v>March</v>
      </c>
      <c r="C462" s="2" t="str">
        <f>TEXT(AutoPomodoro[[#This Row],[DATE]],"yyyy")</f>
        <v>2022</v>
      </c>
      <c r="D462" s="8">
        <v>0.81597222222222221</v>
      </c>
      <c r="E462" s="8">
        <v>0.83472222222222225</v>
      </c>
      <c r="F462" s="3">
        <f t="shared" si="34"/>
        <v>1.8750000000000044E-2</v>
      </c>
      <c r="G462" t="s">
        <v>16</v>
      </c>
      <c r="H462" t="s">
        <v>1</v>
      </c>
    </row>
    <row r="463" spans="1:10" x14ac:dyDescent="0.3">
      <c r="A463" s="2">
        <v>44636</v>
      </c>
      <c r="B463" s="2" t="str">
        <f>TEXT(AutoPomodoro[[#This Row],[DATE]],"mmmm")</f>
        <v>March</v>
      </c>
      <c r="C463" s="2" t="str">
        <f>TEXT(AutoPomodoro[[#This Row],[DATE]],"yyyy")</f>
        <v>2022</v>
      </c>
      <c r="D463" s="8">
        <v>0.83888888888888891</v>
      </c>
      <c r="E463" s="8">
        <v>0.86458333333333337</v>
      </c>
      <c r="F463" s="3">
        <f t="shared" si="34"/>
        <v>2.5694444444444464E-2</v>
      </c>
      <c r="G463" t="s">
        <v>16</v>
      </c>
      <c r="H463" t="s">
        <v>1</v>
      </c>
    </row>
    <row r="464" spans="1:10" x14ac:dyDescent="0.3">
      <c r="A464" s="2">
        <v>44637</v>
      </c>
      <c r="B464" s="2" t="str">
        <f>TEXT(AutoPomodoro[[#This Row],[DATE]],"mmmm")</f>
        <v>March</v>
      </c>
      <c r="C464" s="2" t="str">
        <f>TEXT(AutoPomodoro[[#This Row],[DATE]],"yyyy")</f>
        <v>2022</v>
      </c>
      <c r="D464" s="8">
        <v>0.56874999999999998</v>
      </c>
      <c r="E464" s="8">
        <v>0.61944444444444446</v>
      </c>
      <c r="F464" s="3">
        <f t="shared" si="34"/>
        <v>5.0694444444444486E-2</v>
      </c>
      <c r="G464" t="s">
        <v>16</v>
      </c>
      <c r="H464" t="s">
        <v>1</v>
      </c>
    </row>
    <row r="465" spans="1:8" x14ac:dyDescent="0.3">
      <c r="A465" s="2">
        <v>44637</v>
      </c>
      <c r="B465" s="2" t="str">
        <f>TEXT(AutoPomodoro[[#This Row],[DATE]],"mmmm")</f>
        <v>March</v>
      </c>
      <c r="C465" s="2" t="str">
        <f>TEXT(AutoPomodoro[[#This Row],[DATE]],"yyyy")</f>
        <v>2022</v>
      </c>
      <c r="D465" s="8">
        <v>0.66319444444444442</v>
      </c>
      <c r="E465" s="8">
        <v>0.71250000000000002</v>
      </c>
      <c r="F465" s="3">
        <f t="shared" si="34"/>
        <v>4.9305555555555602E-2</v>
      </c>
      <c r="G465" t="s">
        <v>16</v>
      </c>
      <c r="H465" t="s">
        <v>1</v>
      </c>
    </row>
    <row r="466" spans="1:8" x14ac:dyDescent="0.3">
      <c r="A466" s="2">
        <v>44637</v>
      </c>
      <c r="B466" s="2" t="str">
        <f>TEXT(AutoPomodoro[[#This Row],[DATE]],"mmmm")</f>
        <v>March</v>
      </c>
      <c r="C466" s="2" t="str">
        <f>TEXT(AutoPomodoro[[#This Row],[DATE]],"yyyy")</f>
        <v>2022</v>
      </c>
      <c r="D466" s="8">
        <v>0.72499999999999998</v>
      </c>
      <c r="E466" s="8">
        <v>0.79305555555555562</v>
      </c>
      <c r="F466" s="3">
        <f t="shared" si="34"/>
        <v>6.8055555555555647E-2</v>
      </c>
      <c r="G466" t="s">
        <v>16</v>
      </c>
      <c r="H466" t="s">
        <v>1</v>
      </c>
    </row>
    <row r="467" spans="1:8" x14ac:dyDescent="0.3">
      <c r="A467" s="2">
        <v>44639</v>
      </c>
      <c r="B467" s="2" t="str">
        <f>TEXT(AutoPomodoro[[#This Row],[DATE]],"mmmm")</f>
        <v>March</v>
      </c>
      <c r="C467" s="2" t="str">
        <f>TEXT(AutoPomodoro[[#This Row],[DATE]],"yyyy")</f>
        <v>2022</v>
      </c>
      <c r="D467" s="8">
        <v>0.69444444444444453</v>
      </c>
      <c r="E467" s="8">
        <v>0.73472222222222217</v>
      </c>
      <c r="F467" s="3">
        <f t="shared" si="34"/>
        <v>4.0277777777777635E-2</v>
      </c>
      <c r="G467" t="s">
        <v>16</v>
      </c>
      <c r="H467" t="s">
        <v>1</v>
      </c>
    </row>
    <row r="468" spans="1:8" x14ac:dyDescent="0.3">
      <c r="A468" s="2">
        <v>44640</v>
      </c>
      <c r="B468" s="2" t="str">
        <f>TEXT(AutoPomodoro[[#This Row],[DATE]],"mmmm")</f>
        <v>March</v>
      </c>
      <c r="C468" s="2" t="str">
        <f>TEXT(AutoPomodoro[[#This Row],[DATE]],"yyyy")</f>
        <v>2022</v>
      </c>
      <c r="D468" s="8">
        <v>0.68125000000000002</v>
      </c>
      <c r="E468" s="8">
        <v>0.71597222222222223</v>
      </c>
      <c r="F468" s="3">
        <f t="shared" si="34"/>
        <v>3.472222222222221E-2</v>
      </c>
      <c r="G468" t="s">
        <v>16</v>
      </c>
      <c r="H468" t="s">
        <v>1</v>
      </c>
    </row>
    <row r="469" spans="1:8" x14ac:dyDescent="0.3">
      <c r="A469" s="2">
        <v>44640</v>
      </c>
      <c r="B469" s="2" t="str">
        <f>TEXT(AutoPomodoro[[#This Row],[DATE]],"mmmm")</f>
        <v>March</v>
      </c>
      <c r="C469" s="2" t="str">
        <f>TEXT(AutoPomodoro[[#This Row],[DATE]],"yyyy")</f>
        <v>2022</v>
      </c>
      <c r="D469" s="8">
        <v>0.72291666666666676</v>
      </c>
      <c r="E469" s="8">
        <v>0.74861111111111101</v>
      </c>
      <c r="F469" s="3">
        <f t="shared" si="34"/>
        <v>2.5694444444444242E-2</v>
      </c>
      <c r="G469" t="s">
        <v>16</v>
      </c>
      <c r="H469" t="s">
        <v>1</v>
      </c>
    </row>
    <row r="470" spans="1:8" x14ac:dyDescent="0.3">
      <c r="A470" s="2">
        <v>44640</v>
      </c>
      <c r="B470" s="2" t="str">
        <f>TEXT(AutoPomodoro[[#This Row],[DATE]],"mmmm")</f>
        <v>March</v>
      </c>
      <c r="C470" s="2" t="str">
        <f>TEXT(AutoPomodoro[[#This Row],[DATE]],"yyyy")</f>
        <v>2022</v>
      </c>
      <c r="D470" s="8">
        <v>0.75902777777777775</v>
      </c>
      <c r="E470" s="8">
        <v>0.77222222222222225</v>
      </c>
      <c r="F470" s="3">
        <f t="shared" si="34"/>
        <v>1.3194444444444509E-2</v>
      </c>
      <c r="G470" t="s">
        <v>16</v>
      </c>
      <c r="H470" t="s">
        <v>1</v>
      </c>
    </row>
    <row r="471" spans="1:8" x14ac:dyDescent="0.3">
      <c r="A471" s="2">
        <v>44640</v>
      </c>
      <c r="B471" s="2" t="str">
        <f>TEXT(AutoPomodoro[[#This Row],[DATE]],"mmmm")</f>
        <v>March</v>
      </c>
      <c r="C471" s="2" t="str">
        <f>TEXT(AutoPomodoro[[#This Row],[DATE]],"yyyy")</f>
        <v>2022</v>
      </c>
      <c r="D471" s="8">
        <v>0.77916666666666667</v>
      </c>
      <c r="E471" s="8">
        <v>0.7895833333333333</v>
      </c>
      <c r="F471" s="3">
        <f t="shared" si="34"/>
        <v>1.041666666666663E-2</v>
      </c>
      <c r="G471" t="s">
        <v>16</v>
      </c>
      <c r="H471" t="s">
        <v>1</v>
      </c>
    </row>
    <row r="472" spans="1:8" x14ac:dyDescent="0.3">
      <c r="A472" s="2">
        <v>44641</v>
      </c>
      <c r="B472" s="2" t="str">
        <f>TEXT(AutoPomodoro[[#This Row],[DATE]],"mmmm")</f>
        <v>March</v>
      </c>
      <c r="C472" s="2" t="str">
        <f>TEXT(AutoPomodoro[[#This Row],[DATE]],"yyyy")</f>
        <v>2022</v>
      </c>
      <c r="D472" s="8">
        <v>0.60902777777777783</v>
      </c>
      <c r="E472" s="8">
        <v>0.64236111111111105</v>
      </c>
      <c r="F472" s="3">
        <f t="shared" si="34"/>
        <v>3.3333333333333215E-2</v>
      </c>
      <c r="G472" t="s">
        <v>19</v>
      </c>
      <c r="H472" t="s">
        <v>1</v>
      </c>
    </row>
    <row r="473" spans="1:8" x14ac:dyDescent="0.3">
      <c r="A473" s="2">
        <v>44642</v>
      </c>
      <c r="B473" s="2" t="str">
        <f>TEXT(AutoPomodoro[[#This Row],[DATE]],"mmmm")</f>
        <v>March</v>
      </c>
      <c r="C473" s="2" t="str">
        <f>TEXT(AutoPomodoro[[#This Row],[DATE]],"yyyy")</f>
        <v>2022</v>
      </c>
      <c r="D473" s="8">
        <v>0.56874999999999998</v>
      </c>
      <c r="E473" s="8">
        <v>0.59861111111111109</v>
      </c>
      <c r="F473" s="3">
        <f t="shared" si="34"/>
        <v>2.9861111111111116E-2</v>
      </c>
      <c r="G473" t="s">
        <v>16</v>
      </c>
      <c r="H473" t="s">
        <v>1</v>
      </c>
    </row>
    <row r="474" spans="1:8" x14ac:dyDescent="0.3">
      <c r="A474" s="2">
        <v>44642</v>
      </c>
      <c r="B474" s="2" t="str">
        <f>TEXT(AutoPomodoro[[#This Row],[DATE]],"mmmm")</f>
        <v>March</v>
      </c>
      <c r="C474" s="2" t="str">
        <f>TEXT(AutoPomodoro[[#This Row],[DATE]],"yyyy")</f>
        <v>2022</v>
      </c>
      <c r="D474" s="8">
        <v>0.61875000000000002</v>
      </c>
      <c r="E474" s="8">
        <v>0.66805555555555562</v>
      </c>
      <c r="F474" s="3">
        <f t="shared" si="34"/>
        <v>4.9305555555555602E-2</v>
      </c>
      <c r="G474" t="s">
        <v>16</v>
      </c>
      <c r="H474" t="s">
        <v>1</v>
      </c>
    </row>
    <row r="475" spans="1:8" x14ac:dyDescent="0.3">
      <c r="A475" s="2">
        <v>44642</v>
      </c>
      <c r="B475" s="2" t="str">
        <f>TEXT(AutoPomodoro[[#This Row],[DATE]],"mmmm")</f>
        <v>March</v>
      </c>
      <c r="C475" s="2" t="str">
        <f>TEXT(AutoPomodoro[[#This Row],[DATE]],"yyyy")</f>
        <v>2022</v>
      </c>
      <c r="D475" s="8">
        <v>0.69097222222222221</v>
      </c>
      <c r="E475" s="8">
        <v>0.74097222222222225</v>
      </c>
      <c r="F475" s="3">
        <f t="shared" si="34"/>
        <v>5.0000000000000044E-2</v>
      </c>
      <c r="G475" t="s">
        <v>16</v>
      </c>
      <c r="H475" t="s">
        <v>1</v>
      </c>
    </row>
    <row r="476" spans="1:8" x14ac:dyDescent="0.3">
      <c r="A476" s="2">
        <v>44642</v>
      </c>
      <c r="B476" s="2" t="str">
        <f>TEXT(AutoPomodoro[[#This Row],[DATE]],"mmmm")</f>
        <v>March</v>
      </c>
      <c r="C476" s="2" t="str">
        <f>TEXT(AutoPomodoro[[#This Row],[DATE]],"yyyy")</f>
        <v>2022</v>
      </c>
      <c r="D476" s="8">
        <v>0.76111111111111107</v>
      </c>
      <c r="E476" s="8">
        <v>0.80972222222222223</v>
      </c>
      <c r="F476" s="3">
        <f t="shared" si="34"/>
        <v>4.861111111111116E-2</v>
      </c>
      <c r="G476" t="s">
        <v>16</v>
      </c>
      <c r="H476" t="s">
        <v>1</v>
      </c>
    </row>
    <row r="477" spans="1:8" x14ac:dyDescent="0.3">
      <c r="A477" s="2">
        <v>44643</v>
      </c>
      <c r="B477" s="2" t="str">
        <f>TEXT(AutoPomodoro[[#This Row],[DATE]],"mmmm")</f>
        <v>March</v>
      </c>
      <c r="C477" s="2" t="str">
        <f>TEXT(AutoPomodoro[[#This Row],[DATE]],"yyyy")</f>
        <v>2022</v>
      </c>
      <c r="D477" s="8">
        <v>0.59166666666666667</v>
      </c>
      <c r="E477" s="8">
        <v>0.63124999999999998</v>
      </c>
      <c r="F477" s="3">
        <f t="shared" si="34"/>
        <v>3.9583333333333304E-2</v>
      </c>
      <c r="G477" t="s">
        <v>16</v>
      </c>
      <c r="H477" t="s">
        <v>1</v>
      </c>
    </row>
    <row r="478" spans="1:8" x14ac:dyDescent="0.3">
      <c r="A478" s="2">
        <v>44643</v>
      </c>
      <c r="B478" s="2" t="str">
        <f>TEXT(AutoPomodoro[[#This Row],[DATE]],"mmmm")</f>
        <v>March</v>
      </c>
      <c r="C478" s="2" t="str">
        <f>TEXT(AutoPomodoro[[#This Row],[DATE]],"yyyy")</f>
        <v>2022</v>
      </c>
      <c r="D478" s="8">
        <v>0.63750000000000007</v>
      </c>
      <c r="E478" s="8">
        <v>0.69027777777777777</v>
      </c>
      <c r="F478" s="3">
        <f t="shared" si="34"/>
        <v>5.2777777777777701E-2</v>
      </c>
      <c r="G478" t="s">
        <v>16</v>
      </c>
      <c r="H478" t="s">
        <v>1</v>
      </c>
    </row>
    <row r="479" spans="1:8" x14ac:dyDescent="0.3">
      <c r="A479" s="2">
        <v>44643</v>
      </c>
      <c r="B479" s="2" t="str">
        <f>TEXT(AutoPomodoro[[#This Row],[DATE]],"mmmm")</f>
        <v>March</v>
      </c>
      <c r="C479" s="2" t="str">
        <f>TEXT(AutoPomodoro[[#This Row],[DATE]],"yyyy")</f>
        <v>2022</v>
      </c>
      <c r="D479" s="8">
        <v>0.70000000000000007</v>
      </c>
      <c r="E479" s="8">
        <v>0.70972222222222225</v>
      </c>
      <c r="F479" s="3">
        <f t="shared" si="34"/>
        <v>9.7222222222221877E-3</v>
      </c>
      <c r="G479" t="s">
        <v>16</v>
      </c>
      <c r="H479" t="s">
        <v>1</v>
      </c>
    </row>
    <row r="480" spans="1:8" x14ac:dyDescent="0.3">
      <c r="A480" s="2">
        <v>44644</v>
      </c>
      <c r="B480" s="2" t="str">
        <f>TEXT(AutoPomodoro[[#This Row],[DATE]],"mmmm")</f>
        <v>March</v>
      </c>
      <c r="C480" s="2" t="str">
        <f>TEXT(AutoPomodoro[[#This Row],[DATE]],"yyyy")</f>
        <v>2022</v>
      </c>
      <c r="D480" s="8"/>
      <c r="E480" s="8">
        <f>D480+$T$15</f>
        <v>1.7361111111111112E-2</v>
      </c>
      <c r="F480" s="3">
        <v>8.3333333333333329E-2</v>
      </c>
      <c r="G480" t="s">
        <v>16</v>
      </c>
      <c r="H480" t="s">
        <v>1</v>
      </c>
    </row>
    <row r="481" spans="1:8" x14ac:dyDescent="0.3">
      <c r="A481" s="2">
        <v>44644</v>
      </c>
      <c r="B481" s="2" t="str">
        <f>TEXT(AutoPomodoro[[#This Row],[DATE]],"mmmm")</f>
        <v>March</v>
      </c>
      <c r="C481" s="2" t="str">
        <f>TEXT(AutoPomodoro[[#This Row],[DATE]],"yyyy")</f>
        <v>2022</v>
      </c>
      <c r="D481" s="8">
        <v>0.70624999999999993</v>
      </c>
      <c r="E481" s="8">
        <v>0.7284722222222223</v>
      </c>
      <c r="F481" s="3">
        <f>E481-D481</f>
        <v>2.2222222222222365E-2</v>
      </c>
      <c r="G481" t="s">
        <v>16</v>
      </c>
      <c r="H481" t="s">
        <v>1</v>
      </c>
    </row>
    <row r="482" spans="1:8" x14ac:dyDescent="0.3">
      <c r="A482" s="2">
        <v>44645</v>
      </c>
      <c r="B482" s="2" t="str">
        <f>TEXT(AutoPomodoro[[#This Row],[DATE]],"mmmm")</f>
        <v>March</v>
      </c>
      <c r="C482" s="2" t="str">
        <f>TEXT(AutoPomodoro[[#This Row],[DATE]],"yyyy")</f>
        <v>2022</v>
      </c>
      <c r="D482" s="8">
        <v>0.74444444444444446</v>
      </c>
      <c r="E482" s="8">
        <v>0.82500000000000007</v>
      </c>
      <c r="F482" s="3">
        <f>E482-D482</f>
        <v>8.0555555555555602E-2</v>
      </c>
      <c r="G482" t="s">
        <v>16</v>
      </c>
      <c r="H482" t="s">
        <v>1</v>
      </c>
    </row>
    <row r="483" spans="1:8" x14ac:dyDescent="0.3">
      <c r="A483" s="2">
        <v>44645</v>
      </c>
      <c r="B483" s="2" t="str">
        <f>TEXT(AutoPomodoro[[#This Row],[DATE]],"mmmm")</f>
        <v>March</v>
      </c>
      <c r="C483" s="2" t="str">
        <f>TEXT(AutoPomodoro[[#This Row],[DATE]],"yyyy")</f>
        <v>2022</v>
      </c>
      <c r="D483" s="8">
        <v>0.84652777777777777</v>
      </c>
      <c r="E483" s="8">
        <v>0.88402777777777775</v>
      </c>
      <c r="F483" s="3">
        <f>E483-D483</f>
        <v>3.7499999999999978E-2</v>
      </c>
      <c r="G483" t="s">
        <v>16</v>
      </c>
      <c r="H483" t="s">
        <v>1</v>
      </c>
    </row>
    <row r="484" spans="1:8" x14ac:dyDescent="0.3">
      <c r="A484" s="2">
        <v>44647</v>
      </c>
      <c r="B484" s="2" t="str">
        <f>TEXT(AutoPomodoro[[#This Row],[DATE]],"mmmm")</f>
        <v>March</v>
      </c>
      <c r="C484" s="2" t="str">
        <f>TEXT(AutoPomodoro[[#This Row],[DATE]],"yyyy")</f>
        <v>2022</v>
      </c>
      <c r="D484" s="8">
        <v>0.70416666666666661</v>
      </c>
      <c r="E484" s="8">
        <v>0.7270833333333333</v>
      </c>
      <c r="F484" s="3">
        <f>E484-D484</f>
        <v>2.2916666666666696E-2</v>
      </c>
      <c r="G484" t="s">
        <v>16</v>
      </c>
      <c r="H484" t="s">
        <v>1</v>
      </c>
    </row>
    <row r="485" spans="1:8" x14ac:dyDescent="0.3">
      <c r="A485" s="2">
        <v>44647</v>
      </c>
      <c r="B485" s="2" t="str">
        <f>TEXT(AutoPomodoro[[#This Row],[DATE]],"mmmm")</f>
        <v>March</v>
      </c>
      <c r="C485" s="2" t="str">
        <f>TEXT(AutoPomodoro[[#This Row],[DATE]],"yyyy")</f>
        <v>2022</v>
      </c>
      <c r="D485" s="8">
        <v>0.75555555555555554</v>
      </c>
      <c r="E485" s="8">
        <v>0.78541666666666676</v>
      </c>
      <c r="F485" s="3">
        <f>E485-D485</f>
        <v>2.9861111111111227E-2</v>
      </c>
      <c r="G485" t="s">
        <v>16</v>
      </c>
      <c r="H485" t="s">
        <v>1</v>
      </c>
    </row>
    <row r="486" spans="1:8" x14ac:dyDescent="0.3">
      <c r="A486" s="2">
        <v>44648</v>
      </c>
      <c r="B486" s="2" t="str">
        <f>TEXT(AutoPomodoro[[#This Row],[DATE]],"mmmm")</f>
        <v>March</v>
      </c>
      <c r="C486" s="2" t="str">
        <f>TEXT(AutoPomodoro[[#This Row],[DATE]],"yyyy")</f>
        <v>2022</v>
      </c>
      <c r="D486" s="8">
        <v>0.65486111111111112</v>
      </c>
      <c r="E486" s="8">
        <v>0.70277777777777783</v>
      </c>
      <c r="F486" s="3">
        <v>5.2083333333333336E-2</v>
      </c>
      <c r="G486" t="s">
        <v>16</v>
      </c>
      <c r="H486" t="s">
        <v>1</v>
      </c>
    </row>
    <row r="487" spans="1:8" x14ac:dyDescent="0.3">
      <c r="A487" s="2">
        <v>44649</v>
      </c>
      <c r="B487" s="2" t="str">
        <f>TEXT(AutoPomodoro[[#This Row],[DATE]],"mmmm")</f>
        <v>March</v>
      </c>
      <c r="C487" s="2" t="str">
        <f>TEXT(AutoPomodoro[[#This Row],[DATE]],"yyyy")</f>
        <v>2022</v>
      </c>
      <c r="D487" s="8">
        <v>0.61736111111111114</v>
      </c>
      <c r="E487" s="8">
        <v>0.66388888888888886</v>
      </c>
      <c r="F487" s="3">
        <f t="shared" ref="F487:F494" si="35">E487-D487</f>
        <v>4.6527777777777724E-2</v>
      </c>
      <c r="G487" t="s">
        <v>16</v>
      </c>
      <c r="H487" t="s">
        <v>1</v>
      </c>
    </row>
    <row r="488" spans="1:8" x14ac:dyDescent="0.3">
      <c r="A488" s="2">
        <v>44649</v>
      </c>
      <c r="B488" s="2" t="str">
        <f>TEXT(AutoPomodoro[[#This Row],[DATE]],"mmmm")</f>
        <v>March</v>
      </c>
      <c r="C488" s="2" t="str">
        <f>TEXT(AutoPomodoro[[#This Row],[DATE]],"yyyy")</f>
        <v>2022</v>
      </c>
      <c r="D488" s="8">
        <v>0.67361111111111116</v>
      </c>
      <c r="E488" s="8">
        <v>0.72013888888888899</v>
      </c>
      <c r="F488" s="3">
        <f t="shared" si="35"/>
        <v>4.6527777777777835E-2</v>
      </c>
      <c r="G488" t="s">
        <v>16</v>
      </c>
      <c r="H488" t="s">
        <v>1</v>
      </c>
    </row>
    <row r="489" spans="1:8" x14ac:dyDescent="0.3">
      <c r="A489" s="2">
        <v>44649</v>
      </c>
      <c r="B489" s="2" t="str">
        <f>TEXT(AutoPomodoro[[#This Row],[DATE]],"mmmm")</f>
        <v>March</v>
      </c>
      <c r="C489" s="2" t="str">
        <f>TEXT(AutoPomodoro[[#This Row],[DATE]],"yyyy")</f>
        <v>2022</v>
      </c>
      <c r="D489" s="8">
        <v>0.72986111111111107</v>
      </c>
      <c r="E489" s="8">
        <v>0.74097222222222225</v>
      </c>
      <c r="F489" s="3">
        <f t="shared" si="35"/>
        <v>1.1111111111111183E-2</v>
      </c>
      <c r="G489" t="s">
        <v>16</v>
      </c>
      <c r="H489" t="s">
        <v>1</v>
      </c>
    </row>
    <row r="490" spans="1:8" x14ac:dyDescent="0.3">
      <c r="A490" s="2">
        <v>44649</v>
      </c>
      <c r="B490" s="2" t="str">
        <f>TEXT(AutoPomodoro[[#This Row],[DATE]],"mmmm")</f>
        <v>March</v>
      </c>
      <c r="C490" s="2" t="str">
        <f>TEXT(AutoPomodoro[[#This Row],[DATE]],"yyyy")</f>
        <v>2022</v>
      </c>
      <c r="D490" s="8">
        <v>0.76388888888888884</v>
      </c>
      <c r="E490" s="8">
        <v>0.79305555555555562</v>
      </c>
      <c r="F490" s="3">
        <f t="shared" si="35"/>
        <v>2.9166666666666785E-2</v>
      </c>
      <c r="G490" t="s">
        <v>16</v>
      </c>
      <c r="H490" t="s">
        <v>1</v>
      </c>
    </row>
    <row r="491" spans="1:8" x14ac:dyDescent="0.3">
      <c r="A491" s="2">
        <v>44649</v>
      </c>
      <c r="B491" s="2" t="str">
        <f>TEXT(AutoPomodoro[[#This Row],[DATE]],"mmmm")</f>
        <v>March</v>
      </c>
      <c r="C491" s="2" t="str">
        <f>TEXT(AutoPomodoro[[#This Row],[DATE]],"yyyy")</f>
        <v>2022</v>
      </c>
      <c r="D491" s="8">
        <v>0.90486111111111101</v>
      </c>
      <c r="E491" s="8">
        <v>0.92986111111111114</v>
      </c>
      <c r="F491" s="3">
        <f t="shared" si="35"/>
        <v>2.5000000000000133E-2</v>
      </c>
      <c r="G491" t="s">
        <v>16</v>
      </c>
      <c r="H491" t="s">
        <v>1</v>
      </c>
    </row>
    <row r="492" spans="1:8" x14ac:dyDescent="0.3">
      <c r="A492" s="2">
        <v>44649</v>
      </c>
      <c r="B492" s="2" t="str">
        <f>TEXT(AutoPomodoro[[#This Row],[DATE]],"mmmm")</f>
        <v>March</v>
      </c>
      <c r="C492" s="2" t="str">
        <f>TEXT(AutoPomodoro[[#This Row],[DATE]],"yyyy")</f>
        <v>2022</v>
      </c>
      <c r="D492" s="8">
        <v>0.93402777777777779</v>
      </c>
      <c r="E492" s="8">
        <v>0.94444444444444453</v>
      </c>
      <c r="F492" s="3">
        <f t="shared" si="35"/>
        <v>1.0416666666666741E-2</v>
      </c>
      <c r="G492" t="s">
        <v>16</v>
      </c>
      <c r="H492" t="s">
        <v>1</v>
      </c>
    </row>
    <row r="493" spans="1:8" x14ac:dyDescent="0.3">
      <c r="A493" s="2">
        <v>44652</v>
      </c>
      <c r="B493" s="2" t="str">
        <f>TEXT(AutoPomodoro[[#This Row],[DATE]],"mmmm")</f>
        <v>April</v>
      </c>
      <c r="C493" s="2" t="str">
        <f>TEXT(AutoPomodoro[[#This Row],[DATE]],"yyyy")</f>
        <v>2022</v>
      </c>
      <c r="D493" s="8">
        <v>0.90972222222222221</v>
      </c>
      <c r="E493" s="8">
        <f>D493+$T$15</f>
        <v>0.92708333333333337</v>
      </c>
      <c r="F493" s="3">
        <f t="shared" si="35"/>
        <v>1.736111111111116E-2</v>
      </c>
      <c r="G493" t="s">
        <v>17</v>
      </c>
      <c r="H493" t="s">
        <v>1</v>
      </c>
    </row>
    <row r="494" spans="1:8" x14ac:dyDescent="0.3">
      <c r="A494" s="2">
        <v>44652</v>
      </c>
      <c r="B494" s="2" t="str">
        <f>TEXT(AutoPomodoro[[#This Row],[DATE]],"mmmm")</f>
        <v>April</v>
      </c>
      <c r="C494" s="2" t="str">
        <f>TEXT(AutoPomodoro[[#This Row],[DATE]],"yyyy")</f>
        <v>2022</v>
      </c>
      <c r="D494" s="8">
        <f>E493+$T$16</f>
        <v>0.93055555555555558</v>
      </c>
      <c r="E494" s="8">
        <f>D494+$T$15</f>
        <v>0.94791666666666674</v>
      </c>
      <c r="F494" s="3">
        <f t="shared" si="35"/>
        <v>1.736111111111116E-2</v>
      </c>
      <c r="G494" t="s">
        <v>16</v>
      </c>
      <c r="H494" t="s">
        <v>1</v>
      </c>
    </row>
    <row r="495" spans="1:8" x14ac:dyDescent="0.3">
      <c r="A495" s="2">
        <v>44652</v>
      </c>
      <c r="B495" s="2" t="str">
        <f>TEXT(AutoPomodoro[[#This Row],[DATE]],"mmmm")</f>
        <v>April</v>
      </c>
      <c r="C495" s="2" t="str">
        <f>TEXT(AutoPomodoro[[#This Row],[DATE]],"yyyy")</f>
        <v>2022</v>
      </c>
      <c r="D495" s="8">
        <f>E494+$T$16</f>
        <v>0.95138888888888895</v>
      </c>
      <c r="E495" s="8">
        <v>0.96875</v>
      </c>
      <c r="F495" s="3">
        <v>2.2916666666666669E-2</v>
      </c>
      <c r="G495" t="s">
        <v>16</v>
      </c>
      <c r="H495" t="s">
        <v>1</v>
      </c>
    </row>
    <row r="496" spans="1:8" x14ac:dyDescent="0.3">
      <c r="A496" s="2">
        <v>44653</v>
      </c>
      <c r="B496" s="2" t="str">
        <f>TEXT(AutoPomodoro[[#This Row],[DATE]],"mmmm")</f>
        <v>April</v>
      </c>
      <c r="C496" s="2" t="str">
        <f>TEXT(AutoPomodoro[[#This Row],[DATE]],"yyyy")</f>
        <v>2022</v>
      </c>
      <c r="D496" s="8">
        <v>0.625</v>
      </c>
      <c r="E496" s="8">
        <f>D496+$T$15</f>
        <v>0.64236111111111116</v>
      </c>
      <c r="F496" s="3">
        <f>E496-D496</f>
        <v>1.736111111111116E-2</v>
      </c>
      <c r="G496" t="s">
        <v>16</v>
      </c>
      <c r="H496" t="s">
        <v>1</v>
      </c>
    </row>
    <row r="497" spans="1:8" x14ac:dyDescent="0.3">
      <c r="A497" s="2">
        <v>44653</v>
      </c>
      <c r="B497" s="2" t="str">
        <f>TEXT(AutoPomodoro[[#This Row],[DATE]],"mmmm")</f>
        <v>April</v>
      </c>
      <c r="C497" s="2" t="str">
        <f>TEXT(AutoPomodoro[[#This Row],[DATE]],"yyyy")</f>
        <v>2022</v>
      </c>
      <c r="D497" s="8">
        <f>E496+$T$16</f>
        <v>0.64583333333333337</v>
      </c>
      <c r="E497" s="8">
        <f>D497+$T$15</f>
        <v>0.66319444444444453</v>
      </c>
      <c r="F497" s="3">
        <f>E497-D497</f>
        <v>1.736111111111116E-2</v>
      </c>
      <c r="G497" t="s">
        <v>16</v>
      </c>
      <c r="H497" t="s">
        <v>1</v>
      </c>
    </row>
    <row r="498" spans="1:8" x14ac:dyDescent="0.3">
      <c r="A498" s="2">
        <v>44653</v>
      </c>
      <c r="B498" s="2" t="str">
        <f>TEXT(AutoPomodoro[[#This Row],[DATE]],"mmmm")</f>
        <v>April</v>
      </c>
      <c r="C498" s="2" t="str">
        <f>TEXT(AutoPomodoro[[#This Row],[DATE]],"yyyy")</f>
        <v>2022</v>
      </c>
      <c r="D498" s="8">
        <f>E497+$T$16</f>
        <v>0.66666666666666674</v>
      </c>
      <c r="E498" s="8">
        <f>D498+$T$15</f>
        <v>0.6840277777777779</v>
      </c>
      <c r="F498" s="3">
        <f>E498-D498</f>
        <v>1.736111111111116E-2</v>
      </c>
      <c r="G498" t="s">
        <v>16</v>
      </c>
      <c r="H498" t="s">
        <v>1</v>
      </c>
    </row>
    <row r="499" spans="1:8" x14ac:dyDescent="0.3">
      <c r="A499" s="2">
        <v>44653</v>
      </c>
      <c r="B499" s="2" t="str">
        <f>TEXT(AutoPomodoro[[#This Row],[DATE]],"mmmm")</f>
        <v>April</v>
      </c>
      <c r="C499" s="2" t="str">
        <f>TEXT(AutoPomodoro[[#This Row],[DATE]],"yyyy")</f>
        <v>2022</v>
      </c>
      <c r="D499" s="8">
        <f>E498+$T$17</f>
        <v>0.68888888888888899</v>
      </c>
      <c r="E499" s="8">
        <f>D499+$T$15</f>
        <v>0.70625000000000016</v>
      </c>
      <c r="F499" s="3">
        <f>E499-D499</f>
        <v>1.736111111111116E-2</v>
      </c>
      <c r="G499" t="s">
        <v>16</v>
      </c>
      <c r="H499" t="s">
        <v>1</v>
      </c>
    </row>
    <row r="500" spans="1:8" x14ac:dyDescent="0.3">
      <c r="A500" s="2">
        <v>44653</v>
      </c>
      <c r="B500" s="2" t="str">
        <f>TEXT(AutoPomodoro[[#This Row],[DATE]],"mmmm")</f>
        <v>April</v>
      </c>
      <c r="C500" s="2" t="str">
        <f>TEXT(AutoPomodoro[[#This Row],[DATE]],"yyyy")</f>
        <v>2022</v>
      </c>
      <c r="D500" s="8">
        <v>0.71111111111111114</v>
      </c>
      <c r="E500" s="8">
        <f>D500+$T$15</f>
        <v>0.7284722222222223</v>
      </c>
      <c r="F500" s="3">
        <v>2.2916666666666669E-2</v>
      </c>
      <c r="G500" t="s">
        <v>16</v>
      </c>
      <c r="H500" t="s">
        <v>1</v>
      </c>
    </row>
    <row r="501" spans="1:8" x14ac:dyDescent="0.3">
      <c r="A501" s="2">
        <v>44654</v>
      </c>
      <c r="B501" s="2" t="str">
        <f>TEXT(AutoPomodoro[[#This Row],[DATE]],"mmmm")</f>
        <v>April</v>
      </c>
      <c r="C501" s="2" t="str">
        <f>TEXT(AutoPomodoro[[#This Row],[DATE]],"yyyy")</f>
        <v>2022</v>
      </c>
      <c r="D501" s="8">
        <v>0.62777777777777777</v>
      </c>
      <c r="E501" s="8">
        <v>0.67708333333333337</v>
      </c>
      <c r="F501" s="3">
        <f t="shared" ref="F501:F522" si="36">E501-D501</f>
        <v>4.9305555555555602E-2</v>
      </c>
      <c r="G501" t="s">
        <v>16</v>
      </c>
      <c r="H501" t="s">
        <v>1</v>
      </c>
    </row>
    <row r="502" spans="1:8" x14ac:dyDescent="0.3">
      <c r="A502" s="2">
        <v>44654</v>
      </c>
      <c r="B502" s="2" t="str">
        <f>TEXT(AutoPomodoro[[#This Row],[DATE]],"mmmm")</f>
        <v>April</v>
      </c>
      <c r="C502" s="2" t="str">
        <f>TEXT(AutoPomodoro[[#This Row],[DATE]],"yyyy")</f>
        <v>2022</v>
      </c>
      <c r="D502" s="8">
        <v>0.68194444444444446</v>
      </c>
      <c r="E502" s="8">
        <v>0.73888888888888893</v>
      </c>
      <c r="F502" s="3">
        <f t="shared" si="36"/>
        <v>5.6944444444444464E-2</v>
      </c>
      <c r="G502" t="s">
        <v>16</v>
      </c>
      <c r="H502" t="s">
        <v>1</v>
      </c>
    </row>
    <row r="503" spans="1:8" x14ac:dyDescent="0.3">
      <c r="A503" s="2">
        <v>44655</v>
      </c>
      <c r="B503" s="2" t="str">
        <f>TEXT(AutoPomodoro[[#This Row],[DATE]],"mmmm")</f>
        <v>April</v>
      </c>
      <c r="C503" s="2" t="str">
        <f>TEXT(AutoPomodoro[[#This Row],[DATE]],"yyyy")</f>
        <v>2022</v>
      </c>
      <c r="D503" s="8">
        <v>0.60277777777777775</v>
      </c>
      <c r="E503" s="8">
        <v>0.61736111111111114</v>
      </c>
      <c r="F503" s="3">
        <f t="shared" si="36"/>
        <v>1.4583333333333393E-2</v>
      </c>
      <c r="G503" t="s">
        <v>16</v>
      </c>
      <c r="H503" t="s">
        <v>1</v>
      </c>
    </row>
    <row r="504" spans="1:8" x14ac:dyDescent="0.3">
      <c r="A504" s="2">
        <v>44655</v>
      </c>
      <c r="B504" s="2" t="str">
        <f>TEXT(AutoPomodoro[[#This Row],[DATE]],"mmmm")</f>
        <v>April</v>
      </c>
      <c r="C504" s="2" t="str">
        <f>TEXT(AutoPomodoro[[#This Row],[DATE]],"yyyy")</f>
        <v>2022</v>
      </c>
      <c r="D504" s="8">
        <v>0.625</v>
      </c>
      <c r="E504" s="8">
        <v>0.65138888888888891</v>
      </c>
      <c r="F504" s="3">
        <f t="shared" si="36"/>
        <v>2.6388888888888906E-2</v>
      </c>
      <c r="G504" t="s">
        <v>16</v>
      </c>
      <c r="H504" t="s">
        <v>1</v>
      </c>
    </row>
    <row r="505" spans="1:8" x14ac:dyDescent="0.3">
      <c r="A505" s="2">
        <v>44655</v>
      </c>
      <c r="B505" s="2" t="str">
        <f>TEXT(AutoPomodoro[[#This Row],[DATE]],"mmmm")</f>
        <v>April</v>
      </c>
      <c r="C505" s="2" t="str">
        <f>TEXT(AutoPomodoro[[#This Row],[DATE]],"yyyy")</f>
        <v>2022</v>
      </c>
      <c r="D505" s="8">
        <v>0.65486111111111112</v>
      </c>
      <c r="E505" s="8">
        <v>0.69305555555555554</v>
      </c>
      <c r="F505" s="3">
        <f t="shared" si="36"/>
        <v>3.819444444444442E-2</v>
      </c>
      <c r="G505" t="s">
        <v>16</v>
      </c>
      <c r="H505" t="s">
        <v>1</v>
      </c>
    </row>
    <row r="506" spans="1:8" x14ac:dyDescent="0.3">
      <c r="A506" s="2">
        <v>44655</v>
      </c>
      <c r="B506" s="2" t="str">
        <f>TEXT(AutoPomodoro[[#This Row],[DATE]],"mmmm")</f>
        <v>April</v>
      </c>
      <c r="C506" s="2" t="str">
        <f>TEXT(AutoPomodoro[[#This Row],[DATE]],"yyyy")</f>
        <v>2022</v>
      </c>
      <c r="D506" s="8">
        <v>0.70277777777777783</v>
      </c>
      <c r="E506" s="8">
        <v>0.70763888888888893</v>
      </c>
      <c r="F506" s="3">
        <f t="shared" si="36"/>
        <v>4.8611111111110938E-3</v>
      </c>
      <c r="G506" t="s">
        <v>16</v>
      </c>
      <c r="H506" t="s">
        <v>1</v>
      </c>
    </row>
    <row r="507" spans="1:8" x14ac:dyDescent="0.3">
      <c r="A507" s="2">
        <v>44655</v>
      </c>
      <c r="B507" s="2" t="str">
        <f>TEXT(AutoPomodoro[[#This Row],[DATE]],"mmmm")</f>
        <v>April</v>
      </c>
      <c r="C507" s="2" t="str">
        <f>TEXT(AutoPomodoro[[#This Row],[DATE]],"yyyy")</f>
        <v>2022</v>
      </c>
      <c r="D507" s="8">
        <v>0.99305555555555547</v>
      </c>
      <c r="E507" s="8">
        <f>D507+$T$15</f>
        <v>1.0104166666666665</v>
      </c>
      <c r="F507" s="3">
        <f t="shared" si="36"/>
        <v>1.7361111111111049E-2</v>
      </c>
      <c r="G507" t="s">
        <v>16</v>
      </c>
      <c r="H507" t="s">
        <v>1</v>
      </c>
    </row>
    <row r="508" spans="1:8" x14ac:dyDescent="0.3">
      <c r="A508" s="2">
        <v>44655</v>
      </c>
      <c r="B508" s="2" t="str">
        <f>TEXT(AutoPomodoro[[#This Row],[DATE]],"mmmm")</f>
        <v>April</v>
      </c>
      <c r="C508" s="2" t="str">
        <f>TEXT(AutoPomodoro[[#This Row],[DATE]],"yyyy")</f>
        <v>2022</v>
      </c>
      <c r="D508" s="8">
        <v>1.3888888888888888E-2</v>
      </c>
      <c r="E508" s="8">
        <f>D508+$T$15</f>
        <v>3.125E-2</v>
      </c>
      <c r="F508" s="3">
        <f t="shared" si="36"/>
        <v>1.7361111111111112E-2</v>
      </c>
      <c r="G508" t="s">
        <v>16</v>
      </c>
      <c r="H508" t="s">
        <v>1</v>
      </c>
    </row>
    <row r="509" spans="1:8" x14ac:dyDescent="0.3">
      <c r="A509" s="2">
        <v>44656</v>
      </c>
      <c r="B509" s="2" t="str">
        <f>TEXT(AutoPomodoro[[#This Row],[DATE]],"mmmm")</f>
        <v>April</v>
      </c>
      <c r="C509" s="2" t="str">
        <f>TEXT(AutoPomodoro[[#This Row],[DATE]],"yyyy")</f>
        <v>2022</v>
      </c>
      <c r="D509" s="8">
        <v>0.56111111111111112</v>
      </c>
      <c r="E509" s="8">
        <v>0.57986111111111105</v>
      </c>
      <c r="F509" s="3">
        <f t="shared" si="36"/>
        <v>1.8749999999999933E-2</v>
      </c>
      <c r="G509" t="s">
        <v>16</v>
      </c>
      <c r="H509" t="s">
        <v>1</v>
      </c>
    </row>
    <row r="510" spans="1:8" x14ac:dyDescent="0.3">
      <c r="A510" s="2">
        <v>44656</v>
      </c>
      <c r="B510" s="2" t="str">
        <f>TEXT(AutoPomodoro[[#This Row],[DATE]],"mmmm")</f>
        <v>April</v>
      </c>
      <c r="C510" s="2" t="str">
        <f>TEXT(AutoPomodoro[[#This Row],[DATE]],"yyyy")</f>
        <v>2022</v>
      </c>
      <c r="D510" s="8">
        <v>0.59027777777777779</v>
      </c>
      <c r="E510" s="8">
        <v>0.62777777777777777</v>
      </c>
      <c r="F510" s="3">
        <f t="shared" si="36"/>
        <v>3.7499999999999978E-2</v>
      </c>
      <c r="G510" t="s">
        <v>16</v>
      </c>
      <c r="H510" t="s">
        <v>1</v>
      </c>
    </row>
    <row r="511" spans="1:8" x14ac:dyDescent="0.3">
      <c r="A511" s="2">
        <v>44656</v>
      </c>
      <c r="B511" s="2" t="str">
        <f>TEXT(AutoPomodoro[[#This Row],[DATE]],"mmmm")</f>
        <v>April</v>
      </c>
      <c r="C511" s="2" t="str">
        <f>TEXT(AutoPomodoro[[#This Row],[DATE]],"yyyy")</f>
        <v>2022</v>
      </c>
      <c r="D511" s="8">
        <v>0.64097222222222217</v>
      </c>
      <c r="E511" s="8">
        <v>0.65972222222222221</v>
      </c>
      <c r="F511" s="3">
        <f t="shared" si="36"/>
        <v>1.8750000000000044E-2</v>
      </c>
      <c r="G511" t="s">
        <v>16</v>
      </c>
      <c r="H511" t="s">
        <v>1</v>
      </c>
    </row>
    <row r="512" spans="1:8" x14ac:dyDescent="0.3">
      <c r="A512" s="2">
        <v>44656</v>
      </c>
      <c r="B512" s="2" t="str">
        <f>TEXT(AutoPomodoro[[#This Row],[DATE]],"mmmm")</f>
        <v>April</v>
      </c>
      <c r="C512" s="2" t="str">
        <f>TEXT(AutoPomodoro[[#This Row],[DATE]],"yyyy")</f>
        <v>2022</v>
      </c>
      <c r="D512" s="8">
        <v>0.66736111111111107</v>
      </c>
      <c r="E512" s="8">
        <v>0.70277777777777783</v>
      </c>
      <c r="F512" s="3">
        <f t="shared" si="36"/>
        <v>3.5416666666666763E-2</v>
      </c>
      <c r="G512" t="s">
        <v>16</v>
      </c>
      <c r="H512" t="s">
        <v>1</v>
      </c>
    </row>
    <row r="513" spans="1:8" x14ac:dyDescent="0.3">
      <c r="A513" s="2">
        <v>44658</v>
      </c>
      <c r="B513" s="2" t="str">
        <f>TEXT(AutoPomodoro[[#This Row],[DATE]],"mmmm")</f>
        <v>April</v>
      </c>
      <c r="C513" s="2" t="str">
        <f>TEXT(AutoPomodoro[[#This Row],[DATE]],"yyyy")</f>
        <v>2022</v>
      </c>
      <c r="D513" s="8">
        <v>0.73611111111111116</v>
      </c>
      <c r="E513" s="8">
        <v>0.76736111111111116</v>
      </c>
      <c r="F513" s="3">
        <f t="shared" si="36"/>
        <v>3.125E-2</v>
      </c>
      <c r="G513" t="s">
        <v>17</v>
      </c>
      <c r="H513" t="s">
        <v>1</v>
      </c>
    </row>
    <row r="514" spans="1:8" x14ac:dyDescent="0.3">
      <c r="A514" s="2">
        <v>44659</v>
      </c>
      <c r="B514" s="2" t="str">
        <f>TEXT(AutoPomodoro[[#This Row],[DATE]],"mmmm")</f>
        <v>April</v>
      </c>
      <c r="C514" s="2" t="str">
        <f>TEXT(AutoPomodoro[[#This Row],[DATE]],"yyyy")</f>
        <v>2022</v>
      </c>
      <c r="D514" s="8">
        <v>0.59583333333333333</v>
      </c>
      <c r="E514" s="8">
        <v>0.62152777777777779</v>
      </c>
      <c r="F514" s="3">
        <f t="shared" si="36"/>
        <v>2.5694444444444464E-2</v>
      </c>
      <c r="G514" t="s">
        <v>16</v>
      </c>
      <c r="H514" t="s">
        <v>1</v>
      </c>
    </row>
    <row r="515" spans="1:8" x14ac:dyDescent="0.3">
      <c r="A515" s="2">
        <v>44659</v>
      </c>
      <c r="B515" s="2" t="str">
        <f>TEXT(AutoPomodoro[[#This Row],[DATE]],"mmmm")</f>
        <v>April</v>
      </c>
      <c r="C515" s="2" t="str">
        <f>TEXT(AutoPomodoro[[#This Row],[DATE]],"yyyy")</f>
        <v>2022</v>
      </c>
      <c r="D515" s="8">
        <v>0.64861111111111114</v>
      </c>
      <c r="E515" s="8">
        <v>0.6645833333333333</v>
      </c>
      <c r="F515" s="3">
        <f t="shared" si="36"/>
        <v>1.5972222222222165E-2</v>
      </c>
      <c r="G515" t="s">
        <v>16</v>
      </c>
      <c r="H515" t="s">
        <v>1</v>
      </c>
    </row>
    <row r="516" spans="1:8" x14ac:dyDescent="0.3">
      <c r="A516" s="2">
        <v>44659</v>
      </c>
      <c r="B516" s="2" t="str">
        <f>TEXT(AutoPomodoro[[#This Row],[DATE]],"mmmm")</f>
        <v>April</v>
      </c>
      <c r="C516" s="2" t="str">
        <f>TEXT(AutoPomodoro[[#This Row],[DATE]],"yyyy")</f>
        <v>2022</v>
      </c>
      <c r="D516" s="8">
        <v>0.67291666666666661</v>
      </c>
      <c r="E516" s="8">
        <v>0.70277777777777783</v>
      </c>
      <c r="F516" s="3">
        <f t="shared" si="36"/>
        <v>2.9861111111111227E-2</v>
      </c>
      <c r="G516" t="s">
        <v>16</v>
      </c>
      <c r="H516" t="s">
        <v>1</v>
      </c>
    </row>
    <row r="517" spans="1:8" x14ac:dyDescent="0.3">
      <c r="A517" s="2">
        <v>44659</v>
      </c>
      <c r="B517" s="2" t="str">
        <f>TEXT(AutoPomodoro[[#This Row],[DATE]],"mmmm")</f>
        <v>April</v>
      </c>
      <c r="C517" s="2" t="str">
        <f>TEXT(AutoPomodoro[[#This Row],[DATE]],"yyyy")</f>
        <v>2022</v>
      </c>
      <c r="D517" s="8">
        <v>0.73333333333333339</v>
      </c>
      <c r="E517" s="8">
        <v>0.74236111111111114</v>
      </c>
      <c r="F517" s="3">
        <f t="shared" si="36"/>
        <v>9.0277777777777457E-3</v>
      </c>
      <c r="G517" t="s">
        <v>16</v>
      </c>
      <c r="H517" t="s">
        <v>1</v>
      </c>
    </row>
    <row r="518" spans="1:8" x14ac:dyDescent="0.3">
      <c r="A518" s="2">
        <v>44662</v>
      </c>
      <c r="B518" s="2" t="str">
        <f>TEXT(AutoPomodoro[[#This Row],[DATE]],"mmmm")</f>
        <v>April</v>
      </c>
      <c r="C518" s="2" t="str">
        <f>TEXT(AutoPomodoro[[#This Row],[DATE]],"yyyy")</f>
        <v>2022</v>
      </c>
      <c r="D518" s="8">
        <v>0.625</v>
      </c>
      <c r="E518" s="8">
        <f>D518+$T$15</f>
        <v>0.64236111111111116</v>
      </c>
      <c r="F518" s="3">
        <f t="shared" si="36"/>
        <v>1.736111111111116E-2</v>
      </c>
      <c r="G518" t="s">
        <v>17</v>
      </c>
      <c r="H518" t="s">
        <v>1</v>
      </c>
    </row>
    <row r="519" spans="1:8" x14ac:dyDescent="0.3">
      <c r="A519" s="2">
        <v>44662</v>
      </c>
      <c r="B519" s="2" t="str">
        <f>TEXT(AutoPomodoro[[#This Row],[DATE]],"mmmm")</f>
        <v>April</v>
      </c>
      <c r="C519" s="2" t="str">
        <f>TEXT(AutoPomodoro[[#This Row],[DATE]],"yyyy")</f>
        <v>2022</v>
      </c>
      <c r="D519" s="8">
        <f>E518+$T$16</f>
        <v>0.64583333333333337</v>
      </c>
      <c r="E519" s="8">
        <v>0.67013888888888884</v>
      </c>
      <c r="F519" s="3">
        <f t="shared" si="36"/>
        <v>2.4305555555555469E-2</v>
      </c>
      <c r="G519" t="s">
        <v>16</v>
      </c>
      <c r="H519" t="s">
        <v>1</v>
      </c>
    </row>
    <row r="520" spans="1:8" x14ac:dyDescent="0.3">
      <c r="A520" s="2">
        <v>44663</v>
      </c>
      <c r="B520" s="2" t="str">
        <f>TEXT(AutoPomodoro[[#This Row],[DATE]],"mmmm")</f>
        <v>April</v>
      </c>
      <c r="C520" s="2" t="str">
        <f>TEXT(AutoPomodoro[[#This Row],[DATE]],"yyyy")</f>
        <v>2022</v>
      </c>
      <c r="D520" s="8">
        <v>0.64583333333333337</v>
      </c>
      <c r="E520" s="8">
        <f>D520+$T$15</f>
        <v>0.66319444444444453</v>
      </c>
      <c r="F520" s="3">
        <f t="shared" si="36"/>
        <v>1.736111111111116E-2</v>
      </c>
      <c r="G520" t="s">
        <v>16</v>
      </c>
      <c r="H520" t="s">
        <v>1</v>
      </c>
    </row>
    <row r="521" spans="1:8" x14ac:dyDescent="0.3">
      <c r="A521" s="2">
        <v>44663</v>
      </c>
      <c r="B521" s="2" t="str">
        <f>TEXT(AutoPomodoro[[#This Row],[DATE]],"mmmm")</f>
        <v>April</v>
      </c>
      <c r="C521" s="2" t="str">
        <f>TEXT(AutoPomodoro[[#This Row],[DATE]],"yyyy")</f>
        <v>2022</v>
      </c>
      <c r="D521" s="8">
        <f>E520+$T$16</f>
        <v>0.66666666666666674</v>
      </c>
      <c r="E521" s="8">
        <f>D521+$T$15</f>
        <v>0.6840277777777779</v>
      </c>
      <c r="F521" s="3">
        <f t="shared" si="36"/>
        <v>1.736111111111116E-2</v>
      </c>
      <c r="G521" t="s">
        <v>16</v>
      </c>
      <c r="H521" t="s">
        <v>1</v>
      </c>
    </row>
    <row r="522" spans="1:8" x14ac:dyDescent="0.3">
      <c r="A522" s="2">
        <v>44663</v>
      </c>
      <c r="B522" s="2" t="str">
        <f>TEXT(AutoPomodoro[[#This Row],[DATE]],"mmmm")</f>
        <v>April</v>
      </c>
      <c r="C522" s="2" t="str">
        <f>TEXT(AutoPomodoro[[#This Row],[DATE]],"yyyy")</f>
        <v>2022</v>
      </c>
      <c r="D522" s="8">
        <f>E521+$T$16</f>
        <v>0.68750000000000011</v>
      </c>
      <c r="E522" s="8">
        <f>D522+$T$15</f>
        <v>0.70486111111111127</v>
      </c>
      <c r="F522" s="3">
        <f t="shared" si="36"/>
        <v>1.736111111111116E-2</v>
      </c>
      <c r="G522" t="s">
        <v>16</v>
      </c>
      <c r="H522" t="s">
        <v>1</v>
      </c>
    </row>
    <row r="523" spans="1:8" x14ac:dyDescent="0.3">
      <c r="A523" s="2">
        <v>44663</v>
      </c>
      <c r="B523" s="2" t="str">
        <f>TEXT(AutoPomodoro[[#This Row],[DATE]],"mmmm")</f>
        <v>April</v>
      </c>
      <c r="C523" s="2" t="str">
        <f>TEXT(AutoPomodoro[[#This Row],[DATE]],"yyyy")</f>
        <v>2022</v>
      </c>
      <c r="D523" s="8">
        <f>E522+$T$17</f>
        <v>0.70972222222222237</v>
      </c>
      <c r="E523" s="8">
        <f>D523+$T$15</f>
        <v>0.72708333333333353</v>
      </c>
      <c r="F523" s="3">
        <v>1.8055555555555557E-2</v>
      </c>
      <c r="G523" t="s">
        <v>16</v>
      </c>
      <c r="H523" t="s">
        <v>1</v>
      </c>
    </row>
    <row r="524" spans="1:8" x14ac:dyDescent="0.3">
      <c r="A524" s="2">
        <v>44663</v>
      </c>
      <c r="B524" s="2" t="str">
        <f>TEXT(AutoPomodoro[[#This Row],[DATE]],"mmmm")</f>
        <v>April</v>
      </c>
      <c r="C524" s="2" t="str">
        <f>TEXT(AutoPomodoro[[#This Row],[DATE]],"yyyy")</f>
        <v>2022</v>
      </c>
      <c r="D524" s="8">
        <v>0.7270833333333333</v>
      </c>
      <c r="E524" s="8">
        <v>0.75</v>
      </c>
      <c r="F524" s="3">
        <f>E524-D524</f>
        <v>2.2916666666666696E-2</v>
      </c>
      <c r="G524" t="s">
        <v>21</v>
      </c>
      <c r="H524" t="s">
        <v>1</v>
      </c>
    </row>
    <row r="525" spans="1:8" x14ac:dyDescent="0.3">
      <c r="A525" s="2">
        <v>44663</v>
      </c>
      <c r="B525" s="2" t="str">
        <f>TEXT(AutoPomodoro[[#This Row],[DATE]],"mmmm")</f>
        <v>April</v>
      </c>
      <c r="C525" s="2" t="str">
        <f>TEXT(AutoPomodoro[[#This Row],[DATE]],"yyyy")</f>
        <v>2022</v>
      </c>
      <c r="D525" s="8">
        <v>0.75</v>
      </c>
      <c r="E525" s="8">
        <f>D525+$T$15</f>
        <v>0.76736111111111116</v>
      </c>
      <c r="F525" s="3">
        <f>E525-D525</f>
        <v>1.736111111111116E-2</v>
      </c>
      <c r="G525" t="s">
        <v>16</v>
      </c>
      <c r="H525" t="s">
        <v>1</v>
      </c>
    </row>
    <row r="526" spans="1:8" x14ac:dyDescent="0.3">
      <c r="A526" s="2">
        <v>44663</v>
      </c>
      <c r="B526" s="2" t="str">
        <f>TEXT(AutoPomodoro[[#This Row],[DATE]],"mmmm")</f>
        <v>April</v>
      </c>
      <c r="C526" s="2" t="str">
        <f>TEXT(AutoPomodoro[[#This Row],[DATE]],"yyyy")</f>
        <v>2022</v>
      </c>
      <c r="D526" s="8">
        <f>E525+$T$16</f>
        <v>0.77083333333333337</v>
      </c>
      <c r="E526" s="8">
        <f>D526+$T$15</f>
        <v>0.78819444444444453</v>
      </c>
      <c r="F526" s="3">
        <f>E526-D526</f>
        <v>1.736111111111116E-2</v>
      </c>
      <c r="G526" t="s">
        <v>16</v>
      </c>
      <c r="H526" t="s">
        <v>1</v>
      </c>
    </row>
    <row r="527" spans="1:8" x14ac:dyDescent="0.3">
      <c r="A527" s="2">
        <v>44663</v>
      </c>
      <c r="B527" s="2" t="str">
        <f>TEXT(AutoPomodoro[[#This Row],[DATE]],"mmmm")</f>
        <v>April</v>
      </c>
      <c r="C527" s="2" t="str">
        <f>TEXT(AutoPomodoro[[#This Row],[DATE]],"yyyy")</f>
        <v>2022</v>
      </c>
      <c r="D527" s="8">
        <f>E526+$T$16</f>
        <v>0.79166666666666674</v>
      </c>
      <c r="E527" s="8">
        <f>D527+$T$15</f>
        <v>0.8090277777777779</v>
      </c>
      <c r="F527" s="3">
        <f>E527-D527</f>
        <v>1.736111111111116E-2</v>
      </c>
      <c r="G527" t="s">
        <v>16</v>
      </c>
      <c r="H527" t="s">
        <v>1</v>
      </c>
    </row>
    <row r="528" spans="1:8" x14ac:dyDescent="0.3">
      <c r="A528" s="2">
        <v>44663</v>
      </c>
      <c r="B528" s="2" t="str">
        <f>TEXT(AutoPomodoro[[#This Row],[DATE]],"mmmm")</f>
        <v>April</v>
      </c>
      <c r="C528" s="2" t="str">
        <f>TEXT(AutoPomodoro[[#This Row],[DATE]],"yyyy")</f>
        <v>2022</v>
      </c>
      <c r="D528" s="8">
        <f>E527+$T$17</f>
        <v>0.81388888888888899</v>
      </c>
      <c r="E528" s="8">
        <f>D528+$T$15</f>
        <v>0.83125000000000016</v>
      </c>
      <c r="F528" s="3">
        <f>E528-D528</f>
        <v>1.736111111111116E-2</v>
      </c>
      <c r="G528" t="s">
        <v>16</v>
      </c>
      <c r="H528" t="s">
        <v>1</v>
      </c>
    </row>
    <row r="529" spans="1:8" x14ac:dyDescent="0.3">
      <c r="A529" s="2">
        <v>44663</v>
      </c>
      <c r="B529" s="2" t="str">
        <f>TEXT(AutoPomodoro[[#This Row],[DATE]],"mmmm")</f>
        <v>April</v>
      </c>
      <c r="C529" s="2" t="str">
        <f>TEXT(AutoPomodoro[[#This Row],[DATE]],"yyyy")</f>
        <v>2022</v>
      </c>
      <c r="D529" s="8">
        <v>0.83124999999999993</v>
      </c>
      <c r="E529" s="8">
        <v>0.875</v>
      </c>
      <c r="F529" s="3">
        <v>5.4166666666666669E-2</v>
      </c>
      <c r="G529" t="s">
        <v>21</v>
      </c>
      <c r="H529" t="s">
        <v>1</v>
      </c>
    </row>
    <row r="530" spans="1:8" x14ac:dyDescent="0.3">
      <c r="A530" s="2">
        <v>44663</v>
      </c>
      <c r="B530" s="2" t="str">
        <f>TEXT(AutoPomodoro[[#This Row],[DATE]],"mmmm")</f>
        <v>April</v>
      </c>
      <c r="C530" s="2" t="str">
        <f>TEXT(AutoPomodoro[[#This Row],[DATE]],"yyyy")</f>
        <v>2022</v>
      </c>
      <c r="D530" s="8">
        <v>0.89027777777777783</v>
      </c>
      <c r="E530" s="8">
        <f>D530+$T$15</f>
        <v>0.90763888888888899</v>
      </c>
      <c r="F530" s="3">
        <f>E530-D530</f>
        <v>1.736111111111116E-2</v>
      </c>
      <c r="G530" t="s">
        <v>16</v>
      </c>
      <c r="H530" t="s">
        <v>1</v>
      </c>
    </row>
    <row r="531" spans="1:8" x14ac:dyDescent="0.3">
      <c r="A531" s="2">
        <v>44663</v>
      </c>
      <c r="B531" s="2" t="str">
        <f>TEXT(AutoPomodoro[[#This Row],[DATE]],"mmmm")</f>
        <v>April</v>
      </c>
      <c r="C531" s="2" t="str">
        <f>TEXT(AutoPomodoro[[#This Row],[DATE]],"yyyy")</f>
        <v>2022</v>
      </c>
      <c r="D531" s="8">
        <v>0.91111111111111109</v>
      </c>
      <c r="E531" s="8">
        <f>D531+$T$15</f>
        <v>0.92847222222222225</v>
      </c>
      <c r="F531" s="3">
        <f>E531-D531</f>
        <v>1.736111111111116E-2</v>
      </c>
      <c r="G531" t="s">
        <v>16</v>
      </c>
      <c r="H531" t="s">
        <v>1</v>
      </c>
    </row>
    <row r="532" spans="1:8" x14ac:dyDescent="0.3">
      <c r="A532" s="2">
        <v>44663</v>
      </c>
      <c r="B532" s="2" t="str">
        <f>TEXT(AutoPomodoro[[#This Row],[DATE]],"mmmm")</f>
        <v>April</v>
      </c>
      <c r="C532" s="2" t="str">
        <f>TEXT(AutoPomodoro[[#This Row],[DATE]],"yyyy")</f>
        <v>2022</v>
      </c>
      <c r="D532" s="8">
        <v>0.93194444444444446</v>
      </c>
      <c r="E532" s="8">
        <f>D532+$T$15</f>
        <v>0.94930555555555562</v>
      </c>
      <c r="F532" s="3">
        <v>1.9444444444444445E-2</v>
      </c>
      <c r="G532" t="s">
        <v>16</v>
      </c>
      <c r="H532" t="s">
        <v>1</v>
      </c>
    </row>
    <row r="533" spans="1:8" x14ac:dyDescent="0.3">
      <c r="A533" s="2">
        <v>44664</v>
      </c>
      <c r="B533" s="2" t="str">
        <f>TEXT(AutoPomodoro[[#This Row],[DATE]],"mmmm")</f>
        <v>April</v>
      </c>
      <c r="C533" s="2" t="str">
        <f>TEXT(AutoPomodoro[[#This Row],[DATE]],"yyyy")</f>
        <v>2022</v>
      </c>
      <c r="D533" s="8">
        <v>0.59097222222222223</v>
      </c>
      <c r="E533" s="8">
        <v>0.62708333333333333</v>
      </c>
      <c r="F533" s="3">
        <f t="shared" ref="F533:F538" si="37">E533-D533</f>
        <v>3.6111111111111094E-2</v>
      </c>
      <c r="G533" t="s">
        <v>16</v>
      </c>
      <c r="H533" t="s">
        <v>1</v>
      </c>
    </row>
    <row r="534" spans="1:8" x14ac:dyDescent="0.3">
      <c r="A534" s="2">
        <v>44664</v>
      </c>
      <c r="B534" s="2" t="str">
        <f>TEXT(AutoPomodoro[[#This Row],[DATE]],"mmmm")</f>
        <v>April</v>
      </c>
      <c r="C534" s="2" t="str">
        <f>TEXT(AutoPomodoro[[#This Row],[DATE]],"yyyy")</f>
        <v>2022</v>
      </c>
      <c r="D534" s="8">
        <v>0.63611111111111118</v>
      </c>
      <c r="E534" s="8">
        <v>0.69166666666666676</v>
      </c>
      <c r="F534" s="3">
        <f t="shared" si="37"/>
        <v>5.555555555555558E-2</v>
      </c>
      <c r="G534" t="s">
        <v>16</v>
      </c>
      <c r="H534" t="s">
        <v>1</v>
      </c>
    </row>
    <row r="535" spans="1:8" x14ac:dyDescent="0.3">
      <c r="A535" s="2">
        <v>44664</v>
      </c>
      <c r="B535" s="2" t="str">
        <f>TEXT(AutoPomodoro[[#This Row],[DATE]],"mmmm")</f>
        <v>April</v>
      </c>
      <c r="C535" s="2" t="str">
        <f>TEXT(AutoPomodoro[[#This Row],[DATE]],"yyyy")</f>
        <v>2022</v>
      </c>
      <c r="D535" s="8">
        <v>0.7055555555555556</v>
      </c>
      <c r="E535" s="8">
        <v>0.73125000000000007</v>
      </c>
      <c r="F535" s="3">
        <f t="shared" si="37"/>
        <v>2.5694444444444464E-2</v>
      </c>
      <c r="G535" t="s">
        <v>16</v>
      </c>
      <c r="H535" t="s">
        <v>1</v>
      </c>
    </row>
    <row r="536" spans="1:8" x14ac:dyDescent="0.3">
      <c r="A536" s="2">
        <v>44664</v>
      </c>
      <c r="B536" s="2" t="str">
        <f>TEXT(AutoPomodoro[[#This Row],[DATE]],"mmmm")</f>
        <v>April</v>
      </c>
      <c r="C536" s="2" t="str">
        <f>TEXT(AutoPomodoro[[#This Row],[DATE]],"yyyy")</f>
        <v>2022</v>
      </c>
      <c r="D536" s="8">
        <v>0.74444444444444446</v>
      </c>
      <c r="E536" s="8">
        <v>0.76597222222222217</v>
      </c>
      <c r="F536" s="3">
        <f t="shared" si="37"/>
        <v>2.1527777777777701E-2</v>
      </c>
      <c r="G536" t="s">
        <v>16</v>
      </c>
      <c r="H536" t="s">
        <v>1</v>
      </c>
    </row>
    <row r="537" spans="1:8" x14ac:dyDescent="0.3">
      <c r="A537" s="2">
        <v>44664</v>
      </c>
      <c r="B537" s="2" t="str">
        <f>TEXT(AutoPomodoro[[#This Row],[DATE]],"mmmm")</f>
        <v>April</v>
      </c>
      <c r="C537" s="2" t="str">
        <f>TEXT(AutoPomodoro[[#This Row],[DATE]],"yyyy")</f>
        <v>2022</v>
      </c>
      <c r="D537" s="8">
        <v>0.76666666666666661</v>
      </c>
      <c r="E537" s="8">
        <f>D537+$T$15</f>
        <v>0.78402777777777777</v>
      </c>
      <c r="F537" s="3">
        <f t="shared" si="37"/>
        <v>1.736111111111116E-2</v>
      </c>
      <c r="G537" t="s">
        <v>17</v>
      </c>
      <c r="H537" t="s">
        <v>1</v>
      </c>
    </row>
    <row r="538" spans="1:8" x14ac:dyDescent="0.3">
      <c r="A538" s="2">
        <v>44665</v>
      </c>
      <c r="B538" s="2" t="str">
        <f>TEXT(AutoPomodoro[[#This Row],[DATE]],"mmmm")</f>
        <v>April</v>
      </c>
      <c r="C538" s="2" t="str">
        <f>TEXT(AutoPomodoro[[#This Row],[DATE]],"yyyy")</f>
        <v>2022</v>
      </c>
      <c r="D538" s="8">
        <v>0.67361111111111116</v>
      </c>
      <c r="E538" s="8">
        <f>D538+$T$15</f>
        <v>0.69097222222222232</v>
      </c>
      <c r="F538" s="3">
        <f t="shared" si="37"/>
        <v>1.736111111111116E-2</v>
      </c>
      <c r="G538" t="s">
        <v>16</v>
      </c>
      <c r="H538" t="s">
        <v>1</v>
      </c>
    </row>
    <row r="539" spans="1:8" x14ac:dyDescent="0.3">
      <c r="A539" s="2">
        <v>44665</v>
      </c>
      <c r="B539" s="2" t="str">
        <f>TEXT(AutoPomodoro[[#This Row],[DATE]],"mmmm")</f>
        <v>April</v>
      </c>
      <c r="C539" s="2" t="str">
        <f>TEXT(AutoPomodoro[[#This Row],[DATE]],"yyyy")</f>
        <v>2022</v>
      </c>
      <c r="D539" s="8">
        <f>E538+$T$16</f>
        <v>0.69444444444444453</v>
      </c>
      <c r="E539" s="8">
        <v>0.71875</v>
      </c>
      <c r="F539" s="3">
        <v>3.0555555555555555E-2</v>
      </c>
      <c r="G539" t="s">
        <v>16</v>
      </c>
      <c r="H539" t="s">
        <v>1</v>
      </c>
    </row>
    <row r="540" spans="1:8" x14ac:dyDescent="0.3">
      <c r="A540" s="2">
        <v>44665</v>
      </c>
      <c r="B540" s="2" t="str">
        <f>TEXT(AutoPomodoro[[#This Row],[DATE]],"mmmm")</f>
        <v>April</v>
      </c>
      <c r="C540" s="2" t="str">
        <f>TEXT(AutoPomodoro[[#This Row],[DATE]],"yyyy")</f>
        <v>2022</v>
      </c>
      <c r="D540" s="8">
        <v>0.71875</v>
      </c>
      <c r="E540" s="8">
        <v>0.75347222222222221</v>
      </c>
      <c r="F540" s="3">
        <v>2.8472222222222222E-2</v>
      </c>
      <c r="G540" t="s">
        <v>21</v>
      </c>
      <c r="H540" t="s">
        <v>1</v>
      </c>
    </row>
    <row r="541" spans="1:8" x14ac:dyDescent="0.3">
      <c r="A541" s="2">
        <v>44665</v>
      </c>
      <c r="B541" s="2" t="str">
        <f>TEXT(AutoPomodoro[[#This Row],[DATE]],"mmmm")</f>
        <v>April</v>
      </c>
      <c r="C541" s="2" t="str">
        <f>TEXT(AutoPomodoro[[#This Row],[DATE]],"yyyy")</f>
        <v>2022</v>
      </c>
      <c r="D541" s="8">
        <v>0.75347222222222221</v>
      </c>
      <c r="E541" s="8">
        <v>0.77083333333333337</v>
      </c>
      <c r="F541" s="3">
        <f>E541-D541</f>
        <v>1.736111111111116E-2</v>
      </c>
      <c r="G541" t="s">
        <v>16</v>
      </c>
      <c r="H541" t="s">
        <v>1</v>
      </c>
    </row>
    <row r="542" spans="1:8" x14ac:dyDescent="0.3">
      <c r="A542" s="2">
        <v>44665</v>
      </c>
      <c r="B542" s="2" t="str">
        <f>TEXT(AutoPomodoro[[#This Row],[DATE]],"mmmm")</f>
        <v>April</v>
      </c>
      <c r="C542" s="2" t="str">
        <f>TEXT(AutoPomodoro[[#This Row],[DATE]],"yyyy")</f>
        <v>2022</v>
      </c>
      <c r="D542" s="8">
        <v>0.77430555555555547</v>
      </c>
      <c r="E542" s="8">
        <v>0.79166666666666663</v>
      </c>
      <c r="F542" s="3">
        <v>2.013888888888889E-2</v>
      </c>
      <c r="G542" t="s">
        <v>16</v>
      </c>
      <c r="H542" t="s">
        <v>1</v>
      </c>
    </row>
    <row r="543" spans="1:8" x14ac:dyDescent="0.3">
      <c r="A543" s="2">
        <v>44666</v>
      </c>
      <c r="B543" s="2" t="str">
        <f>TEXT(AutoPomodoro[[#This Row],[DATE]],"mmmm")</f>
        <v>April</v>
      </c>
      <c r="C543" s="2" t="str">
        <f>TEXT(AutoPomodoro[[#This Row],[DATE]],"yyyy")</f>
        <v>2022</v>
      </c>
      <c r="D543" s="8">
        <v>0.65625</v>
      </c>
      <c r="E543" s="8">
        <f t="shared" ref="E543:E550" si="38">D543+$T$15</f>
        <v>0.67361111111111116</v>
      </c>
      <c r="F543" s="3">
        <f>E543-D543</f>
        <v>1.736111111111116E-2</v>
      </c>
      <c r="G543" t="s">
        <v>16</v>
      </c>
      <c r="H543" t="s">
        <v>1</v>
      </c>
    </row>
    <row r="544" spans="1:8" x14ac:dyDescent="0.3">
      <c r="A544" s="2">
        <v>44666</v>
      </c>
      <c r="B544" s="2" t="str">
        <f>TEXT(AutoPomodoro[[#This Row],[DATE]],"mmmm")</f>
        <v>April</v>
      </c>
      <c r="C544" s="2" t="str">
        <f>TEXT(AutoPomodoro[[#This Row],[DATE]],"yyyy")</f>
        <v>2022</v>
      </c>
      <c r="D544" s="8">
        <f>E543+$T$16</f>
        <v>0.67708333333333337</v>
      </c>
      <c r="E544" s="8">
        <f t="shared" si="38"/>
        <v>0.69444444444444453</v>
      </c>
      <c r="F544" s="3">
        <f>E544-D544</f>
        <v>1.736111111111116E-2</v>
      </c>
      <c r="G544" t="s">
        <v>16</v>
      </c>
      <c r="H544" t="s">
        <v>1</v>
      </c>
    </row>
    <row r="545" spans="1:8" x14ac:dyDescent="0.3">
      <c r="A545" s="2">
        <v>44666</v>
      </c>
      <c r="B545" s="2" t="str">
        <f>TEXT(AutoPomodoro[[#This Row],[DATE]],"mmmm")</f>
        <v>April</v>
      </c>
      <c r="C545" s="2" t="str">
        <f>TEXT(AutoPomodoro[[#This Row],[DATE]],"yyyy")</f>
        <v>2022</v>
      </c>
      <c r="D545" s="8">
        <f>E544+$T$16</f>
        <v>0.69791666666666674</v>
      </c>
      <c r="E545" s="8">
        <f t="shared" si="38"/>
        <v>0.7152777777777779</v>
      </c>
      <c r="F545" s="3">
        <f>E545-D545</f>
        <v>1.736111111111116E-2</v>
      </c>
      <c r="G545" t="s">
        <v>16</v>
      </c>
      <c r="H545" t="s">
        <v>1</v>
      </c>
    </row>
    <row r="546" spans="1:8" x14ac:dyDescent="0.3">
      <c r="A546" s="2">
        <v>44666</v>
      </c>
      <c r="B546" s="2" t="str">
        <f>TEXT(AutoPomodoro[[#This Row],[DATE]],"mmmm")</f>
        <v>April</v>
      </c>
      <c r="C546" s="2" t="str">
        <f>TEXT(AutoPomodoro[[#This Row],[DATE]],"yyyy")</f>
        <v>2022</v>
      </c>
      <c r="D546" s="8">
        <f>E545+$T$17</f>
        <v>0.72013888888888899</v>
      </c>
      <c r="E546" s="8">
        <f t="shared" si="38"/>
        <v>0.73750000000000016</v>
      </c>
      <c r="F546" s="3">
        <v>3.6805555555555557E-2</v>
      </c>
      <c r="G546" t="s">
        <v>16</v>
      </c>
      <c r="H546" t="s">
        <v>1</v>
      </c>
    </row>
    <row r="547" spans="1:8" x14ac:dyDescent="0.3">
      <c r="A547" s="2">
        <v>44667</v>
      </c>
      <c r="B547" s="2" t="str">
        <f>TEXT(AutoPomodoro[[#This Row],[DATE]],"mmmm")</f>
        <v>April</v>
      </c>
      <c r="C547" s="2" t="str">
        <f>TEXT(AutoPomodoro[[#This Row],[DATE]],"yyyy")</f>
        <v>2022</v>
      </c>
      <c r="D547" s="8">
        <v>0.81597222222222221</v>
      </c>
      <c r="E547" s="8">
        <f t="shared" si="38"/>
        <v>0.83333333333333337</v>
      </c>
      <c r="F547" s="3">
        <v>2.7083333333333334E-2</v>
      </c>
      <c r="G547" t="s">
        <v>16</v>
      </c>
      <c r="H547" t="s">
        <v>1</v>
      </c>
    </row>
    <row r="548" spans="1:8" x14ac:dyDescent="0.3">
      <c r="A548" s="2">
        <v>44667</v>
      </c>
      <c r="B548" s="2" t="str">
        <f>TEXT(AutoPomodoro[[#This Row],[DATE]],"mmmm")</f>
        <v>April</v>
      </c>
      <c r="C548" s="2" t="str">
        <f>TEXT(AutoPomodoro[[#This Row],[DATE]],"yyyy")</f>
        <v>2022</v>
      </c>
      <c r="D548" s="8">
        <f>E547+$T$16</f>
        <v>0.83680555555555558</v>
      </c>
      <c r="E548" s="8">
        <f t="shared" si="38"/>
        <v>0.85416666666666674</v>
      </c>
      <c r="F548" s="3">
        <f>E548-D548</f>
        <v>1.736111111111116E-2</v>
      </c>
      <c r="G548" t="s">
        <v>16</v>
      </c>
      <c r="H548" t="s">
        <v>1</v>
      </c>
    </row>
    <row r="549" spans="1:8" x14ac:dyDescent="0.3">
      <c r="A549" s="2">
        <v>44667</v>
      </c>
      <c r="B549" s="2" t="str">
        <f>TEXT(AutoPomodoro[[#This Row],[DATE]],"mmmm")</f>
        <v>April</v>
      </c>
      <c r="C549" s="2" t="str">
        <f>TEXT(AutoPomodoro[[#This Row],[DATE]],"yyyy")</f>
        <v>2022</v>
      </c>
      <c r="D549" s="8">
        <f>E548+$T$16</f>
        <v>0.85763888888888895</v>
      </c>
      <c r="E549" s="8">
        <f t="shared" si="38"/>
        <v>0.87500000000000011</v>
      </c>
      <c r="F549" s="3">
        <v>1.1805555555555555E-2</v>
      </c>
      <c r="G549" t="s">
        <v>16</v>
      </c>
      <c r="H549" t="s">
        <v>1</v>
      </c>
    </row>
    <row r="550" spans="1:8" x14ac:dyDescent="0.3">
      <c r="A550" s="2">
        <v>44668</v>
      </c>
      <c r="B550" s="2" t="str">
        <f>TEXT(AutoPomodoro[[#This Row],[DATE]],"mmmm")</f>
        <v>April</v>
      </c>
      <c r="C550" s="2" t="str">
        <f>TEXT(AutoPomodoro[[#This Row],[DATE]],"yyyy")</f>
        <v>2022</v>
      </c>
      <c r="D550" s="8">
        <v>0.66666666666666663</v>
      </c>
      <c r="E550" s="8">
        <f t="shared" si="38"/>
        <v>0.68402777777777779</v>
      </c>
      <c r="F550" s="3">
        <f t="shared" ref="F550:F557" si="39">E550-D550</f>
        <v>1.736111111111116E-2</v>
      </c>
      <c r="G550" t="s">
        <v>16</v>
      </c>
      <c r="H550" t="s">
        <v>1</v>
      </c>
    </row>
    <row r="551" spans="1:8" x14ac:dyDescent="0.3">
      <c r="A551" s="2">
        <v>44668</v>
      </c>
      <c r="B551" s="2" t="str">
        <f>TEXT(AutoPomodoro[[#This Row],[DATE]],"mmmm")</f>
        <v>April</v>
      </c>
      <c r="C551" s="2" t="str">
        <f>TEXT(AutoPomodoro[[#This Row],[DATE]],"yyyy")</f>
        <v>2022</v>
      </c>
      <c r="D551" s="8">
        <f>E550+$T$16</f>
        <v>0.6875</v>
      </c>
      <c r="E551" s="8">
        <v>0.71319444444444446</v>
      </c>
      <c r="F551" s="3">
        <f t="shared" si="39"/>
        <v>2.5694444444444464E-2</v>
      </c>
      <c r="G551" t="s">
        <v>16</v>
      </c>
      <c r="H551" t="s">
        <v>1</v>
      </c>
    </row>
    <row r="552" spans="1:8" x14ac:dyDescent="0.3">
      <c r="A552" s="2">
        <v>44668</v>
      </c>
      <c r="B552" s="2" t="str">
        <f>TEXT(AutoPomodoro[[#This Row],[DATE]],"mmmm")</f>
        <v>April</v>
      </c>
      <c r="C552" s="2" t="str">
        <f>TEXT(AutoPomodoro[[#This Row],[DATE]],"yyyy")</f>
        <v>2022</v>
      </c>
      <c r="D552" s="8">
        <v>0.71805555555555556</v>
      </c>
      <c r="E552" s="8">
        <v>0.72430555555555554</v>
      </c>
      <c r="F552" s="3">
        <f t="shared" si="39"/>
        <v>6.2499999999999778E-3</v>
      </c>
      <c r="G552" t="s">
        <v>17</v>
      </c>
      <c r="H552" t="s">
        <v>1</v>
      </c>
    </row>
    <row r="553" spans="1:8" x14ac:dyDescent="0.3">
      <c r="A553" s="2">
        <v>44669</v>
      </c>
      <c r="B553" s="2" t="str">
        <f>TEXT(AutoPomodoro[[#This Row],[DATE]],"mmmm")</f>
        <v>April</v>
      </c>
      <c r="C553" s="2" t="str">
        <f>TEXT(AutoPomodoro[[#This Row],[DATE]],"yyyy")</f>
        <v>2022</v>
      </c>
      <c r="D553" s="8">
        <v>0.65902777777777777</v>
      </c>
      <c r="E553" s="8">
        <v>0.67708333333333337</v>
      </c>
      <c r="F553" s="3">
        <f t="shared" si="39"/>
        <v>1.8055555555555602E-2</v>
      </c>
      <c r="G553" t="s">
        <v>0</v>
      </c>
      <c r="H553" t="s">
        <v>1</v>
      </c>
    </row>
    <row r="554" spans="1:8" x14ac:dyDescent="0.3">
      <c r="A554" s="2">
        <v>44670</v>
      </c>
      <c r="B554" s="2" t="str">
        <f>TEXT(AutoPomodoro[[#This Row],[DATE]],"mmmm")</f>
        <v>April</v>
      </c>
      <c r="C554" s="2" t="str">
        <f>TEXT(AutoPomodoro[[#This Row],[DATE]],"yyyy")</f>
        <v>2022</v>
      </c>
      <c r="D554" s="8">
        <v>0.59097222222222223</v>
      </c>
      <c r="E554" s="8">
        <v>0.62986111111111109</v>
      </c>
      <c r="F554" s="3">
        <f t="shared" si="39"/>
        <v>3.8888888888888862E-2</v>
      </c>
      <c r="G554" t="s">
        <v>17</v>
      </c>
      <c r="H554" t="s">
        <v>1</v>
      </c>
    </row>
    <row r="555" spans="1:8" x14ac:dyDescent="0.3">
      <c r="A555" s="2">
        <v>44670</v>
      </c>
      <c r="B555" s="2" t="str">
        <f>TEXT(AutoPomodoro[[#This Row],[DATE]],"mmmm")</f>
        <v>April</v>
      </c>
      <c r="C555" s="2" t="str">
        <f>TEXT(AutoPomodoro[[#This Row],[DATE]],"yyyy")</f>
        <v>2022</v>
      </c>
      <c r="D555" s="8">
        <v>0.66666666666666663</v>
      </c>
      <c r="E555" s="8">
        <v>0.7104166666666667</v>
      </c>
      <c r="F555" s="3">
        <f t="shared" si="39"/>
        <v>4.3750000000000067E-2</v>
      </c>
      <c r="G555" t="s">
        <v>17</v>
      </c>
      <c r="H555" t="s">
        <v>1</v>
      </c>
    </row>
    <row r="556" spans="1:8" x14ac:dyDescent="0.3">
      <c r="A556" s="2">
        <v>44670</v>
      </c>
      <c r="B556" s="2" t="str">
        <f>TEXT(AutoPomodoro[[#This Row],[DATE]],"mmmm")</f>
        <v>April</v>
      </c>
      <c r="C556" s="2" t="str">
        <f>TEXT(AutoPomodoro[[#This Row],[DATE]],"yyyy")</f>
        <v>2022</v>
      </c>
      <c r="D556" s="8">
        <v>0.75763888888888886</v>
      </c>
      <c r="E556" s="8">
        <v>0.79791666666666661</v>
      </c>
      <c r="F556" s="3">
        <f t="shared" si="39"/>
        <v>4.0277777777777746E-2</v>
      </c>
      <c r="G556" t="s">
        <v>17</v>
      </c>
      <c r="H556" t="s">
        <v>1</v>
      </c>
    </row>
    <row r="557" spans="1:8" x14ac:dyDescent="0.3">
      <c r="A557" s="2">
        <v>44671</v>
      </c>
      <c r="B557" s="2" t="str">
        <f>TEXT(AutoPomodoro[[#This Row],[DATE]],"mmmm")</f>
        <v>April</v>
      </c>
      <c r="C557" s="2" t="str">
        <f>TEXT(AutoPomodoro[[#This Row],[DATE]],"yyyy")</f>
        <v>2022</v>
      </c>
      <c r="D557" s="8">
        <v>0.625</v>
      </c>
      <c r="E557" s="8">
        <f>D557+$T$15</f>
        <v>0.64236111111111116</v>
      </c>
      <c r="F557" s="3">
        <f t="shared" si="39"/>
        <v>1.736111111111116E-2</v>
      </c>
      <c r="G557" t="s">
        <v>16</v>
      </c>
      <c r="H557" t="s">
        <v>1</v>
      </c>
    </row>
    <row r="558" spans="1:8" x14ac:dyDescent="0.3">
      <c r="A558" s="2">
        <v>44671</v>
      </c>
      <c r="B558" s="2" t="str">
        <f>TEXT(AutoPomodoro[[#This Row],[DATE]],"mmmm")</f>
        <v>April</v>
      </c>
      <c r="C558" s="2" t="str">
        <f>TEXT(AutoPomodoro[[#This Row],[DATE]],"yyyy")</f>
        <v>2022</v>
      </c>
      <c r="D558" s="8">
        <f>E557+$T$16</f>
        <v>0.64583333333333337</v>
      </c>
      <c r="E558" s="8">
        <f>D558+$T$15</f>
        <v>0.66319444444444453</v>
      </c>
      <c r="F558" s="3">
        <v>1.4583333333333332E-2</v>
      </c>
      <c r="G558" t="s">
        <v>16</v>
      </c>
      <c r="H558" t="s">
        <v>1</v>
      </c>
    </row>
    <row r="559" spans="1:8" x14ac:dyDescent="0.3">
      <c r="A559" s="2">
        <v>44671</v>
      </c>
      <c r="B559" s="2" t="str">
        <f>TEXT(AutoPomodoro[[#This Row],[DATE]],"mmmm")</f>
        <v>April</v>
      </c>
      <c r="C559" s="2" t="str">
        <f>TEXT(AutoPomodoro[[#This Row],[DATE]],"yyyy")</f>
        <v>2022</v>
      </c>
      <c r="D559" s="8">
        <f>E558+$T$16</f>
        <v>0.66666666666666674</v>
      </c>
      <c r="E559" s="8">
        <f>D559+$T$15</f>
        <v>0.6840277777777779</v>
      </c>
      <c r="F559" s="3">
        <f>E559-D559</f>
        <v>1.736111111111116E-2</v>
      </c>
      <c r="G559" t="s">
        <v>16</v>
      </c>
      <c r="H559" t="s">
        <v>1</v>
      </c>
    </row>
    <row r="560" spans="1:8" x14ac:dyDescent="0.3">
      <c r="A560" s="2">
        <v>44671</v>
      </c>
      <c r="B560" s="2" t="str">
        <f>TEXT(AutoPomodoro[[#This Row],[DATE]],"mmmm")</f>
        <v>April</v>
      </c>
      <c r="C560" s="2" t="str">
        <f>TEXT(AutoPomodoro[[#This Row],[DATE]],"yyyy")</f>
        <v>2022</v>
      </c>
      <c r="D560" s="8">
        <f>E559+$T$17</f>
        <v>0.68888888888888899</v>
      </c>
      <c r="E560" s="8">
        <f>D560+$T$15</f>
        <v>0.70625000000000016</v>
      </c>
      <c r="F560" s="3">
        <v>1.8749999999999999E-2</v>
      </c>
      <c r="G560" t="s">
        <v>16</v>
      </c>
      <c r="H560" t="s">
        <v>1</v>
      </c>
    </row>
    <row r="561" spans="1:8" x14ac:dyDescent="0.3">
      <c r="A561" s="2">
        <v>44671</v>
      </c>
      <c r="B561" s="2" t="str">
        <f>TEXT(AutoPomodoro[[#This Row],[DATE]],"mmmm")</f>
        <v>April</v>
      </c>
      <c r="C561" s="2" t="str">
        <f>TEXT(AutoPomodoro[[#This Row],[DATE]],"yyyy")</f>
        <v>2022</v>
      </c>
      <c r="D561" s="8">
        <v>0.70624999999999993</v>
      </c>
      <c r="E561" s="8">
        <v>0.7270833333333333</v>
      </c>
      <c r="F561" s="3">
        <f t="shared" ref="F561:F568" si="40">E561-D561</f>
        <v>2.083333333333337E-2</v>
      </c>
      <c r="G561" t="s">
        <v>21</v>
      </c>
      <c r="H561" t="s">
        <v>1</v>
      </c>
    </row>
    <row r="562" spans="1:8" x14ac:dyDescent="0.3">
      <c r="A562" s="2">
        <v>44671</v>
      </c>
      <c r="B562" s="2" t="str">
        <f>TEXT(AutoPomodoro[[#This Row],[DATE]],"mmmm")</f>
        <v>April</v>
      </c>
      <c r="C562" s="2" t="str">
        <f>TEXT(AutoPomodoro[[#This Row],[DATE]],"yyyy")</f>
        <v>2022</v>
      </c>
      <c r="D562" s="8">
        <v>0.7270833333333333</v>
      </c>
      <c r="E562" s="8">
        <f>D562+$T$15</f>
        <v>0.74444444444444446</v>
      </c>
      <c r="F562" s="3">
        <f t="shared" si="40"/>
        <v>1.736111111111116E-2</v>
      </c>
      <c r="G562" t="s">
        <v>16</v>
      </c>
      <c r="H562" t="s">
        <v>1</v>
      </c>
    </row>
    <row r="563" spans="1:8" x14ac:dyDescent="0.3">
      <c r="A563" s="2">
        <v>44671</v>
      </c>
      <c r="B563" s="2" t="str">
        <f>TEXT(AutoPomodoro[[#This Row],[DATE]],"mmmm")</f>
        <v>April</v>
      </c>
      <c r="C563" s="2" t="str">
        <f>TEXT(AutoPomodoro[[#This Row],[DATE]],"yyyy")</f>
        <v>2022</v>
      </c>
      <c r="D563" s="8">
        <f>E562+$T$16</f>
        <v>0.74791666666666667</v>
      </c>
      <c r="E563" s="8">
        <f>D563+$T$15</f>
        <v>0.76527777777777783</v>
      </c>
      <c r="F563" s="3">
        <f t="shared" si="40"/>
        <v>1.736111111111116E-2</v>
      </c>
      <c r="G563" t="s">
        <v>16</v>
      </c>
      <c r="H563" t="s">
        <v>1</v>
      </c>
    </row>
    <row r="564" spans="1:8" x14ac:dyDescent="0.3">
      <c r="A564" s="2">
        <v>44671</v>
      </c>
      <c r="B564" s="2" t="str">
        <f>TEXT(AutoPomodoro[[#This Row],[DATE]],"mmmm")</f>
        <v>April</v>
      </c>
      <c r="C564" s="2" t="str">
        <f>TEXT(AutoPomodoro[[#This Row],[DATE]],"yyyy")</f>
        <v>2022</v>
      </c>
      <c r="D564" s="8">
        <f>E563+$T$16</f>
        <v>0.76875000000000004</v>
      </c>
      <c r="E564" s="8">
        <f>D564+$T$15</f>
        <v>0.7861111111111112</v>
      </c>
      <c r="F564" s="3">
        <f t="shared" si="40"/>
        <v>1.736111111111116E-2</v>
      </c>
      <c r="G564" t="s">
        <v>16</v>
      </c>
      <c r="H564" t="s">
        <v>1</v>
      </c>
    </row>
    <row r="565" spans="1:8" x14ac:dyDescent="0.3">
      <c r="A565" s="2">
        <v>44671</v>
      </c>
      <c r="B565" s="2" t="str">
        <f>TEXT(AutoPomodoro[[#This Row],[DATE]],"mmmm")</f>
        <v>April</v>
      </c>
      <c r="C565" s="2" t="str">
        <f>TEXT(AutoPomodoro[[#This Row],[DATE]],"yyyy")</f>
        <v>2022</v>
      </c>
      <c r="D565" s="8">
        <f>E564+$T$17</f>
        <v>0.7909722222222223</v>
      </c>
      <c r="E565" s="8">
        <f>D565+$T$15</f>
        <v>0.80833333333333346</v>
      </c>
      <c r="F565" s="3">
        <f t="shared" si="40"/>
        <v>1.736111111111116E-2</v>
      </c>
      <c r="G565" t="s">
        <v>16</v>
      </c>
      <c r="H565" t="s">
        <v>1</v>
      </c>
    </row>
    <row r="566" spans="1:8" x14ac:dyDescent="0.3">
      <c r="A566" s="2">
        <v>44671</v>
      </c>
      <c r="B566" s="2" t="str">
        <f>TEXT(AutoPomodoro[[#This Row],[DATE]],"mmmm")</f>
        <v>April</v>
      </c>
      <c r="C566" s="2" t="str">
        <f>TEXT(AutoPomodoro[[#This Row],[DATE]],"yyyy")</f>
        <v>2022</v>
      </c>
      <c r="D566" s="8">
        <v>0.80833333333333324</v>
      </c>
      <c r="E566" s="8">
        <v>0.81874999999999998</v>
      </c>
      <c r="F566" s="3">
        <f t="shared" si="40"/>
        <v>1.0416666666666741E-2</v>
      </c>
      <c r="G566" t="s">
        <v>21</v>
      </c>
      <c r="H566" t="s">
        <v>1</v>
      </c>
    </row>
    <row r="567" spans="1:8" x14ac:dyDescent="0.3">
      <c r="A567" s="2">
        <v>44671</v>
      </c>
      <c r="B567" s="2" t="str">
        <f>TEXT(AutoPomodoro[[#This Row],[DATE]],"mmmm")</f>
        <v>April</v>
      </c>
      <c r="C567" s="2" t="str">
        <f>TEXT(AutoPomodoro[[#This Row],[DATE]],"yyyy")</f>
        <v>2022</v>
      </c>
      <c r="D567" s="8">
        <v>0.81874999999999998</v>
      </c>
      <c r="E567" s="8">
        <f t="shared" ref="E567:E577" si="41">D567+$T$15</f>
        <v>0.83611111111111114</v>
      </c>
      <c r="F567" s="3">
        <f t="shared" si="40"/>
        <v>1.736111111111116E-2</v>
      </c>
      <c r="G567" t="s">
        <v>16</v>
      </c>
      <c r="H567" t="s">
        <v>1</v>
      </c>
    </row>
    <row r="568" spans="1:8" x14ac:dyDescent="0.3">
      <c r="A568" s="2">
        <v>44671</v>
      </c>
      <c r="B568" s="2" t="str">
        <f>TEXT(AutoPomodoro[[#This Row],[DATE]],"mmmm")</f>
        <v>April</v>
      </c>
      <c r="C568" s="2" t="str">
        <f>TEXT(AutoPomodoro[[#This Row],[DATE]],"yyyy")</f>
        <v>2022</v>
      </c>
      <c r="D568" s="8">
        <f>E567+$T$16</f>
        <v>0.83958333333333335</v>
      </c>
      <c r="E568" s="8">
        <f t="shared" si="41"/>
        <v>0.85694444444444451</v>
      </c>
      <c r="F568" s="3">
        <f t="shared" si="40"/>
        <v>1.736111111111116E-2</v>
      </c>
      <c r="G568" t="s">
        <v>16</v>
      </c>
      <c r="H568" t="s">
        <v>1</v>
      </c>
    </row>
    <row r="569" spans="1:8" x14ac:dyDescent="0.3">
      <c r="A569" s="2">
        <v>44671</v>
      </c>
      <c r="B569" s="2" t="str">
        <f>TEXT(AutoPomodoro[[#This Row],[DATE]],"mmmm")</f>
        <v>April</v>
      </c>
      <c r="C569" s="2" t="str">
        <f>TEXT(AutoPomodoro[[#This Row],[DATE]],"yyyy")</f>
        <v>2022</v>
      </c>
      <c r="D569" s="8">
        <f>E568+$T$16</f>
        <v>0.86041666666666672</v>
      </c>
      <c r="E569" s="8">
        <f t="shared" si="41"/>
        <v>0.87777777777777788</v>
      </c>
      <c r="F569" s="3">
        <v>1.8055555555555557E-2</v>
      </c>
      <c r="G569" t="s">
        <v>16</v>
      </c>
      <c r="H569" t="s">
        <v>1</v>
      </c>
    </row>
    <row r="570" spans="1:8" x14ac:dyDescent="0.3">
      <c r="A570" s="2">
        <v>44672</v>
      </c>
      <c r="B570" s="2" t="str">
        <f>TEXT(AutoPomodoro[[#This Row],[DATE]],"mmmm")</f>
        <v>April</v>
      </c>
      <c r="C570" s="2" t="str">
        <f>TEXT(AutoPomodoro[[#This Row],[DATE]],"yyyy")</f>
        <v>2022</v>
      </c>
      <c r="D570" s="8">
        <v>0.63541666666666663</v>
      </c>
      <c r="E570" s="8">
        <f t="shared" si="41"/>
        <v>0.65277777777777779</v>
      </c>
      <c r="F570" s="3">
        <f t="shared" ref="F570:F578" si="42">E570-D570</f>
        <v>1.736111111111116E-2</v>
      </c>
      <c r="G570" t="s">
        <v>16</v>
      </c>
      <c r="H570" t="s">
        <v>1</v>
      </c>
    </row>
    <row r="571" spans="1:8" x14ac:dyDescent="0.3">
      <c r="A571" s="2">
        <v>44672</v>
      </c>
      <c r="B571" s="2" t="str">
        <f>TEXT(AutoPomodoro[[#This Row],[DATE]],"mmmm")</f>
        <v>April</v>
      </c>
      <c r="C571" s="2" t="str">
        <f>TEXT(AutoPomodoro[[#This Row],[DATE]],"yyyy")</f>
        <v>2022</v>
      </c>
      <c r="D571" s="8">
        <f>E570+$T$16</f>
        <v>0.65625</v>
      </c>
      <c r="E571" s="8">
        <f t="shared" si="41"/>
        <v>0.67361111111111116</v>
      </c>
      <c r="F571" s="3">
        <f t="shared" si="42"/>
        <v>1.736111111111116E-2</v>
      </c>
      <c r="G571" t="s">
        <v>16</v>
      </c>
      <c r="H571" t="s">
        <v>1</v>
      </c>
    </row>
    <row r="572" spans="1:8" x14ac:dyDescent="0.3">
      <c r="A572" s="2">
        <v>44672</v>
      </c>
      <c r="B572" s="2" t="str">
        <f>TEXT(AutoPomodoro[[#This Row],[DATE]],"mmmm")</f>
        <v>April</v>
      </c>
      <c r="C572" s="2" t="str">
        <f>TEXT(AutoPomodoro[[#This Row],[DATE]],"yyyy")</f>
        <v>2022</v>
      </c>
      <c r="D572" s="8">
        <f>E571+$T$16</f>
        <v>0.67708333333333337</v>
      </c>
      <c r="E572" s="8">
        <f t="shared" si="41"/>
        <v>0.69444444444444453</v>
      </c>
      <c r="F572" s="3">
        <f t="shared" si="42"/>
        <v>1.736111111111116E-2</v>
      </c>
      <c r="G572" t="s">
        <v>16</v>
      </c>
      <c r="H572" t="s">
        <v>1</v>
      </c>
    </row>
    <row r="573" spans="1:8" x14ac:dyDescent="0.3">
      <c r="A573" s="2">
        <v>44672</v>
      </c>
      <c r="B573" s="2" t="str">
        <f>TEXT(AutoPomodoro[[#This Row],[DATE]],"mmmm")</f>
        <v>April</v>
      </c>
      <c r="C573" s="2" t="str">
        <f>TEXT(AutoPomodoro[[#This Row],[DATE]],"yyyy")</f>
        <v>2022</v>
      </c>
      <c r="D573" s="8">
        <f>E572+$T$17</f>
        <v>0.69930555555555562</v>
      </c>
      <c r="E573" s="8">
        <f t="shared" si="41"/>
        <v>0.71666666666666679</v>
      </c>
      <c r="F573" s="3">
        <f t="shared" si="42"/>
        <v>1.736111111111116E-2</v>
      </c>
      <c r="G573" t="s">
        <v>16</v>
      </c>
      <c r="H573" t="s">
        <v>1</v>
      </c>
    </row>
    <row r="574" spans="1:8" x14ac:dyDescent="0.3">
      <c r="A574" s="2">
        <v>44673</v>
      </c>
      <c r="B574" s="2" t="str">
        <f>TEXT(AutoPomodoro[[#This Row],[DATE]],"mmmm")</f>
        <v>April</v>
      </c>
      <c r="C574" s="2" t="str">
        <f>TEXT(AutoPomodoro[[#This Row],[DATE]],"yyyy")</f>
        <v>2022</v>
      </c>
      <c r="D574" s="8">
        <v>0.63541666666666663</v>
      </c>
      <c r="E574" s="8">
        <f t="shared" si="41"/>
        <v>0.65277777777777779</v>
      </c>
      <c r="F574" s="3">
        <f t="shared" si="42"/>
        <v>1.736111111111116E-2</v>
      </c>
      <c r="G574" t="s">
        <v>16</v>
      </c>
      <c r="H574" t="s">
        <v>1</v>
      </c>
    </row>
    <row r="575" spans="1:8" x14ac:dyDescent="0.3">
      <c r="A575" s="2">
        <v>44673</v>
      </c>
      <c r="B575" s="2" t="str">
        <f>TEXT(AutoPomodoro[[#This Row],[DATE]],"mmmm")</f>
        <v>April</v>
      </c>
      <c r="C575" s="2" t="str">
        <f>TEXT(AutoPomodoro[[#This Row],[DATE]],"yyyy")</f>
        <v>2022</v>
      </c>
      <c r="D575" s="8">
        <f>E574+$T$16</f>
        <v>0.65625</v>
      </c>
      <c r="E575" s="8">
        <f t="shared" si="41"/>
        <v>0.67361111111111116</v>
      </c>
      <c r="F575" s="3">
        <f t="shared" si="42"/>
        <v>1.736111111111116E-2</v>
      </c>
      <c r="G575" t="s">
        <v>16</v>
      </c>
      <c r="H575" t="s">
        <v>1</v>
      </c>
    </row>
    <row r="576" spans="1:8" x14ac:dyDescent="0.3">
      <c r="A576" s="2">
        <v>44673</v>
      </c>
      <c r="B576" s="2" t="str">
        <f>TEXT(AutoPomodoro[[#This Row],[DATE]],"mmmm")</f>
        <v>April</v>
      </c>
      <c r="C576" s="2" t="str">
        <f>TEXT(AutoPomodoro[[#This Row],[DATE]],"yyyy")</f>
        <v>2022</v>
      </c>
      <c r="D576" s="8">
        <f>E575+$T$16</f>
        <v>0.67708333333333337</v>
      </c>
      <c r="E576" s="8">
        <f t="shared" si="41"/>
        <v>0.69444444444444453</v>
      </c>
      <c r="F576" s="3">
        <f t="shared" si="42"/>
        <v>1.736111111111116E-2</v>
      </c>
      <c r="G576" t="s">
        <v>16</v>
      </c>
      <c r="H576" t="s">
        <v>1</v>
      </c>
    </row>
    <row r="577" spans="1:8" x14ac:dyDescent="0.3">
      <c r="A577" s="2">
        <v>44673</v>
      </c>
      <c r="B577" s="2" t="str">
        <f>TEXT(AutoPomodoro[[#This Row],[DATE]],"mmmm")</f>
        <v>April</v>
      </c>
      <c r="C577" s="2" t="str">
        <f>TEXT(AutoPomodoro[[#This Row],[DATE]],"yyyy")</f>
        <v>2022</v>
      </c>
      <c r="D577" s="8">
        <f>E576+$T$17</f>
        <v>0.69930555555555562</v>
      </c>
      <c r="E577" s="8">
        <f t="shared" si="41"/>
        <v>0.71666666666666679</v>
      </c>
      <c r="F577" s="3">
        <f t="shared" si="42"/>
        <v>1.736111111111116E-2</v>
      </c>
      <c r="G577" t="s">
        <v>16</v>
      </c>
      <c r="H577" t="s">
        <v>1</v>
      </c>
    </row>
    <row r="578" spans="1:8" x14ac:dyDescent="0.3">
      <c r="A578" s="2">
        <v>44673</v>
      </c>
      <c r="B578" s="2" t="str">
        <f>TEXT(AutoPomodoro[[#This Row],[DATE]],"mmmm")</f>
        <v>April</v>
      </c>
      <c r="C578" s="2" t="str">
        <f>TEXT(AutoPomodoro[[#This Row],[DATE]],"yyyy")</f>
        <v>2022</v>
      </c>
      <c r="D578" s="8">
        <v>0.71666666666666667</v>
      </c>
      <c r="E578" s="8">
        <v>0.7270833333333333</v>
      </c>
      <c r="F578" s="3">
        <f t="shared" si="42"/>
        <v>1.041666666666663E-2</v>
      </c>
      <c r="G578" t="s">
        <v>21</v>
      </c>
      <c r="H578" t="s">
        <v>1</v>
      </c>
    </row>
    <row r="579" spans="1:8" x14ac:dyDescent="0.3">
      <c r="A579" s="2">
        <v>44673</v>
      </c>
      <c r="B579" s="2" t="str">
        <f>TEXT(AutoPomodoro[[#This Row],[DATE]],"mmmm")</f>
        <v>April</v>
      </c>
      <c r="C579" s="2" t="str">
        <f>TEXT(AutoPomodoro[[#This Row],[DATE]],"yyyy")</f>
        <v>2022</v>
      </c>
      <c r="D579" s="8">
        <v>0.7270833333333333</v>
      </c>
      <c r="E579" s="8">
        <f t="shared" ref="E579:E590" si="43">D579+$T$15</f>
        <v>0.74444444444444446</v>
      </c>
      <c r="F579" s="3">
        <v>1.8749999999999999E-2</v>
      </c>
      <c r="G579" t="s">
        <v>16</v>
      </c>
      <c r="H579" t="s">
        <v>1</v>
      </c>
    </row>
    <row r="580" spans="1:8" x14ac:dyDescent="0.3">
      <c r="A580" s="2">
        <v>44673</v>
      </c>
      <c r="B580" s="2" t="str">
        <f>TEXT(AutoPomodoro[[#This Row],[DATE]],"mmmm")</f>
        <v>April</v>
      </c>
      <c r="C580" s="2" t="str">
        <f>TEXT(AutoPomodoro[[#This Row],[DATE]],"yyyy")</f>
        <v>2022</v>
      </c>
      <c r="D580" s="8">
        <f>E579+$T$16</f>
        <v>0.74791666666666667</v>
      </c>
      <c r="E580" s="8">
        <f t="shared" si="43"/>
        <v>0.76527777777777783</v>
      </c>
      <c r="F580" s="3">
        <f>E580-D580</f>
        <v>1.736111111111116E-2</v>
      </c>
      <c r="G580" t="s">
        <v>16</v>
      </c>
      <c r="H580" t="s">
        <v>2</v>
      </c>
    </row>
    <row r="581" spans="1:8" x14ac:dyDescent="0.3">
      <c r="A581" s="2">
        <v>44673</v>
      </c>
      <c r="B581" s="2" t="str">
        <f>TEXT(AutoPomodoro[[#This Row],[DATE]],"mmmm")</f>
        <v>April</v>
      </c>
      <c r="C581" s="2" t="str">
        <f>TEXT(AutoPomodoro[[#This Row],[DATE]],"yyyy")</f>
        <v>2022</v>
      </c>
      <c r="D581" s="8">
        <f>E580+$T$16</f>
        <v>0.76875000000000004</v>
      </c>
      <c r="E581" s="8">
        <f t="shared" si="43"/>
        <v>0.7861111111111112</v>
      </c>
      <c r="F581" s="3">
        <f>E581-D581</f>
        <v>1.736111111111116E-2</v>
      </c>
      <c r="G581" t="s">
        <v>16</v>
      </c>
      <c r="H581" t="s">
        <v>2</v>
      </c>
    </row>
    <row r="582" spans="1:8" x14ac:dyDescent="0.3">
      <c r="A582" s="2">
        <v>44674</v>
      </c>
      <c r="B582" s="2" t="str">
        <f>TEXT(AutoPomodoro[[#This Row],[DATE]],"mmmm")</f>
        <v>April</v>
      </c>
      <c r="C582" s="2" t="str">
        <f>TEXT(AutoPomodoro[[#This Row],[DATE]],"yyyy")</f>
        <v>2022</v>
      </c>
      <c r="D582" s="8">
        <v>0.63541666666666663</v>
      </c>
      <c r="E582" s="8">
        <f t="shared" si="43"/>
        <v>0.65277777777777779</v>
      </c>
      <c r="F582" s="3">
        <v>1.3888888888888888E-2</v>
      </c>
      <c r="G582" t="s">
        <v>16</v>
      </c>
      <c r="H582" t="s">
        <v>1</v>
      </c>
    </row>
    <row r="583" spans="1:8" x14ac:dyDescent="0.3">
      <c r="A583" s="2">
        <v>44674</v>
      </c>
      <c r="B583" s="2" t="str">
        <f>TEXT(AutoPomodoro[[#This Row],[DATE]],"mmmm")</f>
        <v>April</v>
      </c>
      <c r="C583" s="2" t="str">
        <f>TEXT(AutoPomodoro[[#This Row],[DATE]],"yyyy")</f>
        <v>2022</v>
      </c>
      <c r="D583" s="8">
        <f>E582+$T$16</f>
        <v>0.65625</v>
      </c>
      <c r="E583" s="8">
        <f t="shared" si="43"/>
        <v>0.67361111111111116</v>
      </c>
      <c r="F583" s="3">
        <f>E583-D583</f>
        <v>1.736111111111116E-2</v>
      </c>
      <c r="G583" t="s">
        <v>16</v>
      </c>
      <c r="H583" t="s">
        <v>1</v>
      </c>
    </row>
    <row r="584" spans="1:8" x14ac:dyDescent="0.3">
      <c r="A584" s="2">
        <v>44674</v>
      </c>
      <c r="B584" s="2" t="str">
        <f>TEXT(AutoPomodoro[[#This Row],[DATE]],"mmmm")</f>
        <v>April</v>
      </c>
      <c r="C584" s="2" t="str">
        <f>TEXT(AutoPomodoro[[#This Row],[DATE]],"yyyy")</f>
        <v>2022</v>
      </c>
      <c r="D584" s="8">
        <f>E583+$T$16</f>
        <v>0.67708333333333337</v>
      </c>
      <c r="E584" s="8">
        <f t="shared" si="43"/>
        <v>0.69444444444444453</v>
      </c>
      <c r="F584" s="3">
        <f>E584-D584</f>
        <v>1.736111111111116E-2</v>
      </c>
      <c r="G584" t="s">
        <v>16</v>
      </c>
      <c r="H584" t="s">
        <v>2</v>
      </c>
    </row>
    <row r="585" spans="1:8" x14ac:dyDescent="0.3">
      <c r="A585" s="2">
        <v>44674</v>
      </c>
      <c r="B585" s="2" t="str">
        <f>TEXT(AutoPomodoro[[#This Row],[DATE]],"mmmm")</f>
        <v>April</v>
      </c>
      <c r="C585" s="2" t="str">
        <f>TEXT(AutoPomodoro[[#This Row],[DATE]],"yyyy")</f>
        <v>2022</v>
      </c>
      <c r="D585" s="8">
        <f>E584+$T$17</f>
        <v>0.69930555555555562</v>
      </c>
      <c r="E585" s="8">
        <f t="shared" si="43"/>
        <v>0.71666666666666679</v>
      </c>
      <c r="F585" s="3">
        <f>E585-D585</f>
        <v>1.736111111111116E-2</v>
      </c>
      <c r="G585" t="s">
        <v>16</v>
      </c>
      <c r="H585" t="s">
        <v>2</v>
      </c>
    </row>
    <row r="586" spans="1:8" x14ac:dyDescent="0.3">
      <c r="A586" s="2">
        <v>44676</v>
      </c>
      <c r="B586" s="2" t="str">
        <f>TEXT(AutoPomodoro[[#This Row],[DATE]],"mmmm")</f>
        <v>April</v>
      </c>
      <c r="C586" s="2" t="str">
        <f>TEXT(AutoPomodoro[[#This Row],[DATE]],"yyyy")</f>
        <v>2022</v>
      </c>
      <c r="D586" s="8">
        <v>0.99305555555555547</v>
      </c>
      <c r="E586" s="8">
        <f t="shared" si="43"/>
        <v>1.0104166666666665</v>
      </c>
      <c r="F586" s="3">
        <f>E586-D586</f>
        <v>1.7361111111111049E-2</v>
      </c>
      <c r="G586" t="s">
        <v>16</v>
      </c>
      <c r="H586" t="s">
        <v>1</v>
      </c>
    </row>
    <row r="587" spans="1:8" x14ac:dyDescent="0.3">
      <c r="A587" s="2">
        <v>44677</v>
      </c>
      <c r="B587" s="2" t="str">
        <f>TEXT(AutoPomodoro[[#This Row],[DATE]],"mmmm")</f>
        <v>April</v>
      </c>
      <c r="C587" s="2" t="str">
        <f>TEXT(AutoPomodoro[[#This Row],[DATE]],"yyyy")</f>
        <v>2022</v>
      </c>
      <c r="D587" s="8">
        <v>0.63888888888888895</v>
      </c>
      <c r="E587" s="8">
        <f t="shared" si="43"/>
        <v>0.65625000000000011</v>
      </c>
      <c r="F587" s="3">
        <v>9.7222222222222224E-3</v>
      </c>
      <c r="G587" t="s">
        <v>16</v>
      </c>
      <c r="H587" t="s">
        <v>1</v>
      </c>
    </row>
    <row r="588" spans="1:8" x14ac:dyDescent="0.3">
      <c r="A588" s="2">
        <v>44677</v>
      </c>
      <c r="B588" s="2" t="str">
        <f>TEXT(AutoPomodoro[[#This Row],[DATE]],"mmmm")</f>
        <v>April</v>
      </c>
      <c r="C588" s="2" t="str">
        <f>TEXT(AutoPomodoro[[#This Row],[DATE]],"yyyy")</f>
        <v>2022</v>
      </c>
      <c r="D588" s="8">
        <f>E587+$T$16</f>
        <v>0.65972222222222232</v>
      </c>
      <c r="E588" s="8">
        <f t="shared" si="43"/>
        <v>0.67708333333333348</v>
      </c>
      <c r="F588" s="3">
        <v>1.7361111111111112E-2</v>
      </c>
      <c r="G588" t="s">
        <v>16</v>
      </c>
      <c r="H588" t="s">
        <v>1</v>
      </c>
    </row>
    <row r="589" spans="1:8" x14ac:dyDescent="0.3">
      <c r="A589" s="2">
        <v>44677</v>
      </c>
      <c r="B589" s="2" t="str">
        <f>TEXT(AutoPomodoro[[#This Row],[DATE]],"mmmm")</f>
        <v>April</v>
      </c>
      <c r="C589" s="2" t="str">
        <f>TEXT(AutoPomodoro[[#This Row],[DATE]],"yyyy")</f>
        <v>2022</v>
      </c>
      <c r="D589" s="8">
        <f>E588+$T$16</f>
        <v>0.68055555555555569</v>
      </c>
      <c r="E589" s="8">
        <f t="shared" si="43"/>
        <v>0.69791666666666685</v>
      </c>
      <c r="F589" s="3">
        <f t="shared" ref="F589:F598" si="44">E589-D589</f>
        <v>1.736111111111116E-2</v>
      </c>
      <c r="G589" t="s">
        <v>16</v>
      </c>
      <c r="H589" t="s">
        <v>1</v>
      </c>
    </row>
    <row r="590" spans="1:8" x14ac:dyDescent="0.3">
      <c r="A590" s="2">
        <v>44677</v>
      </c>
      <c r="B590" s="2" t="str">
        <f>TEXT(AutoPomodoro[[#This Row],[DATE]],"mmmm")</f>
        <v>April</v>
      </c>
      <c r="C590" s="2" t="str">
        <f>TEXT(AutoPomodoro[[#This Row],[DATE]],"yyyy")</f>
        <v>2022</v>
      </c>
      <c r="D590" s="8">
        <f>E589+$T$17</f>
        <v>0.70277777777777795</v>
      </c>
      <c r="E590" s="8">
        <f t="shared" si="43"/>
        <v>0.72013888888888911</v>
      </c>
      <c r="F590" s="3">
        <f t="shared" si="44"/>
        <v>1.736111111111116E-2</v>
      </c>
      <c r="G590" t="s">
        <v>16</v>
      </c>
      <c r="H590" t="s">
        <v>1</v>
      </c>
    </row>
    <row r="591" spans="1:8" x14ac:dyDescent="0.3">
      <c r="A591" s="2">
        <v>44677</v>
      </c>
      <c r="B591" s="2" t="str">
        <f>TEXT(AutoPomodoro[[#This Row],[DATE]],"mmmm")</f>
        <v>April</v>
      </c>
      <c r="C591" s="2" t="str">
        <f>TEXT(AutoPomodoro[[#This Row],[DATE]],"yyyy")</f>
        <v>2022</v>
      </c>
      <c r="D591" s="8">
        <v>0.72013888888888899</v>
      </c>
      <c r="E591" s="8">
        <v>0.74097222222222225</v>
      </c>
      <c r="F591" s="3">
        <f t="shared" si="44"/>
        <v>2.0833333333333259E-2</v>
      </c>
      <c r="G591" t="s">
        <v>21</v>
      </c>
      <c r="H591" t="s">
        <v>1</v>
      </c>
    </row>
    <row r="592" spans="1:8" x14ac:dyDescent="0.3">
      <c r="A592" s="2">
        <v>44677</v>
      </c>
      <c r="B592" s="2" t="str">
        <f>TEXT(AutoPomodoro[[#This Row],[DATE]],"mmmm")</f>
        <v>April</v>
      </c>
      <c r="C592" s="2" t="str">
        <f>TEXT(AutoPomodoro[[#This Row],[DATE]],"yyyy")</f>
        <v>2022</v>
      </c>
      <c r="D592" s="8">
        <v>0.74097222222222225</v>
      </c>
      <c r="E592" s="8">
        <f>D592+$T$15</f>
        <v>0.75833333333333341</v>
      </c>
      <c r="F592" s="3">
        <f t="shared" si="44"/>
        <v>1.736111111111116E-2</v>
      </c>
      <c r="G592" t="s">
        <v>16</v>
      </c>
      <c r="H592" t="s">
        <v>1</v>
      </c>
    </row>
    <row r="593" spans="1:8" x14ac:dyDescent="0.3">
      <c r="A593" s="2">
        <v>44677</v>
      </c>
      <c r="B593" s="2" t="str">
        <f>TEXT(AutoPomodoro[[#This Row],[DATE]],"mmmm")</f>
        <v>April</v>
      </c>
      <c r="C593" s="2" t="str">
        <f>TEXT(AutoPomodoro[[#This Row],[DATE]],"yyyy")</f>
        <v>2022</v>
      </c>
      <c r="D593" s="8">
        <f>E592+$T$16</f>
        <v>0.76180555555555562</v>
      </c>
      <c r="E593" s="8">
        <f>D593+$T$15</f>
        <v>0.77916666666666679</v>
      </c>
      <c r="F593" s="3">
        <f t="shared" si="44"/>
        <v>1.736111111111116E-2</v>
      </c>
      <c r="G593" t="s">
        <v>16</v>
      </c>
      <c r="H593" t="s">
        <v>1</v>
      </c>
    </row>
    <row r="594" spans="1:8" x14ac:dyDescent="0.3">
      <c r="A594" s="2">
        <v>44677</v>
      </c>
      <c r="B594" s="2" t="str">
        <f>TEXT(AutoPomodoro[[#This Row],[DATE]],"mmmm")</f>
        <v>April</v>
      </c>
      <c r="C594" s="2" t="str">
        <f>TEXT(AutoPomodoro[[#This Row],[DATE]],"yyyy")</f>
        <v>2022</v>
      </c>
      <c r="D594" s="8">
        <f>E593+$T$16</f>
        <v>0.78263888888888899</v>
      </c>
      <c r="E594" s="8">
        <f>D594+$T$15</f>
        <v>0.80000000000000016</v>
      </c>
      <c r="F594" s="3">
        <f t="shared" si="44"/>
        <v>1.736111111111116E-2</v>
      </c>
      <c r="G594" t="s">
        <v>16</v>
      </c>
      <c r="H594" t="s">
        <v>1</v>
      </c>
    </row>
    <row r="595" spans="1:8" x14ac:dyDescent="0.3">
      <c r="A595" s="2">
        <v>44677</v>
      </c>
      <c r="B595" s="2" t="str">
        <f>TEXT(AutoPomodoro[[#This Row],[DATE]],"mmmm")</f>
        <v>April</v>
      </c>
      <c r="C595" s="2" t="str">
        <f>TEXT(AutoPomodoro[[#This Row],[DATE]],"yyyy")</f>
        <v>2022</v>
      </c>
      <c r="D595" s="8">
        <f>E594+$T$17</f>
        <v>0.80486111111111125</v>
      </c>
      <c r="E595" s="8">
        <f>D595+$T$15</f>
        <v>0.82222222222222241</v>
      </c>
      <c r="F595" s="3">
        <f t="shared" si="44"/>
        <v>1.736111111111116E-2</v>
      </c>
      <c r="G595" t="s">
        <v>16</v>
      </c>
      <c r="H595" t="s">
        <v>1</v>
      </c>
    </row>
    <row r="596" spans="1:8" x14ac:dyDescent="0.3">
      <c r="A596" s="2">
        <v>44677</v>
      </c>
      <c r="B596" s="2" t="str">
        <f>TEXT(AutoPomodoro[[#This Row],[DATE]],"mmmm")</f>
        <v>April</v>
      </c>
      <c r="C596" s="2" t="str">
        <f>TEXT(AutoPomodoro[[#This Row],[DATE]],"yyyy")</f>
        <v>2022</v>
      </c>
      <c r="D596" s="8">
        <v>0.8222222222222223</v>
      </c>
      <c r="E596" s="8">
        <v>0.83263888888888893</v>
      </c>
      <c r="F596" s="3">
        <f t="shared" si="44"/>
        <v>1.041666666666663E-2</v>
      </c>
      <c r="G596" t="s">
        <v>21</v>
      </c>
      <c r="H596" t="s">
        <v>1</v>
      </c>
    </row>
    <row r="597" spans="1:8" x14ac:dyDescent="0.3">
      <c r="A597" s="2">
        <v>44677</v>
      </c>
      <c r="B597" s="2" t="str">
        <f>TEXT(AutoPomodoro[[#This Row],[DATE]],"mmmm")</f>
        <v>April</v>
      </c>
      <c r="C597" s="2" t="str">
        <f>TEXT(AutoPomodoro[[#This Row],[DATE]],"yyyy")</f>
        <v>2022</v>
      </c>
      <c r="D597" s="8">
        <v>0.83263888888888893</v>
      </c>
      <c r="E597" s="8">
        <f t="shared" ref="E597:E602" si="45">D597+$T$15</f>
        <v>0.85000000000000009</v>
      </c>
      <c r="F597" s="3">
        <f t="shared" si="44"/>
        <v>1.736111111111116E-2</v>
      </c>
      <c r="G597" t="s">
        <v>16</v>
      </c>
      <c r="H597" t="s">
        <v>1</v>
      </c>
    </row>
    <row r="598" spans="1:8" x14ac:dyDescent="0.3">
      <c r="A598" s="2">
        <v>44677</v>
      </c>
      <c r="B598" s="2" t="str">
        <f>TEXT(AutoPomodoro[[#This Row],[DATE]],"mmmm")</f>
        <v>April</v>
      </c>
      <c r="C598" s="2" t="str">
        <f>TEXT(AutoPomodoro[[#This Row],[DATE]],"yyyy")</f>
        <v>2022</v>
      </c>
      <c r="D598" s="8">
        <f>E597+$T$16</f>
        <v>0.8534722222222223</v>
      </c>
      <c r="E598" s="8">
        <f t="shared" si="45"/>
        <v>0.87083333333333346</v>
      </c>
      <c r="F598" s="3">
        <f t="shared" si="44"/>
        <v>1.736111111111116E-2</v>
      </c>
      <c r="G598" t="s">
        <v>16</v>
      </c>
      <c r="H598" t="s">
        <v>1</v>
      </c>
    </row>
    <row r="599" spans="1:8" x14ac:dyDescent="0.3">
      <c r="A599" s="2">
        <v>44677</v>
      </c>
      <c r="B599" s="2" t="str">
        <f>TEXT(AutoPomodoro[[#This Row],[DATE]],"mmmm")</f>
        <v>April</v>
      </c>
      <c r="C599" s="2" t="str">
        <f>TEXT(AutoPomodoro[[#This Row],[DATE]],"yyyy")</f>
        <v>2022</v>
      </c>
      <c r="D599" s="8">
        <f>E598+$T$16</f>
        <v>0.87430555555555567</v>
      </c>
      <c r="E599" s="8">
        <f t="shared" si="45"/>
        <v>0.89166666666666683</v>
      </c>
      <c r="F599" s="3">
        <v>1.8055555555555557E-2</v>
      </c>
      <c r="G599" t="s">
        <v>16</v>
      </c>
      <c r="H599" t="s">
        <v>1</v>
      </c>
    </row>
    <row r="600" spans="1:8" x14ac:dyDescent="0.3">
      <c r="A600" s="2">
        <v>44677</v>
      </c>
      <c r="B600" s="2" t="str">
        <f>TEXT(AutoPomodoro[[#This Row],[DATE]],"mmmm")</f>
        <v>April</v>
      </c>
      <c r="C600" s="2" t="str">
        <f>TEXT(AutoPomodoro[[#This Row],[DATE]],"yyyy")</f>
        <v>2022</v>
      </c>
      <c r="D600" s="8">
        <f>E599+$T$17</f>
        <v>0.89652777777777792</v>
      </c>
      <c r="E600" s="8">
        <f t="shared" si="45"/>
        <v>0.91388888888888908</v>
      </c>
      <c r="F600" s="3">
        <f>E600-D600</f>
        <v>1.736111111111116E-2</v>
      </c>
      <c r="G600" t="s">
        <v>16</v>
      </c>
      <c r="H600" t="s">
        <v>2</v>
      </c>
    </row>
    <row r="601" spans="1:8" x14ac:dyDescent="0.3">
      <c r="A601" s="2">
        <v>44677</v>
      </c>
      <c r="B601" s="2" t="str">
        <f>TEXT(AutoPomodoro[[#This Row],[DATE]],"mmmm")</f>
        <v>April</v>
      </c>
      <c r="C601" s="2" t="str">
        <f>TEXT(AutoPomodoro[[#This Row],[DATE]],"yyyy")</f>
        <v>2022</v>
      </c>
      <c r="D601" s="8">
        <v>0.92708333333333337</v>
      </c>
      <c r="E601" s="8">
        <f t="shared" si="45"/>
        <v>0.94444444444444453</v>
      </c>
      <c r="F601" s="3">
        <f>E601-D601</f>
        <v>1.736111111111116E-2</v>
      </c>
      <c r="G601" t="s">
        <v>16</v>
      </c>
      <c r="H601" t="s">
        <v>1</v>
      </c>
    </row>
    <row r="602" spans="1:8" x14ac:dyDescent="0.3">
      <c r="A602" s="2">
        <v>44677</v>
      </c>
      <c r="B602" s="2" t="str">
        <f>TEXT(AutoPomodoro[[#This Row],[DATE]],"mmmm")</f>
        <v>April</v>
      </c>
      <c r="C602" s="2" t="str">
        <f>TEXT(AutoPomodoro[[#This Row],[DATE]],"yyyy")</f>
        <v>2022</v>
      </c>
      <c r="D602" s="8">
        <f>E601+$T$16</f>
        <v>0.94791666666666674</v>
      </c>
      <c r="E602" s="8">
        <f t="shared" si="45"/>
        <v>0.9652777777777779</v>
      </c>
      <c r="F602" s="3">
        <f>E602-D602</f>
        <v>1.736111111111116E-2</v>
      </c>
      <c r="G602" t="s">
        <v>16</v>
      </c>
      <c r="H602" t="s">
        <v>1</v>
      </c>
    </row>
    <row r="603" spans="1:8" x14ac:dyDescent="0.3">
      <c r="A603" s="2">
        <v>44678</v>
      </c>
      <c r="B603" s="2" t="str">
        <f>TEXT(AutoPomodoro[[#This Row],[DATE]],"mmmm")</f>
        <v>April</v>
      </c>
      <c r="C603" s="2" t="str">
        <f>TEXT(AutoPomodoro[[#This Row],[DATE]],"yyyy")</f>
        <v>2022</v>
      </c>
      <c r="D603" s="8">
        <v>2.4305555555555556E-2</v>
      </c>
      <c r="E603" s="8">
        <v>3.125E-2</v>
      </c>
      <c r="F603" s="3">
        <f>E603-D603</f>
        <v>6.9444444444444441E-3</v>
      </c>
      <c r="G603" t="s">
        <v>0</v>
      </c>
      <c r="H603" t="s">
        <v>1</v>
      </c>
    </row>
    <row r="604" spans="1:8" x14ac:dyDescent="0.3">
      <c r="A604" s="2">
        <v>44678</v>
      </c>
      <c r="B604" s="2" t="str">
        <f>TEXT(AutoPomodoro[[#This Row],[DATE]],"mmmm")</f>
        <v>April</v>
      </c>
      <c r="C604" s="2" t="str">
        <f>TEXT(AutoPomodoro[[#This Row],[DATE]],"yyyy")</f>
        <v>2022</v>
      </c>
      <c r="D604" s="8">
        <v>3.3333333333333333E-2</v>
      </c>
      <c r="E604" s="8">
        <f>D604+$T$15</f>
        <v>5.0694444444444445E-2</v>
      </c>
      <c r="F604" s="3">
        <v>2.361111111111111E-2</v>
      </c>
      <c r="G604" t="s">
        <v>16</v>
      </c>
      <c r="H604" t="s">
        <v>1</v>
      </c>
    </row>
    <row r="605" spans="1:8" x14ac:dyDescent="0.3">
      <c r="A605" s="2">
        <v>44678</v>
      </c>
      <c r="B605" s="2" t="str">
        <f>TEXT(AutoPomodoro[[#This Row],[DATE]],"mmmm")</f>
        <v>April</v>
      </c>
      <c r="C605" s="2" t="str">
        <f>TEXT(AutoPomodoro[[#This Row],[DATE]],"yyyy")</f>
        <v>2022</v>
      </c>
      <c r="D605" s="8">
        <v>6.6666666666666666E-2</v>
      </c>
      <c r="E605" s="8">
        <v>0.10694444444444444</v>
      </c>
      <c r="F605" s="3">
        <f>E605-D605</f>
        <v>4.0277777777777773E-2</v>
      </c>
      <c r="G605" t="s">
        <v>16</v>
      </c>
      <c r="H605" t="s">
        <v>1</v>
      </c>
    </row>
    <row r="606" spans="1:8" x14ac:dyDescent="0.3">
      <c r="A606" s="2">
        <v>44679</v>
      </c>
      <c r="B606" s="2" t="str">
        <f>TEXT(AutoPomodoro[[#This Row],[DATE]],"mmmm")</f>
        <v>April</v>
      </c>
      <c r="C606" s="2" t="str">
        <f>TEXT(AutoPomodoro[[#This Row],[DATE]],"yyyy")</f>
        <v>2022</v>
      </c>
      <c r="D606" s="8">
        <v>0.58333333333333337</v>
      </c>
      <c r="E606" s="8">
        <f>D606+$T$15</f>
        <v>0.60069444444444453</v>
      </c>
      <c r="F606" s="3">
        <f>E606-D606</f>
        <v>1.736111111111116E-2</v>
      </c>
      <c r="G606" t="s">
        <v>16</v>
      </c>
      <c r="H606" t="s">
        <v>1</v>
      </c>
    </row>
    <row r="607" spans="1:8" x14ac:dyDescent="0.3">
      <c r="A607" s="2">
        <v>44679</v>
      </c>
      <c r="B607" s="2" t="str">
        <f>TEXT(AutoPomodoro[[#This Row],[DATE]],"mmmm")</f>
        <v>April</v>
      </c>
      <c r="C607" s="2" t="str">
        <f>TEXT(AutoPomodoro[[#This Row],[DATE]],"yyyy")</f>
        <v>2022</v>
      </c>
      <c r="D607" s="8">
        <f>E606+$T$16</f>
        <v>0.60416666666666674</v>
      </c>
      <c r="E607" s="8">
        <f>D607+$T$15</f>
        <v>0.6215277777777779</v>
      </c>
      <c r="F607" s="3">
        <f>E607-D607</f>
        <v>1.736111111111116E-2</v>
      </c>
      <c r="G607" t="s">
        <v>16</v>
      </c>
      <c r="H607" t="s">
        <v>1</v>
      </c>
    </row>
    <row r="608" spans="1:8" x14ac:dyDescent="0.3">
      <c r="A608" s="2">
        <v>44679</v>
      </c>
      <c r="B608" s="2" t="str">
        <f>TEXT(AutoPomodoro[[#This Row],[DATE]],"mmmm")</f>
        <v>April</v>
      </c>
      <c r="C608" s="2" t="str">
        <f>TEXT(AutoPomodoro[[#This Row],[DATE]],"yyyy")</f>
        <v>2022</v>
      </c>
      <c r="D608" s="8">
        <f>E607+$T$16</f>
        <v>0.62500000000000011</v>
      </c>
      <c r="E608" s="8">
        <f>D608+$T$15</f>
        <v>0.64236111111111127</v>
      </c>
      <c r="F608" s="3">
        <f>E608-D608</f>
        <v>1.736111111111116E-2</v>
      </c>
      <c r="G608" t="s">
        <v>16</v>
      </c>
      <c r="H608" t="s">
        <v>1</v>
      </c>
    </row>
    <row r="609" spans="1:8" x14ac:dyDescent="0.3">
      <c r="A609" s="2">
        <v>44679</v>
      </c>
      <c r="B609" s="2" t="str">
        <f>TEXT(AutoPomodoro[[#This Row],[DATE]],"mmmm")</f>
        <v>April</v>
      </c>
      <c r="C609" s="2" t="str">
        <f>TEXT(AutoPomodoro[[#This Row],[DATE]],"yyyy")</f>
        <v>2022</v>
      </c>
      <c r="D609" s="8">
        <f>E608+$T$17</f>
        <v>0.64722222222222237</v>
      </c>
      <c r="E609" s="8">
        <f>D609+$T$15</f>
        <v>0.66458333333333353</v>
      </c>
      <c r="F609" s="3">
        <v>1.8055555555555557E-2</v>
      </c>
      <c r="G609" t="s">
        <v>16</v>
      </c>
      <c r="H609" t="s">
        <v>1</v>
      </c>
    </row>
    <row r="610" spans="1:8" x14ac:dyDescent="0.3">
      <c r="A610" s="2">
        <v>44679</v>
      </c>
      <c r="B610" s="2" t="str">
        <f>TEXT(AutoPomodoro[[#This Row],[DATE]],"mmmm")</f>
        <v>April</v>
      </c>
      <c r="C610" s="2" t="str">
        <f>TEXT(AutoPomodoro[[#This Row],[DATE]],"yyyy")</f>
        <v>2022</v>
      </c>
      <c r="D610" s="8">
        <v>0.6645833333333333</v>
      </c>
      <c r="E610" s="8">
        <v>0.67499999999999993</v>
      </c>
      <c r="F610" s="3">
        <f t="shared" ref="F610:F616" si="46">E610-D610</f>
        <v>1.041666666666663E-2</v>
      </c>
      <c r="G610" t="s">
        <v>21</v>
      </c>
      <c r="H610" t="s">
        <v>1</v>
      </c>
    </row>
    <row r="611" spans="1:8" x14ac:dyDescent="0.3">
      <c r="A611" s="2">
        <v>44679</v>
      </c>
      <c r="B611" s="2" t="str">
        <f>TEXT(AutoPomodoro[[#This Row],[DATE]],"mmmm")</f>
        <v>April</v>
      </c>
      <c r="C611" s="2" t="str">
        <f>TEXT(AutoPomodoro[[#This Row],[DATE]],"yyyy")</f>
        <v>2022</v>
      </c>
      <c r="D611" s="8">
        <v>0.67499999999999993</v>
      </c>
      <c r="E611" s="8">
        <f>D611+$T$15</f>
        <v>0.69236111111111109</v>
      </c>
      <c r="F611" s="3">
        <f t="shared" si="46"/>
        <v>1.736111111111116E-2</v>
      </c>
      <c r="G611" t="s">
        <v>16</v>
      </c>
      <c r="H611" t="s">
        <v>1</v>
      </c>
    </row>
    <row r="612" spans="1:8" x14ac:dyDescent="0.3">
      <c r="A612" s="2">
        <v>44679</v>
      </c>
      <c r="B612" s="2" t="str">
        <f>TEXT(AutoPomodoro[[#This Row],[DATE]],"mmmm")</f>
        <v>April</v>
      </c>
      <c r="C612" s="2" t="str">
        <f>TEXT(AutoPomodoro[[#This Row],[DATE]],"yyyy")</f>
        <v>2022</v>
      </c>
      <c r="D612" s="8">
        <f>E611+$T$16</f>
        <v>0.6958333333333333</v>
      </c>
      <c r="E612" s="8">
        <f>D612+$T$15</f>
        <v>0.71319444444444446</v>
      </c>
      <c r="F612" s="3">
        <f t="shared" si="46"/>
        <v>1.736111111111116E-2</v>
      </c>
      <c r="G612" t="s">
        <v>16</v>
      </c>
      <c r="H612" t="s">
        <v>1</v>
      </c>
    </row>
    <row r="613" spans="1:8" x14ac:dyDescent="0.3">
      <c r="A613" s="2">
        <v>44679</v>
      </c>
      <c r="B613" s="2" t="str">
        <f>TEXT(AutoPomodoro[[#This Row],[DATE]],"mmmm")</f>
        <v>April</v>
      </c>
      <c r="C613" s="2" t="str">
        <f>TEXT(AutoPomodoro[[#This Row],[DATE]],"yyyy")</f>
        <v>2022</v>
      </c>
      <c r="D613" s="8">
        <f>E612+$T$16</f>
        <v>0.71666666666666667</v>
      </c>
      <c r="E613" s="8">
        <f>D613+$T$15</f>
        <v>0.73402777777777783</v>
      </c>
      <c r="F613" s="3">
        <f t="shared" si="46"/>
        <v>1.736111111111116E-2</v>
      </c>
      <c r="G613" t="s">
        <v>16</v>
      </c>
      <c r="H613" t="s">
        <v>1</v>
      </c>
    </row>
    <row r="614" spans="1:8" x14ac:dyDescent="0.3">
      <c r="A614" s="2">
        <v>44679</v>
      </c>
      <c r="B614" s="2" t="str">
        <f>TEXT(AutoPomodoro[[#This Row],[DATE]],"mmmm")</f>
        <v>April</v>
      </c>
      <c r="C614" s="2" t="str">
        <f>TEXT(AutoPomodoro[[#This Row],[DATE]],"yyyy")</f>
        <v>2022</v>
      </c>
      <c r="D614" s="8">
        <f>E613+$T$17</f>
        <v>0.73888888888888893</v>
      </c>
      <c r="E614" s="8">
        <f>D614+$T$15</f>
        <v>0.75625000000000009</v>
      </c>
      <c r="F614" s="3">
        <f t="shared" si="46"/>
        <v>1.736111111111116E-2</v>
      </c>
      <c r="G614" t="s">
        <v>16</v>
      </c>
      <c r="H614" t="s">
        <v>1</v>
      </c>
    </row>
    <row r="615" spans="1:8" x14ac:dyDescent="0.3">
      <c r="A615" s="2">
        <v>44679</v>
      </c>
      <c r="B615" s="2" t="str">
        <f>TEXT(AutoPomodoro[[#This Row],[DATE]],"mmmm")</f>
        <v>April</v>
      </c>
      <c r="C615" s="2" t="str">
        <f>TEXT(AutoPomodoro[[#This Row],[DATE]],"yyyy")</f>
        <v>2022</v>
      </c>
      <c r="D615" s="8">
        <v>0.75624999999999998</v>
      </c>
      <c r="E615" s="8">
        <v>0.76666666666666661</v>
      </c>
      <c r="F615" s="3">
        <f t="shared" si="46"/>
        <v>1.041666666666663E-2</v>
      </c>
      <c r="G615" t="s">
        <v>21</v>
      </c>
      <c r="H615" t="s">
        <v>1</v>
      </c>
    </row>
    <row r="616" spans="1:8" x14ac:dyDescent="0.3">
      <c r="A616" s="2">
        <v>44679</v>
      </c>
      <c r="B616" s="2" t="str">
        <f>TEXT(AutoPomodoro[[#This Row],[DATE]],"mmmm")</f>
        <v>April</v>
      </c>
      <c r="C616" s="2" t="str">
        <f>TEXT(AutoPomodoro[[#This Row],[DATE]],"yyyy")</f>
        <v>2022</v>
      </c>
      <c r="D616" s="8">
        <v>0.76666666666666661</v>
      </c>
      <c r="E616" s="8">
        <f t="shared" ref="E616:E621" si="47">D616+$T$15</f>
        <v>0.78402777777777777</v>
      </c>
      <c r="F616" s="3">
        <f t="shared" si="46"/>
        <v>1.736111111111116E-2</v>
      </c>
      <c r="G616" t="s">
        <v>16</v>
      </c>
      <c r="H616" t="s">
        <v>1</v>
      </c>
    </row>
    <row r="617" spans="1:8" x14ac:dyDescent="0.3">
      <c r="A617" s="2">
        <v>44679</v>
      </c>
      <c r="B617" s="2" t="str">
        <f>TEXT(AutoPomodoro[[#This Row],[DATE]],"mmmm")</f>
        <v>April</v>
      </c>
      <c r="C617" s="2" t="str">
        <f>TEXT(AutoPomodoro[[#This Row],[DATE]],"yyyy")</f>
        <v>2022</v>
      </c>
      <c r="D617" s="8">
        <f>E616+$T$16</f>
        <v>0.78749999999999998</v>
      </c>
      <c r="E617" s="8">
        <f t="shared" si="47"/>
        <v>0.80486111111111114</v>
      </c>
      <c r="F617" s="3">
        <v>1.9444444444444445E-2</v>
      </c>
      <c r="G617" t="s">
        <v>16</v>
      </c>
      <c r="H617" t="s">
        <v>1</v>
      </c>
    </row>
    <row r="618" spans="1:8" x14ac:dyDescent="0.3">
      <c r="A618" s="2">
        <v>44680</v>
      </c>
      <c r="B618" s="2" t="str">
        <f>TEXT(AutoPomodoro[[#This Row],[DATE]],"mmmm")</f>
        <v>April</v>
      </c>
      <c r="C618" s="2" t="str">
        <f>TEXT(AutoPomodoro[[#This Row],[DATE]],"yyyy")</f>
        <v>2022</v>
      </c>
      <c r="D618" s="8">
        <v>0.61111111111111105</v>
      </c>
      <c r="E618" s="8">
        <f t="shared" si="47"/>
        <v>0.62847222222222221</v>
      </c>
      <c r="F618" s="3">
        <f>E618-D618</f>
        <v>1.736111111111116E-2</v>
      </c>
      <c r="G618" t="s">
        <v>16</v>
      </c>
      <c r="H618" t="s">
        <v>1</v>
      </c>
    </row>
    <row r="619" spans="1:8" x14ac:dyDescent="0.3">
      <c r="A619" s="2">
        <v>44680</v>
      </c>
      <c r="B619" s="2" t="str">
        <f>TEXT(AutoPomodoro[[#This Row],[DATE]],"mmmm")</f>
        <v>April</v>
      </c>
      <c r="C619" s="2" t="str">
        <f>TEXT(AutoPomodoro[[#This Row],[DATE]],"yyyy")</f>
        <v>2022</v>
      </c>
      <c r="D619" s="8">
        <f>E618+$T$16</f>
        <v>0.63194444444444442</v>
      </c>
      <c r="E619" s="8">
        <f t="shared" si="47"/>
        <v>0.64930555555555558</v>
      </c>
      <c r="F619" s="3">
        <v>1.4583333333333332E-2</v>
      </c>
      <c r="G619" t="s">
        <v>16</v>
      </c>
      <c r="H619" t="s">
        <v>1</v>
      </c>
    </row>
    <row r="620" spans="1:8" x14ac:dyDescent="0.3">
      <c r="A620" s="2">
        <v>44680</v>
      </c>
      <c r="B620" s="2" t="str">
        <f>TEXT(AutoPomodoro[[#This Row],[DATE]],"mmmm")</f>
        <v>April</v>
      </c>
      <c r="C620" s="2" t="str">
        <f>TEXT(AutoPomodoro[[#This Row],[DATE]],"yyyy")</f>
        <v>2022</v>
      </c>
      <c r="D620" s="8">
        <f>E619+$T$16</f>
        <v>0.65277777777777779</v>
      </c>
      <c r="E620" s="8">
        <f t="shared" si="47"/>
        <v>0.67013888888888895</v>
      </c>
      <c r="F620" s="3">
        <f>E620-D620</f>
        <v>1.736111111111116E-2</v>
      </c>
      <c r="G620" t="s">
        <v>16</v>
      </c>
      <c r="H620" t="s">
        <v>1</v>
      </c>
    </row>
    <row r="621" spans="1:8" x14ac:dyDescent="0.3">
      <c r="A621" s="2">
        <v>44680</v>
      </c>
      <c r="B621" s="2" t="str">
        <f>TEXT(AutoPomodoro[[#This Row],[DATE]],"mmmm")</f>
        <v>April</v>
      </c>
      <c r="C621" s="2" t="str">
        <f>TEXT(AutoPomodoro[[#This Row],[DATE]],"yyyy")</f>
        <v>2022</v>
      </c>
      <c r="D621" s="8">
        <f>E620+$T$17</f>
        <v>0.67500000000000004</v>
      </c>
      <c r="E621" s="8">
        <f t="shared" si="47"/>
        <v>0.6923611111111112</v>
      </c>
      <c r="F621" s="3">
        <v>1.9444444444444445E-2</v>
      </c>
      <c r="G621" t="s">
        <v>16</v>
      </c>
      <c r="H621" t="s">
        <v>1</v>
      </c>
    </row>
    <row r="622" spans="1:8" x14ac:dyDescent="0.3">
      <c r="A622" s="2">
        <v>44680</v>
      </c>
      <c r="B622" s="2" t="str">
        <f>TEXT(AutoPomodoro[[#This Row],[DATE]],"mmmm")</f>
        <v>April</v>
      </c>
      <c r="C622" s="2" t="str">
        <f>TEXT(AutoPomodoro[[#This Row],[DATE]],"yyyy")</f>
        <v>2022</v>
      </c>
      <c r="D622" s="8">
        <v>0.69236111111111109</v>
      </c>
      <c r="E622" s="8">
        <v>0.70277777777777783</v>
      </c>
      <c r="F622" s="3">
        <f t="shared" ref="F622:F631" si="48">E622-D622</f>
        <v>1.0416666666666741E-2</v>
      </c>
      <c r="G622" t="s">
        <v>21</v>
      </c>
      <c r="H622" t="s">
        <v>1</v>
      </c>
    </row>
    <row r="623" spans="1:8" x14ac:dyDescent="0.3">
      <c r="A623" s="2">
        <v>44680</v>
      </c>
      <c r="B623" s="2" t="str">
        <f>TEXT(AutoPomodoro[[#This Row],[DATE]],"mmmm")</f>
        <v>April</v>
      </c>
      <c r="C623" s="2" t="str">
        <f>TEXT(AutoPomodoro[[#This Row],[DATE]],"yyyy")</f>
        <v>2022</v>
      </c>
      <c r="D623" s="8">
        <v>0.70277777777777783</v>
      </c>
      <c r="E623" s="8">
        <f>D623+$T$15</f>
        <v>0.72013888888888899</v>
      </c>
      <c r="F623" s="3">
        <f t="shared" si="48"/>
        <v>1.736111111111116E-2</v>
      </c>
      <c r="G623" t="s">
        <v>16</v>
      </c>
      <c r="H623" t="s">
        <v>2</v>
      </c>
    </row>
    <row r="624" spans="1:8" x14ac:dyDescent="0.3">
      <c r="A624" s="2">
        <v>44680</v>
      </c>
      <c r="B624" s="2" t="str">
        <f>TEXT(AutoPomodoro[[#This Row],[DATE]],"mmmm")</f>
        <v>April</v>
      </c>
      <c r="C624" s="2" t="str">
        <f>TEXT(AutoPomodoro[[#This Row],[DATE]],"yyyy")</f>
        <v>2022</v>
      </c>
      <c r="D624" s="8">
        <f>E623+$T$16</f>
        <v>0.7236111111111112</v>
      </c>
      <c r="E624" s="8">
        <f>D624+$T$15</f>
        <v>0.74097222222222237</v>
      </c>
      <c r="F624" s="3">
        <f t="shared" si="48"/>
        <v>1.736111111111116E-2</v>
      </c>
      <c r="G624" t="s">
        <v>16</v>
      </c>
      <c r="H624" t="s">
        <v>2</v>
      </c>
    </row>
    <row r="625" spans="1:8" x14ac:dyDescent="0.3">
      <c r="A625" s="2">
        <v>44680</v>
      </c>
      <c r="B625" s="2" t="str">
        <f>TEXT(AutoPomodoro[[#This Row],[DATE]],"mmmm")</f>
        <v>April</v>
      </c>
      <c r="C625" s="2" t="str">
        <f>TEXT(AutoPomodoro[[#This Row],[DATE]],"yyyy")</f>
        <v>2022</v>
      </c>
      <c r="D625" s="8">
        <f>E624+$T$16</f>
        <v>0.74444444444444458</v>
      </c>
      <c r="E625" s="8">
        <f>D625+$T$15</f>
        <v>0.76180555555555574</v>
      </c>
      <c r="F625" s="3">
        <f t="shared" si="48"/>
        <v>1.736111111111116E-2</v>
      </c>
      <c r="G625" t="s">
        <v>16</v>
      </c>
      <c r="H625" t="s">
        <v>2</v>
      </c>
    </row>
    <row r="626" spans="1:8" x14ac:dyDescent="0.3">
      <c r="A626" s="2">
        <v>44680</v>
      </c>
      <c r="B626" s="2" t="str">
        <f>TEXT(AutoPomodoro[[#This Row],[DATE]],"mmmm")</f>
        <v>April</v>
      </c>
      <c r="C626" s="2" t="str">
        <f>TEXT(AutoPomodoro[[#This Row],[DATE]],"yyyy")</f>
        <v>2022</v>
      </c>
      <c r="D626" s="8">
        <f>E625+$T$17</f>
        <v>0.76666666666666683</v>
      </c>
      <c r="E626" s="8">
        <f>D626+$T$15</f>
        <v>0.78402777777777799</v>
      </c>
      <c r="F626" s="3">
        <f t="shared" si="48"/>
        <v>1.736111111111116E-2</v>
      </c>
      <c r="G626" t="s">
        <v>16</v>
      </c>
      <c r="H626" t="s">
        <v>2</v>
      </c>
    </row>
    <row r="627" spans="1:8" x14ac:dyDescent="0.3">
      <c r="A627" s="2">
        <v>44680</v>
      </c>
      <c r="B627" s="2" t="str">
        <f>TEXT(AutoPomodoro[[#This Row],[DATE]],"mmmm")</f>
        <v>April</v>
      </c>
      <c r="C627" s="2" t="str">
        <f>TEXT(AutoPomodoro[[#This Row],[DATE]],"yyyy")</f>
        <v>2022</v>
      </c>
      <c r="D627" s="8">
        <v>0.78402777777777777</v>
      </c>
      <c r="E627" s="8">
        <v>0.7944444444444444</v>
      </c>
      <c r="F627" s="3">
        <f t="shared" si="48"/>
        <v>1.041666666666663E-2</v>
      </c>
      <c r="G627" t="s">
        <v>21</v>
      </c>
      <c r="H627" t="s">
        <v>2</v>
      </c>
    </row>
    <row r="628" spans="1:8" x14ac:dyDescent="0.3">
      <c r="A628" s="2">
        <v>44680</v>
      </c>
      <c r="B628" s="2" t="str">
        <f>TEXT(AutoPomodoro[[#This Row],[DATE]],"mmmm")</f>
        <v>April</v>
      </c>
      <c r="C628" s="2" t="str">
        <f>TEXT(AutoPomodoro[[#This Row],[DATE]],"yyyy")</f>
        <v>2022</v>
      </c>
      <c r="D628" s="8">
        <v>0.7944444444444444</v>
      </c>
      <c r="E628" s="8">
        <f>D628+$T$15</f>
        <v>0.81180555555555556</v>
      </c>
      <c r="F628" s="3">
        <f t="shared" si="48"/>
        <v>1.736111111111116E-2</v>
      </c>
      <c r="G628" t="s">
        <v>16</v>
      </c>
      <c r="H628" t="s">
        <v>2</v>
      </c>
    </row>
    <row r="629" spans="1:8" x14ac:dyDescent="0.3">
      <c r="A629" s="2">
        <v>44680</v>
      </c>
      <c r="B629" s="2" t="str">
        <f>TEXT(AutoPomodoro[[#This Row],[DATE]],"mmmm")</f>
        <v>April</v>
      </c>
      <c r="C629" s="2" t="str">
        <f>TEXT(AutoPomodoro[[#This Row],[DATE]],"yyyy")</f>
        <v>2022</v>
      </c>
      <c r="D629" s="8">
        <f>E628+$T$16</f>
        <v>0.81527777777777777</v>
      </c>
      <c r="E629" s="8">
        <f>D629+$T$15</f>
        <v>0.83263888888888893</v>
      </c>
      <c r="F629" s="3">
        <f t="shared" si="48"/>
        <v>1.736111111111116E-2</v>
      </c>
      <c r="G629" t="s">
        <v>16</v>
      </c>
      <c r="H629" t="s">
        <v>2</v>
      </c>
    </row>
    <row r="630" spans="1:8" x14ac:dyDescent="0.3">
      <c r="A630" s="2">
        <v>44680</v>
      </c>
      <c r="B630" s="2" t="str">
        <f>TEXT(AutoPomodoro[[#This Row],[DATE]],"mmmm")</f>
        <v>April</v>
      </c>
      <c r="C630" s="2" t="str">
        <f>TEXT(AutoPomodoro[[#This Row],[DATE]],"yyyy")</f>
        <v>2022</v>
      </c>
      <c r="D630" s="8">
        <f>E629+$T$16</f>
        <v>0.83611111111111114</v>
      </c>
      <c r="E630" s="8">
        <f>D630+$T$15</f>
        <v>0.8534722222222223</v>
      </c>
      <c r="F630" s="3">
        <f t="shared" si="48"/>
        <v>1.736111111111116E-2</v>
      </c>
      <c r="G630" t="s">
        <v>16</v>
      </c>
      <c r="H630" t="s">
        <v>2</v>
      </c>
    </row>
    <row r="631" spans="1:8" x14ac:dyDescent="0.3">
      <c r="A631" s="2">
        <v>44680</v>
      </c>
      <c r="B631" s="2" t="str">
        <f>TEXT(AutoPomodoro[[#This Row],[DATE]],"mmmm")</f>
        <v>April</v>
      </c>
      <c r="C631" s="2" t="str">
        <f>TEXT(AutoPomodoro[[#This Row],[DATE]],"yyyy")</f>
        <v>2022</v>
      </c>
      <c r="D631" s="8">
        <f>E630+$T$17</f>
        <v>0.85833333333333339</v>
      </c>
      <c r="E631" s="8">
        <f>D631+$T$15</f>
        <v>0.87569444444444455</v>
      </c>
      <c r="F631" s="3">
        <f t="shared" si="48"/>
        <v>1.736111111111116E-2</v>
      </c>
      <c r="G631" t="s">
        <v>16</v>
      </c>
      <c r="H631" t="s">
        <v>2</v>
      </c>
    </row>
    <row r="632" spans="1:8" x14ac:dyDescent="0.3">
      <c r="A632" s="2">
        <v>44690</v>
      </c>
      <c r="B632" s="2" t="str">
        <f>TEXT(AutoPomodoro[[#This Row],[DATE]],"mmmm")</f>
        <v>May</v>
      </c>
      <c r="C632" s="2" t="str">
        <f>TEXT(AutoPomodoro[[#This Row],[DATE]],"yyyy")</f>
        <v>2022</v>
      </c>
      <c r="D632" s="8">
        <v>0.65277777777777779</v>
      </c>
      <c r="E632" s="8">
        <v>0.68055555555555547</v>
      </c>
      <c r="F632" s="3">
        <v>2.9166666666666664E-2</v>
      </c>
      <c r="G632" t="s">
        <v>16</v>
      </c>
      <c r="H632" t="s">
        <v>1</v>
      </c>
    </row>
    <row r="633" spans="1:8" x14ac:dyDescent="0.3">
      <c r="A633" s="2">
        <v>44690</v>
      </c>
      <c r="B633" s="2" t="str">
        <f>TEXT(AutoPomodoro[[#This Row],[DATE]],"mmmm")</f>
        <v>May</v>
      </c>
      <c r="C633" s="2" t="str">
        <f>TEXT(AutoPomodoro[[#This Row],[DATE]],"yyyy")</f>
        <v>2022</v>
      </c>
      <c r="D633" s="8">
        <v>0.875</v>
      </c>
      <c r="E633" s="8">
        <f>D633+$T$15</f>
        <v>0.89236111111111116</v>
      </c>
      <c r="F633" s="3">
        <f t="shared" ref="F633:F638" si="49">E633-D633</f>
        <v>1.736111111111116E-2</v>
      </c>
      <c r="G633" t="s">
        <v>16</v>
      </c>
      <c r="H633" t="s">
        <v>2</v>
      </c>
    </row>
    <row r="634" spans="1:8" x14ac:dyDescent="0.3">
      <c r="A634" s="2">
        <v>44690</v>
      </c>
      <c r="B634" s="2" t="str">
        <f>TEXT(AutoPomodoro[[#This Row],[DATE]],"mmmm")</f>
        <v>May</v>
      </c>
      <c r="C634" s="2" t="str">
        <f>TEXT(AutoPomodoro[[#This Row],[DATE]],"yyyy")</f>
        <v>2022</v>
      </c>
      <c r="D634" s="8">
        <f>E633+$T$16</f>
        <v>0.89583333333333337</v>
      </c>
      <c r="E634" s="8">
        <f>D634+$T$15</f>
        <v>0.91319444444444453</v>
      </c>
      <c r="F634" s="3">
        <f t="shared" si="49"/>
        <v>1.736111111111116E-2</v>
      </c>
      <c r="G634" t="s">
        <v>16</v>
      </c>
      <c r="H634" t="s">
        <v>1</v>
      </c>
    </row>
    <row r="635" spans="1:8" x14ac:dyDescent="0.3">
      <c r="A635" s="2">
        <v>44690</v>
      </c>
      <c r="B635" s="2" t="str">
        <f>TEXT(AutoPomodoro[[#This Row],[DATE]],"mmmm")</f>
        <v>May</v>
      </c>
      <c r="C635" s="2" t="str">
        <f>TEXT(AutoPomodoro[[#This Row],[DATE]],"yyyy")</f>
        <v>2022</v>
      </c>
      <c r="D635" s="8">
        <f>E634+$T$16</f>
        <v>0.91666666666666674</v>
      </c>
      <c r="E635" s="8">
        <f>D635+$T$15</f>
        <v>0.9340277777777779</v>
      </c>
      <c r="F635" s="3">
        <f t="shared" si="49"/>
        <v>1.736111111111116E-2</v>
      </c>
      <c r="G635" t="s">
        <v>16</v>
      </c>
      <c r="H635" t="s">
        <v>1</v>
      </c>
    </row>
    <row r="636" spans="1:8" x14ac:dyDescent="0.3">
      <c r="A636" s="2">
        <v>44690</v>
      </c>
      <c r="B636" s="2" t="str">
        <f>TEXT(AutoPomodoro[[#This Row],[DATE]],"mmmm")</f>
        <v>May</v>
      </c>
      <c r="C636" s="2" t="str">
        <f>TEXT(AutoPomodoro[[#This Row],[DATE]],"yyyy")</f>
        <v>2022</v>
      </c>
      <c r="D636" s="8">
        <f>E635+$T$17</f>
        <v>0.93888888888888899</v>
      </c>
      <c r="E636" s="8">
        <f>D636+$T$15</f>
        <v>0.95625000000000016</v>
      </c>
      <c r="F636" s="3">
        <f t="shared" si="49"/>
        <v>1.736111111111116E-2</v>
      </c>
      <c r="G636" t="s">
        <v>16</v>
      </c>
      <c r="H636" t="s">
        <v>1</v>
      </c>
    </row>
    <row r="637" spans="1:8" x14ac:dyDescent="0.3">
      <c r="A637" s="2">
        <v>44690</v>
      </c>
      <c r="B637" s="2" t="str">
        <f>TEXT(AutoPomodoro[[#This Row],[DATE]],"mmmm")</f>
        <v>May</v>
      </c>
      <c r="C637" s="2" t="str">
        <f>TEXT(AutoPomodoro[[#This Row],[DATE]],"yyyy")</f>
        <v>2022</v>
      </c>
      <c r="D637" s="8">
        <v>0.95624999999999993</v>
      </c>
      <c r="E637" s="8">
        <v>0.96666666666666667</v>
      </c>
      <c r="F637" s="3">
        <f t="shared" si="49"/>
        <v>1.0416666666666741E-2</v>
      </c>
      <c r="G637" t="s">
        <v>21</v>
      </c>
      <c r="H637" t="s">
        <v>1</v>
      </c>
    </row>
    <row r="638" spans="1:8" x14ac:dyDescent="0.3">
      <c r="A638" s="2">
        <v>44690</v>
      </c>
      <c r="B638" s="2" t="str">
        <f>TEXT(AutoPomodoro[[#This Row],[DATE]],"mmmm")</f>
        <v>May</v>
      </c>
      <c r="C638" s="2" t="str">
        <f>TEXT(AutoPomodoro[[#This Row],[DATE]],"yyyy")</f>
        <v>2022</v>
      </c>
      <c r="D638" s="8">
        <v>0.96666666666666667</v>
      </c>
      <c r="E638" s="8">
        <f t="shared" ref="E638:E644" si="50">D638+$T$15</f>
        <v>0.98402777777777783</v>
      </c>
      <c r="F638" s="3">
        <f t="shared" si="49"/>
        <v>1.736111111111116E-2</v>
      </c>
      <c r="G638" t="s">
        <v>16</v>
      </c>
      <c r="H638" t="s">
        <v>1</v>
      </c>
    </row>
    <row r="639" spans="1:8" x14ac:dyDescent="0.3">
      <c r="A639" s="2">
        <v>44690</v>
      </c>
      <c r="B639" s="2" t="str">
        <f>TEXT(AutoPomodoro[[#This Row],[DATE]],"mmmm")</f>
        <v>May</v>
      </c>
      <c r="C639" s="2" t="str">
        <f>TEXT(AutoPomodoro[[#This Row],[DATE]],"yyyy")</f>
        <v>2022</v>
      </c>
      <c r="D639" s="8">
        <f>E638+$T$16</f>
        <v>0.98750000000000004</v>
      </c>
      <c r="E639" s="8">
        <f t="shared" si="50"/>
        <v>1.0048611111111112</v>
      </c>
      <c r="F639" s="3">
        <v>2.9166666666666664E-2</v>
      </c>
      <c r="G639" t="s">
        <v>16</v>
      </c>
      <c r="H639" t="s">
        <v>1</v>
      </c>
    </row>
    <row r="640" spans="1:8" x14ac:dyDescent="0.3">
      <c r="A640" s="2">
        <v>44691</v>
      </c>
      <c r="B640" s="2" t="str">
        <f>TEXT(AutoPomodoro[[#This Row],[DATE]],"mmmm")</f>
        <v>May</v>
      </c>
      <c r="C640" s="2" t="str">
        <f>TEXT(AutoPomodoro[[#This Row],[DATE]],"yyyy")</f>
        <v>2022</v>
      </c>
      <c r="D640" s="8">
        <v>0.625</v>
      </c>
      <c r="E640" s="8">
        <f t="shared" si="50"/>
        <v>0.64236111111111116</v>
      </c>
      <c r="F640" s="3">
        <v>2.1527777777777781E-2</v>
      </c>
      <c r="G640" t="s">
        <v>16</v>
      </c>
      <c r="H640" t="s">
        <v>1</v>
      </c>
    </row>
    <row r="641" spans="1:8" x14ac:dyDescent="0.3">
      <c r="A641" s="2">
        <v>44691</v>
      </c>
      <c r="B641" s="2" t="str">
        <f>TEXT(AutoPomodoro[[#This Row],[DATE]],"mmmm")</f>
        <v>May</v>
      </c>
      <c r="C641" s="2" t="str">
        <f>TEXT(AutoPomodoro[[#This Row],[DATE]],"yyyy")</f>
        <v>2022</v>
      </c>
      <c r="D641" s="8">
        <v>0.85416666666666663</v>
      </c>
      <c r="E641" s="8">
        <f t="shared" si="50"/>
        <v>0.87152777777777779</v>
      </c>
      <c r="F641" s="3">
        <f t="shared" ref="F641:F648" si="51">E641-D641</f>
        <v>1.736111111111116E-2</v>
      </c>
      <c r="G641" t="s">
        <v>16</v>
      </c>
      <c r="H641" t="s">
        <v>2</v>
      </c>
    </row>
    <row r="642" spans="1:8" x14ac:dyDescent="0.3">
      <c r="A642" s="2">
        <v>44691</v>
      </c>
      <c r="B642" s="2" t="str">
        <f>TEXT(AutoPomodoro[[#This Row],[DATE]],"mmmm")</f>
        <v>May</v>
      </c>
      <c r="C642" s="2" t="str">
        <f>TEXT(AutoPomodoro[[#This Row],[DATE]],"yyyy")</f>
        <v>2022</v>
      </c>
      <c r="D642" s="8">
        <f>E641+$T$16</f>
        <v>0.875</v>
      </c>
      <c r="E642" s="8">
        <f t="shared" si="50"/>
        <v>0.89236111111111116</v>
      </c>
      <c r="F642" s="3">
        <f t="shared" si="51"/>
        <v>1.736111111111116E-2</v>
      </c>
      <c r="G642" t="s">
        <v>16</v>
      </c>
      <c r="H642" t="s">
        <v>1</v>
      </c>
    </row>
    <row r="643" spans="1:8" x14ac:dyDescent="0.3">
      <c r="A643" s="2">
        <v>44691</v>
      </c>
      <c r="B643" s="2" t="str">
        <f>TEXT(AutoPomodoro[[#This Row],[DATE]],"mmmm")</f>
        <v>May</v>
      </c>
      <c r="C643" s="2" t="str">
        <f>TEXT(AutoPomodoro[[#This Row],[DATE]],"yyyy")</f>
        <v>2022</v>
      </c>
      <c r="D643" s="8">
        <f>E642+$T$16</f>
        <v>0.89583333333333337</v>
      </c>
      <c r="E643" s="8">
        <f t="shared" si="50"/>
        <v>0.91319444444444453</v>
      </c>
      <c r="F643" s="3">
        <f t="shared" si="51"/>
        <v>1.736111111111116E-2</v>
      </c>
      <c r="G643" t="s">
        <v>16</v>
      </c>
      <c r="H643" t="s">
        <v>1</v>
      </c>
    </row>
    <row r="644" spans="1:8" x14ac:dyDescent="0.3">
      <c r="A644" s="2">
        <v>44691</v>
      </c>
      <c r="B644" s="2" t="str">
        <f>TEXT(AutoPomodoro[[#This Row],[DATE]],"mmmm")</f>
        <v>May</v>
      </c>
      <c r="C644" s="2" t="str">
        <f>TEXT(AutoPomodoro[[#This Row],[DATE]],"yyyy")</f>
        <v>2022</v>
      </c>
      <c r="D644" s="8">
        <f>E643+$T$17</f>
        <v>0.91805555555555562</v>
      </c>
      <c r="E644" s="8">
        <f t="shared" si="50"/>
        <v>0.93541666666666679</v>
      </c>
      <c r="F644" s="3">
        <f t="shared" si="51"/>
        <v>1.736111111111116E-2</v>
      </c>
      <c r="G644" t="s">
        <v>16</v>
      </c>
      <c r="H644" t="s">
        <v>1</v>
      </c>
    </row>
    <row r="645" spans="1:8" x14ac:dyDescent="0.3">
      <c r="A645" s="2">
        <v>44691</v>
      </c>
      <c r="B645" s="2" t="str">
        <f>TEXT(AutoPomodoro[[#This Row],[DATE]],"mmmm")</f>
        <v>May</v>
      </c>
      <c r="C645" s="2" t="str">
        <f>TEXT(AutoPomodoro[[#This Row],[DATE]],"yyyy")</f>
        <v>2022</v>
      </c>
      <c r="D645" s="8">
        <v>0.93541666666666667</v>
      </c>
      <c r="E645" s="8">
        <v>0.9458333333333333</v>
      </c>
      <c r="F645" s="3">
        <f t="shared" si="51"/>
        <v>1.041666666666663E-2</v>
      </c>
      <c r="G645" t="s">
        <v>21</v>
      </c>
      <c r="H645" t="s">
        <v>1</v>
      </c>
    </row>
    <row r="646" spans="1:8" x14ac:dyDescent="0.3">
      <c r="A646" s="2">
        <v>44691</v>
      </c>
      <c r="B646" s="2" t="str">
        <f>TEXT(AutoPomodoro[[#This Row],[DATE]],"mmmm")</f>
        <v>May</v>
      </c>
      <c r="C646" s="2" t="str">
        <f>TEXT(AutoPomodoro[[#This Row],[DATE]],"yyyy")</f>
        <v>2022</v>
      </c>
      <c r="D646" s="8">
        <v>0.9458333333333333</v>
      </c>
      <c r="E646" s="8">
        <v>0.95624999999999993</v>
      </c>
      <c r="F646" s="3">
        <f t="shared" si="51"/>
        <v>1.041666666666663E-2</v>
      </c>
      <c r="G646" t="s">
        <v>0</v>
      </c>
      <c r="H646" t="s">
        <v>2</v>
      </c>
    </row>
    <row r="647" spans="1:8" x14ac:dyDescent="0.3">
      <c r="A647" s="2">
        <v>44691</v>
      </c>
      <c r="B647" s="2" t="str">
        <f>TEXT(AutoPomodoro[[#This Row],[DATE]],"mmmm")</f>
        <v>May</v>
      </c>
      <c r="C647" s="2" t="str">
        <f>TEXT(AutoPomodoro[[#This Row],[DATE]],"yyyy")</f>
        <v>2022</v>
      </c>
      <c r="D647" s="8">
        <v>0.95833333333333337</v>
      </c>
      <c r="E647" s="8">
        <f>D647+$T$15</f>
        <v>0.97569444444444453</v>
      </c>
      <c r="F647" s="3">
        <f t="shared" si="51"/>
        <v>1.736111111111116E-2</v>
      </c>
      <c r="G647" t="s">
        <v>16</v>
      </c>
      <c r="H647" t="s">
        <v>1</v>
      </c>
    </row>
    <row r="648" spans="1:8" x14ac:dyDescent="0.3">
      <c r="A648" s="2">
        <v>44691</v>
      </c>
      <c r="B648" s="2" t="str">
        <f>TEXT(AutoPomodoro[[#This Row],[DATE]],"mmmm")</f>
        <v>May</v>
      </c>
      <c r="C648" s="2" t="str">
        <f>TEXT(AutoPomodoro[[#This Row],[DATE]],"yyyy")</f>
        <v>2022</v>
      </c>
      <c r="D648" s="8">
        <f>E647+$T$16</f>
        <v>0.97916666666666674</v>
      </c>
      <c r="E648" s="8">
        <f>D648+$T$15</f>
        <v>0.9965277777777779</v>
      </c>
      <c r="F648" s="3">
        <f t="shared" si="51"/>
        <v>1.736111111111116E-2</v>
      </c>
      <c r="G648" t="s">
        <v>16</v>
      </c>
      <c r="H648" t="s">
        <v>1</v>
      </c>
    </row>
    <row r="649" spans="1:8" x14ac:dyDescent="0.3">
      <c r="A649" s="2">
        <v>44691</v>
      </c>
      <c r="B649" s="2" t="str">
        <f>TEXT(AutoPomodoro[[#This Row],[DATE]],"mmmm")</f>
        <v>May</v>
      </c>
      <c r="C649" s="2" t="str">
        <f>TEXT(AutoPomodoro[[#This Row],[DATE]],"yyyy")</f>
        <v>2022</v>
      </c>
      <c r="D649" s="8">
        <f>E648+$T$16</f>
        <v>1.0000000000000002</v>
      </c>
      <c r="E649" s="8">
        <f>D649+$T$15</f>
        <v>1.0173611111111114</v>
      </c>
      <c r="F649" s="3">
        <v>1.7361111111111112E-2</v>
      </c>
      <c r="G649" t="s">
        <v>16</v>
      </c>
      <c r="H649" t="s">
        <v>1</v>
      </c>
    </row>
    <row r="650" spans="1:8" x14ac:dyDescent="0.3">
      <c r="A650" s="2">
        <v>44693</v>
      </c>
      <c r="B650" s="2" t="str">
        <f>TEXT(AutoPomodoro[[#This Row],[DATE]],"mmmm")</f>
        <v>May</v>
      </c>
      <c r="C650" s="2" t="str">
        <f>TEXT(AutoPomodoro[[#This Row],[DATE]],"yyyy")</f>
        <v>2022</v>
      </c>
      <c r="D650" s="8">
        <v>0.63541666666666663</v>
      </c>
      <c r="E650" s="8">
        <v>0.64583333333333337</v>
      </c>
      <c r="F650" s="3">
        <f>E650-D650</f>
        <v>1.0416666666666741E-2</v>
      </c>
      <c r="G650" t="s">
        <v>0</v>
      </c>
      <c r="H650" t="s">
        <v>1</v>
      </c>
    </row>
    <row r="651" spans="1:8" x14ac:dyDescent="0.3">
      <c r="A651" s="2">
        <v>44693</v>
      </c>
      <c r="B651" s="2" t="str">
        <f>TEXT(AutoPomodoro[[#This Row],[DATE]],"mmmm")</f>
        <v>May</v>
      </c>
      <c r="C651" s="2" t="str">
        <f>TEXT(AutoPomodoro[[#This Row],[DATE]],"yyyy")</f>
        <v>2022</v>
      </c>
      <c r="D651" s="8">
        <v>0.6479166666666667</v>
      </c>
      <c r="E651" s="8">
        <f>D651+$T$15</f>
        <v>0.66527777777777786</v>
      </c>
      <c r="F651" s="3">
        <f>E651-D651</f>
        <v>1.736111111111116E-2</v>
      </c>
      <c r="G651" t="s">
        <v>16</v>
      </c>
      <c r="H651" t="s">
        <v>1</v>
      </c>
    </row>
    <row r="652" spans="1:8" x14ac:dyDescent="0.3">
      <c r="A652" s="2">
        <v>44693</v>
      </c>
      <c r="B652" s="2" t="str">
        <f>TEXT(AutoPomodoro[[#This Row],[DATE]],"mmmm")</f>
        <v>May</v>
      </c>
      <c r="C652" s="2" t="str">
        <f>TEXT(AutoPomodoro[[#This Row],[DATE]],"yyyy")</f>
        <v>2022</v>
      </c>
      <c r="D652" s="8">
        <f>E651+$T$16</f>
        <v>0.66875000000000007</v>
      </c>
      <c r="E652" s="8">
        <f>D652+$T$15</f>
        <v>0.68611111111111123</v>
      </c>
      <c r="F652" s="3">
        <v>3.4027777777777775E-2</v>
      </c>
      <c r="G652" t="s">
        <v>17</v>
      </c>
      <c r="H652" t="s">
        <v>1</v>
      </c>
    </row>
    <row r="653" spans="1:8" x14ac:dyDescent="0.3">
      <c r="A653" s="2">
        <v>44694</v>
      </c>
      <c r="B653" s="2" t="str">
        <f>TEXT(AutoPomodoro[[#This Row],[DATE]],"mmmm")</f>
        <v>May</v>
      </c>
      <c r="C653" s="2" t="str">
        <f>TEXT(AutoPomodoro[[#This Row],[DATE]],"yyyy")</f>
        <v>2022</v>
      </c>
      <c r="D653" s="8">
        <v>0.57638888888888895</v>
      </c>
      <c r="E653" s="8">
        <v>0.58680555555555558</v>
      </c>
      <c r="F653" s="3">
        <f>E653-D653</f>
        <v>1.041666666666663E-2</v>
      </c>
      <c r="G653" t="s">
        <v>0</v>
      </c>
      <c r="H653" t="s">
        <v>1</v>
      </c>
    </row>
    <row r="654" spans="1:8" x14ac:dyDescent="0.3">
      <c r="A654" s="2">
        <v>44694</v>
      </c>
      <c r="B654" s="2" t="str">
        <f>TEXT(AutoPomodoro[[#This Row],[DATE]],"mmmm")</f>
        <v>May</v>
      </c>
      <c r="C654" s="2" t="str">
        <f>TEXT(AutoPomodoro[[#This Row],[DATE]],"yyyy")</f>
        <v>2022</v>
      </c>
      <c r="D654" s="8">
        <v>0.58888888888888891</v>
      </c>
      <c r="E654" s="8">
        <f>D654+$T$15</f>
        <v>0.60625000000000007</v>
      </c>
      <c r="F654" s="3">
        <f>E654-D654</f>
        <v>1.736111111111116E-2</v>
      </c>
      <c r="G654" t="s">
        <v>16</v>
      </c>
      <c r="H654" t="s">
        <v>1</v>
      </c>
    </row>
    <row r="655" spans="1:8" x14ac:dyDescent="0.3">
      <c r="A655" s="2">
        <v>44694</v>
      </c>
      <c r="B655" s="2" t="str">
        <f>TEXT(AutoPomodoro[[#This Row],[DATE]],"mmmm")</f>
        <v>May</v>
      </c>
      <c r="C655" s="2" t="str">
        <f>TEXT(AutoPomodoro[[#This Row],[DATE]],"yyyy")</f>
        <v>2022</v>
      </c>
      <c r="D655" s="8">
        <f>E654+$T$16</f>
        <v>0.60972222222222228</v>
      </c>
      <c r="E655" s="8">
        <f>D655+$T$15</f>
        <v>0.62708333333333344</v>
      </c>
      <c r="F655" s="3">
        <f>E655-D655</f>
        <v>1.736111111111116E-2</v>
      </c>
      <c r="G655" t="s">
        <v>16</v>
      </c>
      <c r="H655" t="s">
        <v>1</v>
      </c>
    </row>
    <row r="656" spans="1:8" x14ac:dyDescent="0.3">
      <c r="A656" s="2">
        <v>44694</v>
      </c>
      <c r="B656" s="2" t="str">
        <f>TEXT(AutoPomodoro[[#This Row],[DATE]],"mmmm")</f>
        <v>May</v>
      </c>
      <c r="C656" s="2" t="str">
        <f>TEXT(AutoPomodoro[[#This Row],[DATE]],"yyyy")</f>
        <v>2022</v>
      </c>
      <c r="D656" s="8">
        <f>E655+$T$16</f>
        <v>0.63055555555555565</v>
      </c>
      <c r="E656" s="8">
        <f>D656+$T$15</f>
        <v>0.64791666666666681</v>
      </c>
      <c r="F656" s="3">
        <f>E656-D656</f>
        <v>1.736111111111116E-2</v>
      </c>
      <c r="G656" t="s">
        <v>16</v>
      </c>
      <c r="H656" t="s">
        <v>1</v>
      </c>
    </row>
    <row r="657" spans="1:8" x14ac:dyDescent="0.3">
      <c r="A657" s="2">
        <v>44694</v>
      </c>
      <c r="B657" s="2" t="str">
        <f>TEXT(AutoPomodoro[[#This Row],[DATE]],"mmmm")</f>
        <v>May</v>
      </c>
      <c r="C657" s="2" t="str">
        <f>TEXT(AutoPomodoro[[#This Row],[DATE]],"yyyy")</f>
        <v>2022</v>
      </c>
      <c r="D657" s="8">
        <f>E656+$T$17</f>
        <v>0.6527777777777779</v>
      </c>
      <c r="E657" s="8">
        <f>D657+$T$15</f>
        <v>0.67013888888888906</v>
      </c>
      <c r="F657" s="3">
        <v>2.6388888888888889E-2</v>
      </c>
      <c r="G657" t="s">
        <v>16</v>
      </c>
      <c r="H657" t="s">
        <v>1</v>
      </c>
    </row>
    <row r="658" spans="1:8" x14ac:dyDescent="0.3">
      <c r="A658" s="2">
        <v>44696</v>
      </c>
      <c r="B658" s="2" t="str">
        <f>TEXT(AutoPomodoro[[#This Row],[DATE]],"mmmm")</f>
        <v>May</v>
      </c>
      <c r="C658" s="2" t="str">
        <f>TEXT(AutoPomodoro[[#This Row],[DATE]],"yyyy")</f>
        <v>2022</v>
      </c>
      <c r="D658" s="8">
        <v>0.85763888888888884</v>
      </c>
      <c r="E658" s="8">
        <v>0.86597222222222225</v>
      </c>
      <c r="F658" s="3">
        <f>E658-D658</f>
        <v>8.3333333333334147E-3</v>
      </c>
      <c r="G658" t="s">
        <v>16</v>
      </c>
      <c r="H658" t="s">
        <v>1</v>
      </c>
    </row>
    <row r="659" spans="1:8" x14ac:dyDescent="0.3">
      <c r="A659" s="2">
        <v>44696</v>
      </c>
      <c r="B659" s="2" t="str">
        <f>TEXT(AutoPomodoro[[#This Row],[DATE]],"mmmm")</f>
        <v>May</v>
      </c>
      <c r="C659" s="2" t="str">
        <f>TEXT(AutoPomodoro[[#This Row],[DATE]],"yyyy")</f>
        <v>2022</v>
      </c>
      <c r="D659" s="8">
        <v>0.86875000000000002</v>
      </c>
      <c r="E659" s="8">
        <v>0.90416666666666667</v>
      </c>
      <c r="F659" s="3">
        <f>E659-D659</f>
        <v>3.5416666666666652E-2</v>
      </c>
      <c r="G659" t="s">
        <v>16</v>
      </c>
      <c r="H659" t="s">
        <v>1</v>
      </c>
    </row>
    <row r="660" spans="1:8" x14ac:dyDescent="0.3">
      <c r="A660" s="2">
        <v>44698</v>
      </c>
      <c r="B660" s="2" t="str">
        <f>TEXT(AutoPomodoro[[#This Row],[DATE]],"mmmm")</f>
        <v>May</v>
      </c>
      <c r="C660" s="2" t="str">
        <f>TEXT(AutoPomodoro[[#This Row],[DATE]],"yyyy")</f>
        <v>2022</v>
      </c>
      <c r="D660" s="8">
        <v>0.6875</v>
      </c>
      <c r="E660" s="8">
        <f>D660+$T$15</f>
        <v>0.70486111111111116</v>
      </c>
      <c r="F660" s="3">
        <f>E660-D660</f>
        <v>1.736111111111116E-2</v>
      </c>
      <c r="G660" t="s">
        <v>16</v>
      </c>
      <c r="H660" t="s">
        <v>1</v>
      </c>
    </row>
    <row r="661" spans="1:8" x14ac:dyDescent="0.3">
      <c r="A661" s="2">
        <v>44698</v>
      </c>
      <c r="B661" s="2" t="str">
        <f>TEXT(AutoPomodoro[[#This Row],[DATE]],"mmmm")</f>
        <v>May</v>
      </c>
      <c r="C661" s="2" t="str">
        <f>TEXT(AutoPomodoro[[#This Row],[DATE]],"yyyy")</f>
        <v>2022</v>
      </c>
      <c r="D661" s="8">
        <f>E660+$T$16</f>
        <v>0.70833333333333337</v>
      </c>
      <c r="E661" s="8">
        <f>D661+$T$15</f>
        <v>0.72569444444444453</v>
      </c>
      <c r="F661" s="3">
        <f>E661-D661</f>
        <v>1.736111111111116E-2</v>
      </c>
      <c r="G661" t="s">
        <v>16</v>
      </c>
      <c r="H661" t="s">
        <v>1</v>
      </c>
    </row>
    <row r="662" spans="1:8" x14ac:dyDescent="0.3">
      <c r="A662" s="2">
        <v>44698</v>
      </c>
      <c r="B662" s="2" t="str">
        <f>TEXT(AutoPomodoro[[#This Row],[DATE]],"mmmm")</f>
        <v>May</v>
      </c>
      <c r="C662" s="2" t="str">
        <f>TEXT(AutoPomodoro[[#This Row],[DATE]],"yyyy")</f>
        <v>2022</v>
      </c>
      <c r="D662" s="8">
        <v>0.9375</v>
      </c>
      <c r="E662" s="8">
        <v>0.94791666666666663</v>
      </c>
      <c r="F662" s="3">
        <v>1.1805555555555555E-2</v>
      </c>
      <c r="G662" t="s">
        <v>0</v>
      </c>
      <c r="H662" t="s">
        <v>1</v>
      </c>
    </row>
    <row r="663" spans="1:8" x14ac:dyDescent="0.3">
      <c r="A663" s="2">
        <v>44698</v>
      </c>
      <c r="B663" s="2" t="str">
        <f>TEXT(AutoPomodoro[[#This Row],[DATE]],"mmmm")</f>
        <v>May</v>
      </c>
      <c r="C663" s="2" t="str">
        <f>TEXT(AutoPomodoro[[#This Row],[DATE]],"yyyy")</f>
        <v>2022</v>
      </c>
      <c r="D663" s="8">
        <v>0.95000000000000007</v>
      </c>
      <c r="E663" s="8">
        <f t="shared" ref="E663:E675" si="52">D663+$T$15</f>
        <v>0.96736111111111123</v>
      </c>
      <c r="F663" s="3">
        <f>E663-D663</f>
        <v>1.736111111111116E-2</v>
      </c>
      <c r="G663" t="s">
        <v>16</v>
      </c>
      <c r="H663" t="s">
        <v>1</v>
      </c>
    </row>
    <row r="664" spans="1:8" x14ac:dyDescent="0.3">
      <c r="A664" s="2">
        <v>44698</v>
      </c>
      <c r="B664" s="2" t="str">
        <f>TEXT(AutoPomodoro[[#This Row],[DATE]],"mmmm")</f>
        <v>May</v>
      </c>
      <c r="C664" s="2" t="str">
        <f>TEXT(AutoPomodoro[[#This Row],[DATE]],"yyyy")</f>
        <v>2022</v>
      </c>
      <c r="D664" s="8">
        <f>E663+$T$16</f>
        <v>0.97083333333333344</v>
      </c>
      <c r="E664" s="8">
        <f t="shared" si="52"/>
        <v>0.9881944444444446</v>
      </c>
      <c r="F664" s="3">
        <f>E664-D664</f>
        <v>1.736111111111116E-2</v>
      </c>
      <c r="G664" t="s">
        <v>16</v>
      </c>
      <c r="H664" t="s">
        <v>1</v>
      </c>
    </row>
    <row r="665" spans="1:8" x14ac:dyDescent="0.3">
      <c r="A665" s="2">
        <v>44698</v>
      </c>
      <c r="B665" s="2" t="str">
        <f>TEXT(AutoPomodoro[[#This Row],[DATE]],"mmmm")</f>
        <v>May</v>
      </c>
      <c r="C665" s="2" t="str">
        <f>TEXT(AutoPomodoro[[#This Row],[DATE]],"yyyy")</f>
        <v>2022</v>
      </c>
      <c r="D665" s="8">
        <f>E664+$T$16</f>
        <v>0.99166666666666681</v>
      </c>
      <c r="E665" s="8">
        <f t="shared" si="52"/>
        <v>1.0090277777777779</v>
      </c>
      <c r="F665" s="3">
        <f>E665-D665</f>
        <v>1.7361111111111049E-2</v>
      </c>
      <c r="G665" t="s">
        <v>16</v>
      </c>
      <c r="H665" t="s">
        <v>1</v>
      </c>
    </row>
    <row r="666" spans="1:8" x14ac:dyDescent="0.3">
      <c r="A666" s="2">
        <v>44698</v>
      </c>
      <c r="B666" s="2" t="str">
        <f>TEXT(AutoPomodoro[[#This Row],[DATE]],"mmmm")</f>
        <v>May</v>
      </c>
      <c r="C666" s="2" t="str">
        <f>TEXT(AutoPomodoro[[#This Row],[DATE]],"yyyy")</f>
        <v>2022</v>
      </c>
      <c r="D666" s="8">
        <f>E665+$T$17</f>
        <v>1.0138888888888891</v>
      </c>
      <c r="E666" s="8">
        <f t="shared" si="52"/>
        <v>1.0312500000000002</v>
      </c>
      <c r="F666" s="3">
        <v>2.1527777777777781E-2</v>
      </c>
      <c r="G666" t="s">
        <v>16</v>
      </c>
      <c r="H666" t="s">
        <v>1</v>
      </c>
    </row>
    <row r="667" spans="1:8" x14ac:dyDescent="0.3">
      <c r="A667" s="2">
        <v>44698</v>
      </c>
      <c r="B667" s="2" t="str">
        <f>TEXT(AutoPomodoro[[#This Row],[DATE]],"mmmm")</f>
        <v>May</v>
      </c>
      <c r="C667" s="2" t="str">
        <f>TEXT(AutoPomodoro[[#This Row],[DATE]],"yyyy")</f>
        <v>2022</v>
      </c>
      <c r="D667" s="8">
        <v>0.58819444444444446</v>
      </c>
      <c r="E667" s="8">
        <f t="shared" si="52"/>
        <v>0.60555555555555562</v>
      </c>
      <c r="F667" s="3">
        <v>2.013888888888889E-2</v>
      </c>
      <c r="G667" t="s">
        <v>16</v>
      </c>
      <c r="H667" t="s">
        <v>1</v>
      </c>
    </row>
    <row r="668" spans="1:8" x14ac:dyDescent="0.3">
      <c r="A668" s="2">
        <v>44698</v>
      </c>
      <c r="B668" s="2" t="str">
        <f>TEXT(AutoPomodoro[[#This Row],[DATE]],"mmmm")</f>
        <v>May</v>
      </c>
      <c r="C668" s="2" t="str">
        <f>TEXT(AutoPomodoro[[#This Row],[DATE]],"yyyy")</f>
        <v>2022</v>
      </c>
      <c r="D668" s="8">
        <v>0.60902777777777783</v>
      </c>
      <c r="E668" s="8">
        <f t="shared" si="52"/>
        <v>0.62638888888888899</v>
      </c>
      <c r="F668" s="3">
        <v>1.9444444444444445E-2</v>
      </c>
      <c r="G668" t="s">
        <v>16</v>
      </c>
      <c r="H668" t="s">
        <v>1</v>
      </c>
    </row>
    <row r="669" spans="1:8" x14ac:dyDescent="0.3">
      <c r="A669" s="2">
        <v>44705</v>
      </c>
      <c r="B669" s="2" t="str">
        <f>TEXT(AutoPomodoro[[#This Row],[DATE]],"mmmm")</f>
        <v>May</v>
      </c>
      <c r="C669" s="2" t="str">
        <f>TEXT(AutoPomodoro[[#This Row],[DATE]],"yyyy")</f>
        <v>2022</v>
      </c>
      <c r="D669" s="8">
        <v>0.94791666666666663</v>
      </c>
      <c r="E669" s="8">
        <f t="shared" si="52"/>
        <v>0.96527777777777779</v>
      </c>
      <c r="F669" s="3">
        <v>2.2916666666666669E-2</v>
      </c>
      <c r="G669" t="s">
        <v>16</v>
      </c>
      <c r="H669" t="s">
        <v>1</v>
      </c>
    </row>
    <row r="670" spans="1:8" x14ac:dyDescent="0.3">
      <c r="A670" s="2">
        <v>44705</v>
      </c>
      <c r="B670" s="2" t="str">
        <f>TEXT(AutoPomodoro[[#This Row],[DATE]],"mmmm")</f>
        <v>May</v>
      </c>
      <c r="C670" s="2" t="str">
        <f>TEXT(AutoPomodoro[[#This Row],[DATE]],"yyyy")</f>
        <v>2022</v>
      </c>
      <c r="D670" s="8">
        <f>E669+$T$16</f>
        <v>0.96875</v>
      </c>
      <c r="E670" s="8">
        <f t="shared" si="52"/>
        <v>0.98611111111111116</v>
      </c>
      <c r="F670" s="3">
        <v>2.0833333333333332E-2</v>
      </c>
      <c r="G670" t="s">
        <v>16</v>
      </c>
      <c r="H670" t="s">
        <v>1</v>
      </c>
    </row>
    <row r="671" spans="1:8" x14ac:dyDescent="0.3">
      <c r="A671" s="2">
        <v>44705</v>
      </c>
      <c r="B671" s="2" t="str">
        <f>TEXT(AutoPomodoro[[#This Row],[DATE]],"mmmm")</f>
        <v>May</v>
      </c>
      <c r="C671" s="2" t="str">
        <f>TEXT(AutoPomodoro[[#This Row],[DATE]],"yyyy")</f>
        <v>2022</v>
      </c>
      <c r="D671" s="8">
        <f>E670+$T$16</f>
        <v>0.98958333333333337</v>
      </c>
      <c r="E671" s="8">
        <f t="shared" si="52"/>
        <v>1.0069444444444444</v>
      </c>
      <c r="F671" s="3">
        <v>2.4305555555555556E-2</v>
      </c>
      <c r="G671" t="s">
        <v>16</v>
      </c>
      <c r="H671" t="s">
        <v>1</v>
      </c>
    </row>
    <row r="672" spans="1:8" x14ac:dyDescent="0.3">
      <c r="A672" s="2">
        <v>44706</v>
      </c>
      <c r="B672" s="2" t="str">
        <f>TEXT(AutoPomodoro[[#This Row],[DATE]],"mmmm")</f>
        <v>May</v>
      </c>
      <c r="C672" s="2" t="str">
        <f>TEXT(AutoPomodoro[[#This Row],[DATE]],"yyyy")</f>
        <v>2022</v>
      </c>
      <c r="D672" s="8">
        <v>0.68402777777777779</v>
      </c>
      <c r="E672" s="8">
        <f t="shared" si="52"/>
        <v>0.70138888888888895</v>
      </c>
      <c r="F672" s="3">
        <f t="shared" ref="F672:F677" si="53">E672-D672</f>
        <v>1.736111111111116E-2</v>
      </c>
      <c r="G672" t="s">
        <v>17</v>
      </c>
      <c r="H672" t="s">
        <v>1</v>
      </c>
    </row>
    <row r="673" spans="1:8" x14ac:dyDescent="0.3">
      <c r="A673" s="2">
        <v>44706</v>
      </c>
      <c r="B673" s="2" t="str">
        <f>TEXT(AutoPomodoro[[#This Row],[DATE]],"mmmm")</f>
        <v>May</v>
      </c>
      <c r="C673" s="2" t="str">
        <f>TEXT(AutoPomodoro[[#This Row],[DATE]],"yyyy")</f>
        <v>2022</v>
      </c>
      <c r="D673" s="8">
        <f>E672+$T$16</f>
        <v>0.70486111111111116</v>
      </c>
      <c r="E673" s="8">
        <f t="shared" si="52"/>
        <v>0.72222222222222232</v>
      </c>
      <c r="F673" s="3">
        <f t="shared" si="53"/>
        <v>1.736111111111116E-2</v>
      </c>
      <c r="G673" t="s">
        <v>17</v>
      </c>
      <c r="H673" t="s">
        <v>1</v>
      </c>
    </row>
    <row r="674" spans="1:8" x14ac:dyDescent="0.3">
      <c r="A674" s="2">
        <v>44706</v>
      </c>
      <c r="B674" s="2" t="str">
        <f>TEXT(AutoPomodoro[[#This Row],[DATE]],"mmmm")</f>
        <v>May</v>
      </c>
      <c r="C674" s="2" t="str">
        <f>TEXT(AutoPomodoro[[#This Row],[DATE]],"yyyy")</f>
        <v>2022</v>
      </c>
      <c r="D674" s="8">
        <f>E673+$T$16</f>
        <v>0.72569444444444453</v>
      </c>
      <c r="E674" s="8">
        <f t="shared" si="52"/>
        <v>0.74305555555555569</v>
      </c>
      <c r="F674" s="3">
        <f t="shared" si="53"/>
        <v>1.736111111111116E-2</v>
      </c>
      <c r="G674" t="s">
        <v>16</v>
      </c>
      <c r="H674" t="s">
        <v>1</v>
      </c>
    </row>
    <row r="675" spans="1:8" x14ac:dyDescent="0.3">
      <c r="A675" s="2">
        <v>44706</v>
      </c>
      <c r="B675" s="2" t="str">
        <f>TEXT(AutoPomodoro[[#This Row],[DATE]],"mmmm")</f>
        <v>May</v>
      </c>
      <c r="C675" s="2" t="str">
        <f>TEXT(AutoPomodoro[[#This Row],[DATE]],"yyyy")</f>
        <v>2022</v>
      </c>
      <c r="D675" s="8">
        <f>E674+$T$17</f>
        <v>0.74791666666666679</v>
      </c>
      <c r="E675" s="8">
        <f t="shared" si="52"/>
        <v>0.76527777777777795</v>
      </c>
      <c r="F675" s="3">
        <f t="shared" si="53"/>
        <v>1.736111111111116E-2</v>
      </c>
      <c r="G675" t="s">
        <v>16</v>
      </c>
      <c r="H675" t="s">
        <v>1</v>
      </c>
    </row>
    <row r="676" spans="1:8" x14ac:dyDescent="0.3">
      <c r="A676" s="2">
        <v>44706</v>
      </c>
      <c r="B676" s="2" t="str">
        <f>TEXT(AutoPomodoro[[#This Row],[DATE]],"mmmm")</f>
        <v>May</v>
      </c>
      <c r="C676" s="2" t="str">
        <f>TEXT(AutoPomodoro[[#This Row],[DATE]],"yyyy")</f>
        <v>2022</v>
      </c>
      <c r="D676" s="8">
        <v>0.76527777777777783</v>
      </c>
      <c r="E676" s="8">
        <v>0.77569444444444446</v>
      </c>
      <c r="F676" s="3">
        <f t="shared" si="53"/>
        <v>1.041666666666663E-2</v>
      </c>
      <c r="G676" t="s">
        <v>21</v>
      </c>
      <c r="H676" t="s">
        <v>1</v>
      </c>
    </row>
    <row r="677" spans="1:8" x14ac:dyDescent="0.3">
      <c r="A677" s="2">
        <v>44706</v>
      </c>
      <c r="B677" s="2" t="str">
        <f>TEXT(AutoPomodoro[[#This Row],[DATE]],"mmmm")</f>
        <v>May</v>
      </c>
      <c r="C677" s="2" t="str">
        <f>TEXT(AutoPomodoro[[#This Row],[DATE]],"yyyy")</f>
        <v>2022</v>
      </c>
      <c r="D677" s="8">
        <v>0.77569444444444446</v>
      </c>
      <c r="E677" s="8">
        <f>D677+$T$15</f>
        <v>0.79305555555555562</v>
      </c>
      <c r="F677" s="3">
        <f t="shared" si="53"/>
        <v>1.736111111111116E-2</v>
      </c>
      <c r="G677" t="s">
        <v>16</v>
      </c>
      <c r="H677" t="s">
        <v>1</v>
      </c>
    </row>
    <row r="678" spans="1:8" x14ac:dyDescent="0.3">
      <c r="A678" s="2">
        <v>44706</v>
      </c>
      <c r="B678" s="2" t="str">
        <f>TEXT(AutoPomodoro[[#This Row],[DATE]],"mmmm")</f>
        <v>May</v>
      </c>
      <c r="C678" s="2" t="str">
        <f>TEXT(AutoPomodoro[[#This Row],[DATE]],"yyyy")</f>
        <v>2022</v>
      </c>
      <c r="D678" s="8">
        <f>E677+$T$16</f>
        <v>0.79652777777777783</v>
      </c>
      <c r="E678" s="8">
        <f>D678+$T$15</f>
        <v>0.81388888888888899</v>
      </c>
      <c r="F678" s="3">
        <v>1.1805555555555555E-2</v>
      </c>
      <c r="G678" t="s">
        <v>16</v>
      </c>
      <c r="H678" t="s">
        <v>1</v>
      </c>
    </row>
    <row r="679" spans="1:8" x14ac:dyDescent="0.3">
      <c r="A679" s="2">
        <v>44706</v>
      </c>
      <c r="B679" s="2" t="str">
        <f>TEXT(AutoPomodoro[[#This Row],[DATE]],"mmmm")</f>
        <v>May</v>
      </c>
      <c r="C679" s="2" t="str">
        <f>TEXT(AutoPomodoro[[#This Row],[DATE]],"yyyy")</f>
        <v>2022</v>
      </c>
      <c r="D679" s="8">
        <f>E678+$T$16</f>
        <v>0.8173611111111112</v>
      </c>
      <c r="E679" s="8">
        <f>D679+$T$15</f>
        <v>0.83472222222222237</v>
      </c>
      <c r="F679" s="3">
        <f t="shared" ref="F679:F689" si="54">E679-D679</f>
        <v>1.736111111111116E-2</v>
      </c>
      <c r="G679" t="s">
        <v>16</v>
      </c>
      <c r="H679" t="s">
        <v>2</v>
      </c>
    </row>
    <row r="680" spans="1:8" x14ac:dyDescent="0.3">
      <c r="A680" s="2">
        <v>44706</v>
      </c>
      <c r="B680" s="2" t="str">
        <f>TEXT(AutoPomodoro[[#This Row],[DATE]],"mmmm")</f>
        <v>May</v>
      </c>
      <c r="C680" s="2" t="str">
        <f>TEXT(AutoPomodoro[[#This Row],[DATE]],"yyyy")</f>
        <v>2022</v>
      </c>
      <c r="D680" s="8">
        <f>E679+$T$17</f>
        <v>0.83958333333333346</v>
      </c>
      <c r="E680" s="8">
        <f>D680+$T$15</f>
        <v>0.85694444444444462</v>
      </c>
      <c r="F680" s="3">
        <f t="shared" si="54"/>
        <v>1.736111111111116E-2</v>
      </c>
      <c r="G680" t="s">
        <v>16</v>
      </c>
      <c r="H680" t="s">
        <v>2</v>
      </c>
    </row>
    <row r="681" spans="1:8" x14ac:dyDescent="0.3">
      <c r="A681" s="2">
        <v>44706</v>
      </c>
      <c r="B681" s="2" t="str">
        <f>TEXT(AutoPomodoro[[#This Row],[DATE]],"mmmm")</f>
        <v>May</v>
      </c>
      <c r="C681" s="2" t="str">
        <f>TEXT(AutoPomodoro[[#This Row],[DATE]],"yyyy")</f>
        <v>2022</v>
      </c>
      <c r="D681" s="8">
        <v>0.8569444444444444</v>
      </c>
      <c r="E681" s="8">
        <v>0.88194444444444453</v>
      </c>
      <c r="F681" s="3">
        <f t="shared" si="54"/>
        <v>2.5000000000000133E-2</v>
      </c>
      <c r="G681" t="s">
        <v>21</v>
      </c>
      <c r="H681" t="s">
        <v>2</v>
      </c>
    </row>
    <row r="682" spans="1:8" x14ac:dyDescent="0.3">
      <c r="A682" s="2">
        <v>44706</v>
      </c>
      <c r="B682" s="2" t="str">
        <f>TEXT(AutoPomodoro[[#This Row],[DATE]],"mmmm")</f>
        <v>May</v>
      </c>
      <c r="C682" s="2" t="str">
        <f>TEXT(AutoPomodoro[[#This Row],[DATE]],"yyyy")</f>
        <v>2022</v>
      </c>
      <c r="D682" s="8">
        <v>0.88194444444444453</v>
      </c>
      <c r="E682" s="8">
        <f>D682+$T$15</f>
        <v>0.89930555555555569</v>
      </c>
      <c r="F682" s="3">
        <f t="shared" si="54"/>
        <v>1.736111111111116E-2</v>
      </c>
      <c r="G682" t="s">
        <v>16</v>
      </c>
      <c r="H682" t="s">
        <v>2</v>
      </c>
    </row>
    <row r="683" spans="1:8" x14ac:dyDescent="0.3">
      <c r="A683" s="2">
        <v>44706</v>
      </c>
      <c r="B683" s="2" t="str">
        <f>TEXT(AutoPomodoro[[#This Row],[DATE]],"mmmm")</f>
        <v>May</v>
      </c>
      <c r="C683" s="2" t="str">
        <f>TEXT(AutoPomodoro[[#This Row],[DATE]],"yyyy")</f>
        <v>2022</v>
      </c>
      <c r="D683" s="8">
        <f>E682+$T$16</f>
        <v>0.9027777777777779</v>
      </c>
      <c r="E683" s="8">
        <f>D683+$T$15</f>
        <v>0.92013888888888906</v>
      </c>
      <c r="F683" s="3">
        <f t="shared" si="54"/>
        <v>1.736111111111116E-2</v>
      </c>
      <c r="G683" t="s">
        <v>16</v>
      </c>
      <c r="H683" t="s">
        <v>2</v>
      </c>
    </row>
    <row r="684" spans="1:8" x14ac:dyDescent="0.3">
      <c r="A684" s="2">
        <v>44706</v>
      </c>
      <c r="B684" s="2" t="str">
        <f>TEXT(AutoPomodoro[[#This Row],[DATE]],"mmmm")</f>
        <v>May</v>
      </c>
      <c r="C684" s="2" t="str">
        <f>TEXT(AutoPomodoro[[#This Row],[DATE]],"yyyy")</f>
        <v>2022</v>
      </c>
      <c r="D684" s="8">
        <f>E683+$T$16</f>
        <v>0.92361111111111127</v>
      </c>
      <c r="E684" s="8">
        <f>D684+$T$15</f>
        <v>0.94097222222222243</v>
      </c>
      <c r="F684" s="3">
        <f t="shared" si="54"/>
        <v>1.736111111111116E-2</v>
      </c>
      <c r="G684" t="s">
        <v>16</v>
      </c>
      <c r="H684" t="s">
        <v>2</v>
      </c>
    </row>
    <row r="685" spans="1:8" x14ac:dyDescent="0.3">
      <c r="A685" s="2">
        <v>44709</v>
      </c>
      <c r="B685" s="2" t="str">
        <f>TEXT(AutoPomodoro[[#This Row],[DATE]],"mmmm")</f>
        <v>May</v>
      </c>
      <c r="C685" s="2" t="str">
        <f>TEXT(AutoPomodoro[[#This Row],[DATE]],"yyyy")</f>
        <v>2022</v>
      </c>
      <c r="D685" s="8">
        <v>0.59861111111111109</v>
      </c>
      <c r="E685" s="8">
        <v>0.63194444444444442</v>
      </c>
      <c r="F685" s="3">
        <f t="shared" si="54"/>
        <v>3.3333333333333326E-2</v>
      </c>
      <c r="G685" t="s">
        <v>16</v>
      </c>
      <c r="H685" t="s">
        <v>1</v>
      </c>
    </row>
    <row r="686" spans="1:8" x14ac:dyDescent="0.3">
      <c r="A686" s="2">
        <v>44709</v>
      </c>
      <c r="B686" s="2" t="str">
        <f>TEXT(AutoPomodoro[[#This Row],[DATE]],"mmmm")</f>
        <v>May</v>
      </c>
      <c r="C686" s="2" t="str">
        <f>TEXT(AutoPomodoro[[#This Row],[DATE]],"yyyy")</f>
        <v>2022</v>
      </c>
      <c r="D686" s="8">
        <v>0.64097222222222217</v>
      </c>
      <c r="E686" s="8">
        <v>0.67569444444444438</v>
      </c>
      <c r="F686" s="3">
        <f t="shared" si="54"/>
        <v>3.472222222222221E-2</v>
      </c>
      <c r="G686" t="s">
        <v>16</v>
      </c>
      <c r="H686" t="s">
        <v>1</v>
      </c>
    </row>
    <row r="687" spans="1:8" x14ac:dyDescent="0.3">
      <c r="A687" s="2">
        <v>44710</v>
      </c>
      <c r="B687" s="2" t="str">
        <f>TEXT(AutoPomodoro[[#This Row],[DATE]],"mmmm")</f>
        <v>May</v>
      </c>
      <c r="C687" s="2" t="str">
        <f>TEXT(AutoPomodoro[[#This Row],[DATE]],"yyyy")</f>
        <v>2022</v>
      </c>
      <c r="D687" s="8">
        <v>0.73611111111111116</v>
      </c>
      <c r="E687" s="8">
        <f>D687+$T$15</f>
        <v>0.75347222222222232</v>
      </c>
      <c r="F687" s="3">
        <f t="shared" si="54"/>
        <v>1.736111111111116E-2</v>
      </c>
      <c r="G687" t="s">
        <v>16</v>
      </c>
      <c r="H687" t="s">
        <v>1</v>
      </c>
    </row>
    <row r="688" spans="1:8" x14ac:dyDescent="0.3">
      <c r="A688" s="2">
        <v>44710</v>
      </c>
      <c r="B688" s="2" t="str">
        <f>TEXT(AutoPomodoro[[#This Row],[DATE]],"mmmm")</f>
        <v>May</v>
      </c>
      <c r="C688" s="2" t="str">
        <f>TEXT(AutoPomodoro[[#This Row],[DATE]],"yyyy")</f>
        <v>2022</v>
      </c>
      <c r="D688" s="8">
        <f>E687+$T$16</f>
        <v>0.75694444444444453</v>
      </c>
      <c r="E688" s="8">
        <f>D688+$T$15</f>
        <v>0.77430555555555569</v>
      </c>
      <c r="F688" s="3">
        <f t="shared" si="54"/>
        <v>1.736111111111116E-2</v>
      </c>
      <c r="G688" t="s">
        <v>16</v>
      </c>
      <c r="H688" t="s">
        <v>1</v>
      </c>
    </row>
    <row r="689" spans="1:8" x14ac:dyDescent="0.3">
      <c r="A689" s="2">
        <v>44710</v>
      </c>
      <c r="B689" s="2" t="str">
        <f>TEXT(AutoPomodoro[[#This Row],[DATE]],"mmmm")</f>
        <v>May</v>
      </c>
      <c r="C689" s="2" t="str">
        <f>TEXT(AutoPomodoro[[#This Row],[DATE]],"yyyy")</f>
        <v>2022</v>
      </c>
      <c r="D689" s="8">
        <f>E688+$T$16</f>
        <v>0.7777777777777779</v>
      </c>
      <c r="E689" s="8">
        <f>D689+$T$15</f>
        <v>0.79513888888888906</v>
      </c>
      <c r="F689" s="3">
        <f t="shared" si="54"/>
        <v>1.736111111111116E-2</v>
      </c>
      <c r="G689" t="s">
        <v>16</v>
      </c>
      <c r="H689" t="s">
        <v>1</v>
      </c>
    </row>
    <row r="690" spans="1:8" x14ac:dyDescent="0.3">
      <c r="A690" s="2">
        <v>44710</v>
      </c>
      <c r="B690" s="2" t="str">
        <f>TEXT(AutoPomodoro[[#This Row],[DATE]],"mmmm")</f>
        <v>May</v>
      </c>
      <c r="C690" s="2" t="str">
        <f>TEXT(AutoPomodoro[[#This Row],[DATE]],"yyyy")</f>
        <v>2022</v>
      </c>
      <c r="D690" s="8">
        <f>E689+$T$17</f>
        <v>0.80000000000000016</v>
      </c>
      <c r="E690" s="8">
        <f>D690+$T$15</f>
        <v>0.81736111111111132</v>
      </c>
      <c r="F690" s="3">
        <v>1.1805555555555555E-2</v>
      </c>
      <c r="G690" t="s">
        <v>16</v>
      </c>
      <c r="H690" t="s">
        <v>1</v>
      </c>
    </row>
    <row r="691" spans="1:8" x14ac:dyDescent="0.3">
      <c r="A691" s="2">
        <v>44710</v>
      </c>
      <c r="B691" s="2" t="str">
        <f>TEXT(AutoPomodoro[[#This Row],[DATE]],"mmmm")</f>
        <v>May</v>
      </c>
      <c r="C691" s="2" t="str">
        <f>TEXT(AutoPomodoro[[#This Row],[DATE]],"yyyy")</f>
        <v>2022</v>
      </c>
      <c r="D691" s="8">
        <v>0.81736111111111109</v>
      </c>
      <c r="E691" s="8">
        <v>0.82777777777777783</v>
      </c>
      <c r="F691" s="3">
        <f>E691-D691</f>
        <v>1.0416666666666741E-2</v>
      </c>
      <c r="G691" t="s">
        <v>21</v>
      </c>
      <c r="H691" t="s">
        <v>1</v>
      </c>
    </row>
    <row r="692" spans="1:8" x14ac:dyDescent="0.3">
      <c r="A692" s="2">
        <v>44710</v>
      </c>
      <c r="B692" s="2" t="str">
        <f>TEXT(AutoPomodoro[[#This Row],[DATE]],"mmmm")</f>
        <v>May</v>
      </c>
      <c r="C692" s="2" t="str">
        <f>TEXT(AutoPomodoro[[#This Row],[DATE]],"yyyy")</f>
        <v>2022</v>
      </c>
      <c r="D692" s="8">
        <v>0.82777777777777783</v>
      </c>
      <c r="E692" s="8">
        <f>D692+$T$15</f>
        <v>0.84513888888888899</v>
      </c>
      <c r="F692" s="3">
        <f>E692-D692</f>
        <v>1.736111111111116E-2</v>
      </c>
      <c r="G692" t="s">
        <v>16</v>
      </c>
      <c r="H692" t="s">
        <v>1</v>
      </c>
    </row>
    <row r="693" spans="1:8" x14ac:dyDescent="0.3">
      <c r="A693" s="2">
        <v>44710</v>
      </c>
      <c r="B693" s="2" t="str">
        <f>TEXT(AutoPomodoro[[#This Row],[DATE]],"mmmm")</f>
        <v>May</v>
      </c>
      <c r="C693" s="2" t="str">
        <f>TEXT(AutoPomodoro[[#This Row],[DATE]],"yyyy")</f>
        <v>2022</v>
      </c>
      <c r="D693" s="8">
        <f>E692+$T$16</f>
        <v>0.8486111111111112</v>
      </c>
      <c r="E693" s="8">
        <f>D693+$T$15</f>
        <v>0.86597222222222237</v>
      </c>
      <c r="F693" s="3">
        <v>2.0833333333333332E-2</v>
      </c>
      <c r="G693" t="s">
        <v>16</v>
      </c>
      <c r="H693" t="s">
        <v>1</v>
      </c>
    </row>
    <row r="694" spans="1:8" x14ac:dyDescent="0.3">
      <c r="A694" s="2">
        <v>44710</v>
      </c>
      <c r="B694" s="2" t="str">
        <f>TEXT(AutoPomodoro[[#This Row],[DATE]],"mmmm")</f>
        <v>May</v>
      </c>
      <c r="C694" s="2" t="str">
        <f>TEXT(AutoPomodoro[[#This Row],[DATE]],"yyyy")</f>
        <v>2022</v>
      </c>
      <c r="D694" s="8">
        <v>0.86597222222222225</v>
      </c>
      <c r="E694" s="8">
        <v>0.88888888888888884</v>
      </c>
      <c r="F694" s="3">
        <f t="shared" ref="F694:F711" si="55">E694-D694</f>
        <v>2.2916666666666585E-2</v>
      </c>
      <c r="G694" t="s">
        <v>21</v>
      </c>
      <c r="H694" t="s">
        <v>1</v>
      </c>
    </row>
    <row r="695" spans="1:8" x14ac:dyDescent="0.3">
      <c r="A695" s="2">
        <v>44710</v>
      </c>
      <c r="B695" s="2" t="str">
        <f>TEXT(AutoPomodoro[[#This Row],[DATE]],"mmmm")</f>
        <v>May</v>
      </c>
      <c r="C695" s="2" t="str">
        <f>TEXT(AutoPomodoro[[#This Row],[DATE]],"yyyy")</f>
        <v>2022</v>
      </c>
      <c r="D695" s="8">
        <v>0.88888888888888884</v>
      </c>
      <c r="E695" s="8">
        <f>D695+$T$15</f>
        <v>0.90625</v>
      </c>
      <c r="F695" s="3">
        <f t="shared" si="55"/>
        <v>1.736111111111116E-2</v>
      </c>
      <c r="G695" t="s">
        <v>16</v>
      </c>
      <c r="H695" t="s">
        <v>1</v>
      </c>
    </row>
    <row r="696" spans="1:8" x14ac:dyDescent="0.3">
      <c r="A696" s="2">
        <v>44710</v>
      </c>
      <c r="B696" s="2" t="str">
        <f>TEXT(AutoPomodoro[[#This Row],[DATE]],"mmmm")</f>
        <v>May</v>
      </c>
      <c r="C696" s="2" t="str">
        <f>TEXT(AutoPomodoro[[#This Row],[DATE]],"yyyy")</f>
        <v>2022</v>
      </c>
      <c r="D696" s="8">
        <f>E695+$T$16</f>
        <v>0.90972222222222221</v>
      </c>
      <c r="E696" s="8">
        <v>0.92847222222222225</v>
      </c>
      <c r="F696" s="3">
        <f t="shared" si="55"/>
        <v>1.8750000000000044E-2</v>
      </c>
      <c r="G696" t="s">
        <v>16</v>
      </c>
      <c r="H696" t="s">
        <v>1</v>
      </c>
    </row>
    <row r="697" spans="1:8" x14ac:dyDescent="0.3">
      <c r="A697" s="2">
        <v>44711</v>
      </c>
      <c r="B697" s="2" t="str">
        <f>TEXT(AutoPomodoro[[#This Row],[DATE]],"mmmm")</f>
        <v>May</v>
      </c>
      <c r="C697" s="2" t="str">
        <f>TEXT(AutoPomodoro[[#This Row],[DATE]],"yyyy")</f>
        <v>2022</v>
      </c>
      <c r="D697" s="8">
        <v>0.50347222222222221</v>
      </c>
      <c r="E697" s="8">
        <f>D697+$T$15</f>
        <v>0.52083333333333337</v>
      </c>
      <c r="F697" s="3">
        <f t="shared" si="55"/>
        <v>1.736111111111116E-2</v>
      </c>
      <c r="G697" t="s">
        <v>16</v>
      </c>
      <c r="H697" t="s">
        <v>1</v>
      </c>
    </row>
    <row r="698" spans="1:8" x14ac:dyDescent="0.3">
      <c r="A698" s="2">
        <v>44711</v>
      </c>
      <c r="B698" s="2" t="str">
        <f>TEXT(AutoPomodoro[[#This Row],[DATE]],"mmmm")</f>
        <v>May</v>
      </c>
      <c r="C698" s="2" t="str">
        <f>TEXT(AutoPomodoro[[#This Row],[DATE]],"yyyy")</f>
        <v>2022</v>
      </c>
      <c r="D698" s="8">
        <f>E697+$T$16</f>
        <v>0.52430555555555558</v>
      </c>
      <c r="E698" s="8">
        <f>D698+$T$15</f>
        <v>0.54166666666666674</v>
      </c>
      <c r="F698" s="3">
        <f t="shared" si="55"/>
        <v>1.736111111111116E-2</v>
      </c>
      <c r="G698" t="s">
        <v>16</v>
      </c>
      <c r="H698" t="s">
        <v>1</v>
      </c>
    </row>
    <row r="699" spans="1:8" x14ac:dyDescent="0.3">
      <c r="A699" s="2">
        <v>44711</v>
      </c>
      <c r="B699" s="2" t="str">
        <f>TEXT(AutoPomodoro[[#This Row],[DATE]],"mmmm")</f>
        <v>May</v>
      </c>
      <c r="C699" s="2" t="str">
        <f>TEXT(AutoPomodoro[[#This Row],[DATE]],"yyyy")</f>
        <v>2022</v>
      </c>
      <c r="D699" s="8">
        <f>E698+$T$16</f>
        <v>0.54513888888888895</v>
      </c>
      <c r="E699" s="8">
        <f>D699+$T$15</f>
        <v>0.56250000000000011</v>
      </c>
      <c r="F699" s="3">
        <f t="shared" si="55"/>
        <v>1.736111111111116E-2</v>
      </c>
      <c r="G699" t="s">
        <v>16</v>
      </c>
      <c r="H699" t="s">
        <v>1</v>
      </c>
    </row>
    <row r="700" spans="1:8" x14ac:dyDescent="0.3">
      <c r="A700" s="2">
        <v>44711</v>
      </c>
      <c r="B700" s="2" t="str">
        <f>TEXT(AutoPomodoro[[#This Row],[DATE]],"mmmm")</f>
        <v>May</v>
      </c>
      <c r="C700" s="2" t="str">
        <f>TEXT(AutoPomodoro[[#This Row],[DATE]],"yyyy")</f>
        <v>2022</v>
      </c>
      <c r="D700" s="8">
        <v>0.93958333333333333</v>
      </c>
      <c r="E700" s="8">
        <v>0.96527777777777779</v>
      </c>
      <c r="F700" s="3">
        <f t="shared" si="55"/>
        <v>2.5694444444444464E-2</v>
      </c>
      <c r="G700" t="s">
        <v>16</v>
      </c>
      <c r="H700" t="s">
        <v>1</v>
      </c>
    </row>
    <row r="701" spans="1:8" x14ac:dyDescent="0.3">
      <c r="A701" s="2">
        <v>44712</v>
      </c>
      <c r="B701" s="2" t="str">
        <f>TEXT(AutoPomodoro[[#This Row],[DATE]],"mmmm")</f>
        <v>May</v>
      </c>
      <c r="C701" s="2" t="str">
        <f>TEXT(AutoPomodoro[[#This Row],[DATE]],"yyyy")</f>
        <v>2022</v>
      </c>
      <c r="D701" s="8">
        <v>0.44097222222222227</v>
      </c>
      <c r="E701" s="8">
        <f>D701+$T$15</f>
        <v>0.45833333333333337</v>
      </c>
      <c r="F701" s="3">
        <f t="shared" si="55"/>
        <v>1.7361111111111105E-2</v>
      </c>
      <c r="G701" t="s">
        <v>16</v>
      </c>
      <c r="H701" t="s">
        <v>1</v>
      </c>
    </row>
    <row r="702" spans="1:8" x14ac:dyDescent="0.3">
      <c r="A702" s="2">
        <v>44712</v>
      </c>
      <c r="B702" s="2" t="str">
        <f>TEXT(AutoPomodoro[[#This Row],[DATE]],"mmmm")</f>
        <v>May</v>
      </c>
      <c r="C702" s="2" t="str">
        <f>TEXT(AutoPomodoro[[#This Row],[DATE]],"yyyy")</f>
        <v>2022</v>
      </c>
      <c r="D702" s="8">
        <f>E701+$T$16</f>
        <v>0.46180555555555558</v>
      </c>
      <c r="E702" s="8">
        <f>D702+$T$15</f>
        <v>0.47916666666666669</v>
      </c>
      <c r="F702" s="3">
        <f t="shared" si="55"/>
        <v>1.7361111111111105E-2</v>
      </c>
      <c r="G702" t="s">
        <v>16</v>
      </c>
      <c r="H702" t="s">
        <v>1</v>
      </c>
    </row>
    <row r="703" spans="1:8" x14ac:dyDescent="0.3">
      <c r="A703" s="2">
        <v>44712</v>
      </c>
      <c r="B703" s="2" t="str">
        <f>TEXT(AutoPomodoro[[#This Row],[DATE]],"mmmm")</f>
        <v>May</v>
      </c>
      <c r="C703" s="2" t="str">
        <f>TEXT(AutoPomodoro[[#This Row],[DATE]],"yyyy")</f>
        <v>2022</v>
      </c>
      <c r="D703" s="8">
        <f>E702+$T$16</f>
        <v>0.4826388888888889</v>
      </c>
      <c r="E703" s="8">
        <f>D703+$T$15</f>
        <v>0.5</v>
      </c>
      <c r="F703" s="3">
        <f t="shared" si="55"/>
        <v>1.7361111111111105E-2</v>
      </c>
      <c r="G703" t="s">
        <v>16</v>
      </c>
      <c r="H703" t="s">
        <v>1</v>
      </c>
    </row>
    <row r="704" spans="1:8" x14ac:dyDescent="0.3">
      <c r="A704" s="2">
        <v>44712</v>
      </c>
      <c r="B704" s="2" t="str">
        <f>TEXT(AutoPomodoro[[#This Row],[DATE]],"mmmm")</f>
        <v>May</v>
      </c>
      <c r="C704" s="2" t="str">
        <f>TEXT(AutoPomodoro[[#This Row],[DATE]],"yyyy")</f>
        <v>2022</v>
      </c>
      <c r="D704" s="8">
        <f>E703+$T$17</f>
        <v>0.50486111111111109</v>
      </c>
      <c r="E704" s="8">
        <f>D704+$T$15</f>
        <v>0.52222222222222225</v>
      </c>
      <c r="F704" s="3">
        <f t="shared" si="55"/>
        <v>1.736111111111116E-2</v>
      </c>
      <c r="G704" t="s">
        <v>16</v>
      </c>
      <c r="H704" t="s">
        <v>1</v>
      </c>
    </row>
    <row r="705" spans="1:8" x14ac:dyDescent="0.3">
      <c r="A705" s="2">
        <v>44712</v>
      </c>
      <c r="B705" s="2" t="str">
        <f>TEXT(AutoPomodoro[[#This Row],[DATE]],"mmmm")</f>
        <v>May</v>
      </c>
      <c r="C705" s="2" t="str">
        <f>TEXT(AutoPomodoro[[#This Row],[DATE]],"yyyy")</f>
        <v>2022</v>
      </c>
      <c r="D705" s="8">
        <v>0.52222222222222225</v>
      </c>
      <c r="E705" s="8">
        <v>0.53263888888888888</v>
      </c>
      <c r="F705" s="3">
        <f t="shared" si="55"/>
        <v>1.041666666666663E-2</v>
      </c>
      <c r="G705" t="s">
        <v>21</v>
      </c>
      <c r="H705" t="s">
        <v>1</v>
      </c>
    </row>
    <row r="706" spans="1:8" x14ac:dyDescent="0.3">
      <c r="A706" s="2">
        <v>44712</v>
      </c>
      <c r="B706" s="2" t="str">
        <f>TEXT(AutoPomodoro[[#This Row],[DATE]],"mmmm")</f>
        <v>May</v>
      </c>
      <c r="C706" s="2" t="str">
        <f>TEXT(AutoPomodoro[[#This Row],[DATE]],"yyyy")</f>
        <v>2022</v>
      </c>
      <c r="D706" s="8">
        <v>0.53263888888888888</v>
      </c>
      <c r="E706" s="8">
        <f t="shared" ref="E706:E716" si="56">D706+$T$15</f>
        <v>0.55000000000000004</v>
      </c>
      <c r="F706" s="3">
        <f t="shared" si="55"/>
        <v>1.736111111111116E-2</v>
      </c>
      <c r="G706" t="s">
        <v>16</v>
      </c>
      <c r="H706" t="s">
        <v>1</v>
      </c>
    </row>
    <row r="707" spans="1:8" x14ac:dyDescent="0.3">
      <c r="A707" s="2">
        <v>44712</v>
      </c>
      <c r="B707" s="2" t="str">
        <f>TEXT(AutoPomodoro[[#This Row],[DATE]],"mmmm")</f>
        <v>May</v>
      </c>
      <c r="C707" s="2" t="str">
        <f>TEXT(AutoPomodoro[[#This Row],[DATE]],"yyyy")</f>
        <v>2022</v>
      </c>
      <c r="D707" s="8">
        <f>E706+$T$16</f>
        <v>0.55347222222222225</v>
      </c>
      <c r="E707" s="8">
        <f t="shared" si="56"/>
        <v>0.57083333333333341</v>
      </c>
      <c r="F707" s="3">
        <f t="shared" si="55"/>
        <v>1.736111111111116E-2</v>
      </c>
      <c r="G707" t="s">
        <v>16</v>
      </c>
      <c r="H707" t="s">
        <v>1</v>
      </c>
    </row>
    <row r="708" spans="1:8" x14ac:dyDescent="0.3">
      <c r="A708" s="2">
        <v>44712</v>
      </c>
      <c r="B708" s="2" t="str">
        <f>TEXT(AutoPomodoro[[#This Row],[DATE]],"mmmm")</f>
        <v>May</v>
      </c>
      <c r="C708" s="2" t="str">
        <f>TEXT(AutoPomodoro[[#This Row],[DATE]],"yyyy")</f>
        <v>2022</v>
      </c>
      <c r="D708" s="8">
        <v>0.70138888888888884</v>
      </c>
      <c r="E708" s="8">
        <f t="shared" si="56"/>
        <v>0.71875</v>
      </c>
      <c r="F708" s="3">
        <f t="shared" si="55"/>
        <v>1.736111111111116E-2</v>
      </c>
      <c r="G708" t="s">
        <v>16</v>
      </c>
      <c r="H708" t="s">
        <v>1</v>
      </c>
    </row>
    <row r="709" spans="1:8" x14ac:dyDescent="0.3">
      <c r="A709" s="2">
        <v>44712</v>
      </c>
      <c r="B709" s="2" t="str">
        <f>TEXT(AutoPomodoro[[#This Row],[DATE]],"mmmm")</f>
        <v>May</v>
      </c>
      <c r="C709" s="2" t="str">
        <f>TEXT(AutoPomodoro[[#This Row],[DATE]],"yyyy")</f>
        <v>2022</v>
      </c>
      <c r="D709" s="8">
        <f>E708+$T$16</f>
        <v>0.72222222222222221</v>
      </c>
      <c r="E709" s="8">
        <f t="shared" si="56"/>
        <v>0.73958333333333337</v>
      </c>
      <c r="F709" s="3">
        <f t="shared" si="55"/>
        <v>1.736111111111116E-2</v>
      </c>
      <c r="G709" t="s">
        <v>16</v>
      </c>
      <c r="H709" t="s">
        <v>1</v>
      </c>
    </row>
    <row r="710" spans="1:8" x14ac:dyDescent="0.3">
      <c r="A710" s="2">
        <v>44712</v>
      </c>
      <c r="B710" s="2" t="str">
        <f>TEXT(AutoPomodoro[[#This Row],[DATE]],"mmmm")</f>
        <v>May</v>
      </c>
      <c r="C710" s="2" t="str">
        <f>TEXT(AutoPomodoro[[#This Row],[DATE]],"yyyy")</f>
        <v>2022</v>
      </c>
      <c r="D710" s="8">
        <f>E709+$T$16</f>
        <v>0.74305555555555558</v>
      </c>
      <c r="E710" s="8">
        <f t="shared" si="56"/>
        <v>0.76041666666666674</v>
      </c>
      <c r="F710" s="3">
        <f t="shared" si="55"/>
        <v>1.736111111111116E-2</v>
      </c>
      <c r="G710" t="s">
        <v>16</v>
      </c>
      <c r="H710" t="s">
        <v>1</v>
      </c>
    </row>
    <row r="711" spans="1:8" x14ac:dyDescent="0.3">
      <c r="A711" s="2">
        <v>44712</v>
      </c>
      <c r="B711" s="2" t="str">
        <f>TEXT(AutoPomodoro[[#This Row],[DATE]],"mmmm")</f>
        <v>May</v>
      </c>
      <c r="C711" s="2" t="str">
        <f>TEXT(AutoPomodoro[[#This Row],[DATE]],"yyyy")</f>
        <v>2022</v>
      </c>
      <c r="D711" s="8">
        <f>E710+$T$17</f>
        <v>0.76527777777777783</v>
      </c>
      <c r="E711" s="8">
        <f t="shared" si="56"/>
        <v>0.78263888888888899</v>
      </c>
      <c r="F711" s="3">
        <f t="shared" si="55"/>
        <v>1.736111111111116E-2</v>
      </c>
      <c r="G711" t="s">
        <v>16</v>
      </c>
      <c r="H711" t="s">
        <v>1</v>
      </c>
    </row>
    <row r="712" spans="1:8" x14ac:dyDescent="0.3">
      <c r="A712" s="2">
        <v>44712</v>
      </c>
      <c r="B712" s="2" t="str">
        <f>TEXT(AutoPomodoro[[#This Row],[DATE]],"mmmm")</f>
        <v>May</v>
      </c>
      <c r="C712" s="2" t="str">
        <f>TEXT(AutoPomodoro[[#This Row],[DATE]],"yyyy")</f>
        <v>2022</v>
      </c>
      <c r="D712" s="8">
        <v>0.78749999999999998</v>
      </c>
      <c r="E712" s="8">
        <f t="shared" si="56"/>
        <v>0.80486111111111114</v>
      </c>
      <c r="F712" s="3">
        <v>4.5138888888888888E-2</v>
      </c>
      <c r="G712" t="s">
        <v>16</v>
      </c>
      <c r="H712" t="s">
        <v>1</v>
      </c>
    </row>
    <row r="713" spans="1:8" x14ac:dyDescent="0.3">
      <c r="A713" s="2">
        <v>44713</v>
      </c>
      <c r="B713" s="2" t="str">
        <f>TEXT(AutoPomodoro[[#This Row],[DATE]],"mmmm")</f>
        <v>June</v>
      </c>
      <c r="C713" s="2" t="str">
        <f>TEXT(AutoPomodoro[[#This Row],[DATE]],"yyyy")</f>
        <v>2022</v>
      </c>
      <c r="D713" s="8">
        <v>0.49305555555555558</v>
      </c>
      <c r="E713" s="8">
        <f t="shared" si="56"/>
        <v>0.51041666666666674</v>
      </c>
      <c r="F713" s="3">
        <f t="shared" ref="F713:F718" si="57">E713-D713</f>
        <v>1.736111111111116E-2</v>
      </c>
      <c r="G713" t="s">
        <v>17</v>
      </c>
      <c r="H713" t="s">
        <v>1</v>
      </c>
    </row>
    <row r="714" spans="1:8" x14ac:dyDescent="0.3">
      <c r="A714" s="2">
        <v>44713</v>
      </c>
      <c r="B714" s="2" t="str">
        <f>TEXT(AutoPomodoro[[#This Row],[DATE]],"mmmm")</f>
        <v>June</v>
      </c>
      <c r="C714" s="2" t="str">
        <f>TEXT(AutoPomodoro[[#This Row],[DATE]],"yyyy")</f>
        <v>2022</v>
      </c>
      <c r="D714" s="8">
        <f>E713+$T$16</f>
        <v>0.51388888888888895</v>
      </c>
      <c r="E714" s="8">
        <f t="shared" si="56"/>
        <v>0.53125000000000011</v>
      </c>
      <c r="F714" s="3">
        <f t="shared" si="57"/>
        <v>1.736111111111116E-2</v>
      </c>
      <c r="G714" t="s">
        <v>16</v>
      </c>
      <c r="H714" t="s">
        <v>1</v>
      </c>
    </row>
    <row r="715" spans="1:8" x14ac:dyDescent="0.3">
      <c r="A715" s="2">
        <v>44713</v>
      </c>
      <c r="B715" s="2" t="str">
        <f>TEXT(AutoPomodoro[[#This Row],[DATE]],"mmmm")</f>
        <v>June</v>
      </c>
      <c r="C715" s="2" t="str">
        <f>TEXT(AutoPomodoro[[#This Row],[DATE]],"yyyy")</f>
        <v>2022</v>
      </c>
      <c r="D715" s="8">
        <f>E714+$T$16</f>
        <v>0.53472222222222232</v>
      </c>
      <c r="E715" s="8">
        <f t="shared" si="56"/>
        <v>0.55208333333333348</v>
      </c>
      <c r="F715" s="3">
        <f t="shared" si="57"/>
        <v>1.736111111111116E-2</v>
      </c>
      <c r="G715" t="s">
        <v>16</v>
      </c>
      <c r="H715" t="s">
        <v>1</v>
      </c>
    </row>
    <row r="716" spans="1:8" x14ac:dyDescent="0.3">
      <c r="A716" s="2">
        <v>44713</v>
      </c>
      <c r="B716" s="2" t="str">
        <f>TEXT(AutoPomodoro[[#This Row],[DATE]],"mmmm")</f>
        <v>June</v>
      </c>
      <c r="C716" s="2" t="str">
        <f>TEXT(AutoPomodoro[[#This Row],[DATE]],"yyyy")</f>
        <v>2022</v>
      </c>
      <c r="D716" s="8">
        <f>E715+$T$17</f>
        <v>0.55694444444444458</v>
      </c>
      <c r="E716" s="8">
        <f t="shared" si="56"/>
        <v>0.57430555555555574</v>
      </c>
      <c r="F716" s="3">
        <f t="shared" si="57"/>
        <v>1.736111111111116E-2</v>
      </c>
      <c r="G716" t="s">
        <v>16</v>
      </c>
      <c r="H716" t="s">
        <v>1</v>
      </c>
    </row>
    <row r="717" spans="1:8" x14ac:dyDescent="0.3">
      <c r="A717" s="2">
        <v>44713</v>
      </c>
      <c r="B717" s="2" t="str">
        <f>TEXT(AutoPomodoro[[#This Row],[DATE]],"mmmm")</f>
        <v>June</v>
      </c>
      <c r="C717" s="2" t="str">
        <f>TEXT(AutoPomodoro[[#This Row],[DATE]],"yyyy")</f>
        <v>2022</v>
      </c>
      <c r="D717" s="8">
        <v>0.57916666666666672</v>
      </c>
      <c r="E717" s="8">
        <v>0.60347222222222219</v>
      </c>
      <c r="F717" s="3">
        <f t="shared" si="57"/>
        <v>2.4305555555555469E-2</v>
      </c>
      <c r="G717" t="s">
        <v>16</v>
      </c>
      <c r="H717" t="s">
        <v>1</v>
      </c>
    </row>
    <row r="718" spans="1:8" x14ac:dyDescent="0.3">
      <c r="A718" s="2">
        <v>44713</v>
      </c>
      <c r="B718" s="2" t="str">
        <f>TEXT(AutoPomodoro[[#This Row],[DATE]],"mmmm")</f>
        <v>June</v>
      </c>
      <c r="C718" s="2" t="str">
        <f>TEXT(AutoPomodoro[[#This Row],[DATE]],"yyyy")</f>
        <v>2022</v>
      </c>
      <c r="D718" s="8">
        <v>0.73611111111111116</v>
      </c>
      <c r="E718" s="8">
        <f t="shared" ref="E718:E724" si="58">D718+$T$15</f>
        <v>0.75347222222222232</v>
      </c>
      <c r="F718" s="3">
        <f t="shared" si="57"/>
        <v>1.736111111111116E-2</v>
      </c>
      <c r="G718" t="s">
        <v>16</v>
      </c>
      <c r="H718" t="s">
        <v>1</v>
      </c>
    </row>
    <row r="719" spans="1:8" x14ac:dyDescent="0.3">
      <c r="A719" s="2">
        <v>44713</v>
      </c>
      <c r="B719" s="2" t="str">
        <f>TEXT(AutoPomodoro[[#This Row],[DATE]],"mmmm")</f>
        <v>June</v>
      </c>
      <c r="C719" s="2" t="str">
        <f>TEXT(AutoPomodoro[[#This Row],[DATE]],"yyyy")</f>
        <v>2022</v>
      </c>
      <c r="D719" s="8">
        <f>E718+$T$16</f>
        <v>0.75694444444444453</v>
      </c>
      <c r="E719" s="8">
        <f t="shared" si="58"/>
        <v>0.77430555555555569</v>
      </c>
      <c r="F719" s="3">
        <v>1.8055555555555557E-2</v>
      </c>
      <c r="G719" t="s">
        <v>16</v>
      </c>
      <c r="H719" t="s">
        <v>1</v>
      </c>
    </row>
    <row r="720" spans="1:8" x14ac:dyDescent="0.3">
      <c r="A720" s="2">
        <v>44713</v>
      </c>
      <c r="B720" s="2" t="str">
        <f>TEXT(AutoPomodoro[[#This Row],[DATE]],"mmmm")</f>
        <v>June</v>
      </c>
      <c r="C720" s="2" t="str">
        <f>TEXT(AutoPomodoro[[#This Row],[DATE]],"yyyy")</f>
        <v>2022</v>
      </c>
      <c r="D720" s="8">
        <f>E719+$T$16</f>
        <v>0.7777777777777779</v>
      </c>
      <c r="E720" s="8">
        <f t="shared" si="58"/>
        <v>0.79513888888888906</v>
      </c>
      <c r="F720" s="3">
        <f>E720-D720</f>
        <v>1.736111111111116E-2</v>
      </c>
      <c r="G720" t="s">
        <v>16</v>
      </c>
      <c r="H720" t="s">
        <v>1</v>
      </c>
    </row>
    <row r="721" spans="1:8" x14ac:dyDescent="0.3">
      <c r="A721" s="2">
        <v>44715</v>
      </c>
      <c r="B721" s="2" t="str">
        <f>TEXT(AutoPomodoro[[#This Row],[DATE]],"mmmm")</f>
        <v>June</v>
      </c>
      <c r="C721" s="2" t="str">
        <f>TEXT(AutoPomodoro[[#This Row],[DATE]],"yyyy")</f>
        <v>2022</v>
      </c>
      <c r="D721" s="8">
        <v>0.43055555555555558</v>
      </c>
      <c r="E721" s="8">
        <f t="shared" si="58"/>
        <v>0.44791666666666669</v>
      </c>
      <c r="F721" s="3">
        <f>E721-D721</f>
        <v>1.7361111111111105E-2</v>
      </c>
      <c r="G721" t="s">
        <v>16</v>
      </c>
      <c r="H721" t="s">
        <v>1</v>
      </c>
    </row>
    <row r="722" spans="1:8" x14ac:dyDescent="0.3">
      <c r="A722" s="2">
        <v>44715</v>
      </c>
      <c r="B722" s="2" t="str">
        <f>TEXT(AutoPomodoro[[#This Row],[DATE]],"mmmm")</f>
        <v>June</v>
      </c>
      <c r="C722" s="2" t="str">
        <f>TEXT(AutoPomodoro[[#This Row],[DATE]],"yyyy")</f>
        <v>2022</v>
      </c>
      <c r="D722" s="8">
        <f>E721+$T$16</f>
        <v>0.4513888888888889</v>
      </c>
      <c r="E722" s="8">
        <f t="shared" si="58"/>
        <v>0.46875</v>
      </c>
      <c r="F722" s="3">
        <f>E722-D722</f>
        <v>1.7361111111111105E-2</v>
      </c>
      <c r="G722" t="s">
        <v>16</v>
      </c>
      <c r="H722" t="s">
        <v>1</v>
      </c>
    </row>
    <row r="723" spans="1:8" x14ac:dyDescent="0.3">
      <c r="A723" s="2">
        <v>44715</v>
      </c>
      <c r="B723" s="2" t="str">
        <f>TEXT(AutoPomodoro[[#This Row],[DATE]],"mmmm")</f>
        <v>June</v>
      </c>
      <c r="C723" s="2" t="str">
        <f>TEXT(AutoPomodoro[[#This Row],[DATE]],"yyyy")</f>
        <v>2022</v>
      </c>
      <c r="D723" s="8">
        <f>E722+$T$16</f>
        <v>0.47222222222222221</v>
      </c>
      <c r="E723" s="8">
        <f t="shared" si="58"/>
        <v>0.48958333333333331</v>
      </c>
      <c r="F723" s="3">
        <f>E723-D723</f>
        <v>1.7361111111111105E-2</v>
      </c>
      <c r="G723" t="s">
        <v>16</v>
      </c>
      <c r="H723" t="s">
        <v>1</v>
      </c>
    </row>
    <row r="724" spans="1:8" x14ac:dyDescent="0.3">
      <c r="A724" s="2">
        <v>44715</v>
      </c>
      <c r="B724" s="2" t="str">
        <f>TEXT(AutoPomodoro[[#This Row],[DATE]],"mmmm")</f>
        <v>June</v>
      </c>
      <c r="C724" s="2" t="str">
        <f>TEXT(AutoPomodoro[[#This Row],[DATE]],"yyyy")</f>
        <v>2022</v>
      </c>
      <c r="D724" s="8">
        <f>E723+$T$17</f>
        <v>0.49444444444444441</v>
      </c>
      <c r="E724" s="8">
        <f t="shared" si="58"/>
        <v>0.51180555555555551</v>
      </c>
      <c r="F724" s="3">
        <v>1.8055555555555557E-2</v>
      </c>
      <c r="G724" t="s">
        <v>16</v>
      </c>
      <c r="H724" t="s">
        <v>1</v>
      </c>
    </row>
    <row r="725" spans="1:8" x14ac:dyDescent="0.3">
      <c r="A725" s="2">
        <v>44715</v>
      </c>
      <c r="B725" s="2" t="str">
        <f>TEXT(AutoPomodoro[[#This Row],[DATE]],"mmmm")</f>
        <v>June</v>
      </c>
      <c r="C725" s="2" t="str">
        <f>TEXT(AutoPomodoro[[#This Row],[DATE]],"yyyy")</f>
        <v>2022</v>
      </c>
      <c r="D725" s="8">
        <v>0.51180555555555551</v>
      </c>
      <c r="E725" s="8">
        <v>0.52222222222222225</v>
      </c>
      <c r="F725" s="3">
        <f>E725-D725</f>
        <v>1.0416666666666741E-2</v>
      </c>
      <c r="G725" t="s">
        <v>21</v>
      </c>
      <c r="H725" t="s">
        <v>1</v>
      </c>
    </row>
    <row r="726" spans="1:8" x14ac:dyDescent="0.3">
      <c r="A726" s="2">
        <v>44715</v>
      </c>
      <c r="B726" s="2" t="str">
        <f>TEXT(AutoPomodoro[[#This Row],[DATE]],"mmmm")</f>
        <v>June</v>
      </c>
      <c r="C726" s="2" t="str">
        <f>TEXT(AutoPomodoro[[#This Row],[DATE]],"yyyy")</f>
        <v>2022</v>
      </c>
      <c r="D726" s="8">
        <v>0.52222222222222225</v>
      </c>
      <c r="E726" s="8">
        <f>D726+$T$15</f>
        <v>0.53958333333333341</v>
      </c>
      <c r="F726" s="3">
        <f>E726-D726</f>
        <v>1.736111111111116E-2</v>
      </c>
      <c r="G726" t="s">
        <v>16</v>
      </c>
      <c r="H726" t="s">
        <v>1</v>
      </c>
    </row>
    <row r="727" spans="1:8" x14ac:dyDescent="0.3">
      <c r="A727" s="2">
        <v>44715</v>
      </c>
      <c r="B727" s="2" t="str">
        <f>TEXT(AutoPomodoro[[#This Row],[DATE]],"mmmm")</f>
        <v>June</v>
      </c>
      <c r="C727" s="2" t="str">
        <f>TEXT(AutoPomodoro[[#This Row],[DATE]],"yyyy")</f>
        <v>2022</v>
      </c>
      <c r="D727" s="8">
        <f>E726+$T$16</f>
        <v>0.54305555555555562</v>
      </c>
      <c r="E727" s="8">
        <f>D727+$T$15</f>
        <v>0.56041666666666679</v>
      </c>
      <c r="F727" s="3">
        <f>E727-D727</f>
        <v>1.736111111111116E-2</v>
      </c>
      <c r="G727" t="s">
        <v>16</v>
      </c>
      <c r="H727" t="s">
        <v>1</v>
      </c>
    </row>
    <row r="728" spans="1:8" x14ac:dyDescent="0.3">
      <c r="A728" s="2">
        <v>44715</v>
      </c>
      <c r="B728" s="2" t="str">
        <f>TEXT(AutoPomodoro[[#This Row],[DATE]],"mmmm")</f>
        <v>June</v>
      </c>
      <c r="C728" s="2" t="str">
        <f>TEXT(AutoPomodoro[[#This Row],[DATE]],"yyyy")</f>
        <v>2022</v>
      </c>
      <c r="D728" s="8">
        <f>E727+$T$16</f>
        <v>0.56388888888888899</v>
      </c>
      <c r="E728" s="8">
        <f>D728+$T$15</f>
        <v>0.58125000000000016</v>
      </c>
      <c r="F728" s="3">
        <f>E728-D728</f>
        <v>1.736111111111116E-2</v>
      </c>
      <c r="G728" t="s">
        <v>16</v>
      </c>
      <c r="H728" t="s">
        <v>1</v>
      </c>
    </row>
    <row r="729" spans="1:8" x14ac:dyDescent="0.3">
      <c r="A729" s="2">
        <v>44715</v>
      </c>
      <c r="B729" s="2" t="str">
        <f>TEXT(AutoPomodoro[[#This Row],[DATE]],"mmmm")</f>
        <v>June</v>
      </c>
      <c r="C729" s="2" t="str">
        <f>TEXT(AutoPomodoro[[#This Row],[DATE]],"yyyy")</f>
        <v>2022</v>
      </c>
      <c r="D729" s="8">
        <f>E728+$T$17</f>
        <v>0.58611111111111125</v>
      </c>
      <c r="E729" s="8">
        <f>D729+$T$15</f>
        <v>0.60347222222222241</v>
      </c>
      <c r="F729" s="3">
        <v>1.8055555555555557E-2</v>
      </c>
      <c r="G729" t="s">
        <v>16</v>
      </c>
      <c r="H729" t="s">
        <v>1</v>
      </c>
    </row>
    <row r="730" spans="1:8" x14ac:dyDescent="0.3">
      <c r="A730" s="2">
        <v>44715</v>
      </c>
      <c r="B730" s="2" t="str">
        <f>TEXT(AutoPomodoro[[#This Row],[DATE]],"mmmm")</f>
        <v>June</v>
      </c>
      <c r="C730" s="2" t="str">
        <f>TEXT(AutoPomodoro[[#This Row],[DATE]],"yyyy")</f>
        <v>2022</v>
      </c>
      <c r="D730" s="8">
        <v>0.60347222222222219</v>
      </c>
      <c r="E730" s="8">
        <v>0.65625</v>
      </c>
      <c r="F730" s="3">
        <f t="shared" ref="F730:F741" si="59">E730-D730</f>
        <v>5.2777777777777812E-2</v>
      </c>
      <c r="G730" t="s">
        <v>21</v>
      </c>
      <c r="H730" t="s">
        <v>1</v>
      </c>
    </row>
    <row r="731" spans="1:8" x14ac:dyDescent="0.3">
      <c r="A731" s="2">
        <v>44715</v>
      </c>
      <c r="B731" s="2" t="str">
        <f>TEXT(AutoPomodoro[[#This Row],[DATE]],"mmmm")</f>
        <v>June</v>
      </c>
      <c r="C731" s="2" t="str">
        <f>TEXT(AutoPomodoro[[#This Row],[DATE]],"yyyy")</f>
        <v>2022</v>
      </c>
      <c r="D731" s="8">
        <v>0.65625</v>
      </c>
      <c r="E731" s="8">
        <f t="shared" ref="E731:E737" si="60">D731+$T$15</f>
        <v>0.67361111111111116</v>
      </c>
      <c r="F731" s="3">
        <f t="shared" si="59"/>
        <v>1.736111111111116E-2</v>
      </c>
      <c r="G731" t="s">
        <v>16</v>
      </c>
      <c r="H731" t="s">
        <v>2</v>
      </c>
    </row>
    <row r="732" spans="1:8" x14ac:dyDescent="0.3">
      <c r="A732" s="2">
        <v>44715</v>
      </c>
      <c r="B732" s="2" t="str">
        <f>TEXT(AutoPomodoro[[#This Row],[DATE]],"mmmm")</f>
        <v>June</v>
      </c>
      <c r="C732" s="2" t="str">
        <f>TEXT(AutoPomodoro[[#This Row],[DATE]],"yyyy")</f>
        <v>2022</v>
      </c>
      <c r="D732" s="8">
        <f>E731+$T$16</f>
        <v>0.67708333333333337</v>
      </c>
      <c r="E732" s="8">
        <f t="shared" si="60"/>
        <v>0.69444444444444453</v>
      </c>
      <c r="F732" s="3">
        <f t="shared" si="59"/>
        <v>1.736111111111116E-2</v>
      </c>
      <c r="G732" t="s">
        <v>17</v>
      </c>
      <c r="H732" t="s">
        <v>1</v>
      </c>
    </row>
    <row r="733" spans="1:8" x14ac:dyDescent="0.3">
      <c r="A733" s="2">
        <v>44715</v>
      </c>
      <c r="B733" s="2" t="str">
        <f>TEXT(AutoPomodoro[[#This Row],[DATE]],"mmmm")</f>
        <v>June</v>
      </c>
      <c r="C733" s="2" t="str">
        <f>TEXT(AutoPomodoro[[#This Row],[DATE]],"yyyy")</f>
        <v>2022</v>
      </c>
      <c r="D733" s="8">
        <f>E732+$T$16</f>
        <v>0.69791666666666674</v>
      </c>
      <c r="E733" s="8">
        <f t="shared" si="60"/>
        <v>0.7152777777777779</v>
      </c>
      <c r="F733" s="3">
        <f t="shared" si="59"/>
        <v>1.736111111111116E-2</v>
      </c>
      <c r="G733" t="s">
        <v>17</v>
      </c>
      <c r="H733" t="s">
        <v>1</v>
      </c>
    </row>
    <row r="734" spans="1:8" x14ac:dyDescent="0.3">
      <c r="A734" s="2">
        <v>44715</v>
      </c>
      <c r="B734" s="2" t="str">
        <f>TEXT(AutoPomodoro[[#This Row],[DATE]],"mmmm")</f>
        <v>June</v>
      </c>
      <c r="C734" s="2" t="str">
        <f>TEXT(AutoPomodoro[[#This Row],[DATE]],"yyyy")</f>
        <v>2022</v>
      </c>
      <c r="D734" s="8">
        <f>E733+$T$17</f>
        <v>0.72013888888888899</v>
      </c>
      <c r="E734" s="8">
        <f t="shared" si="60"/>
        <v>0.73750000000000016</v>
      </c>
      <c r="F734" s="3">
        <f t="shared" si="59"/>
        <v>1.736111111111116E-2</v>
      </c>
      <c r="G734" t="s">
        <v>17</v>
      </c>
      <c r="H734" t="s">
        <v>1</v>
      </c>
    </row>
    <row r="735" spans="1:8" x14ac:dyDescent="0.3">
      <c r="A735" s="2">
        <v>44716</v>
      </c>
      <c r="B735" s="2" t="str">
        <f>TEXT(AutoPomodoro[[#This Row],[DATE]],"mmmm")</f>
        <v>June</v>
      </c>
      <c r="C735" s="2" t="str">
        <f>TEXT(AutoPomodoro[[#This Row],[DATE]],"yyyy")</f>
        <v>2022</v>
      </c>
      <c r="D735" s="8">
        <v>0.60069444444444442</v>
      </c>
      <c r="E735" s="8">
        <f t="shared" si="60"/>
        <v>0.61805555555555558</v>
      </c>
      <c r="F735" s="3">
        <f t="shared" si="59"/>
        <v>1.736111111111116E-2</v>
      </c>
      <c r="G735" t="s">
        <v>17</v>
      </c>
      <c r="H735" t="s">
        <v>1</v>
      </c>
    </row>
    <row r="736" spans="1:8" x14ac:dyDescent="0.3">
      <c r="A736" s="2">
        <v>44716</v>
      </c>
      <c r="B736" s="2" t="str">
        <f>TEXT(AutoPomodoro[[#This Row],[DATE]],"mmmm")</f>
        <v>June</v>
      </c>
      <c r="C736" s="2" t="str">
        <f>TEXT(AutoPomodoro[[#This Row],[DATE]],"yyyy")</f>
        <v>2022</v>
      </c>
      <c r="D736" s="8">
        <f>E735+$T$16</f>
        <v>0.62152777777777779</v>
      </c>
      <c r="E736" s="8">
        <f t="shared" si="60"/>
        <v>0.63888888888888895</v>
      </c>
      <c r="F736" s="3">
        <f t="shared" si="59"/>
        <v>1.736111111111116E-2</v>
      </c>
      <c r="G736" t="s">
        <v>17</v>
      </c>
      <c r="H736" t="s">
        <v>1</v>
      </c>
    </row>
    <row r="737" spans="1:8" x14ac:dyDescent="0.3">
      <c r="A737" s="2">
        <v>44716</v>
      </c>
      <c r="B737" s="2" t="str">
        <f>TEXT(AutoPomodoro[[#This Row],[DATE]],"mmmm")</f>
        <v>June</v>
      </c>
      <c r="C737" s="2" t="str">
        <f>TEXT(AutoPomodoro[[#This Row],[DATE]],"yyyy")</f>
        <v>2022</v>
      </c>
      <c r="D737" s="8">
        <f>E736+$T$16</f>
        <v>0.64236111111111116</v>
      </c>
      <c r="E737" s="8">
        <f t="shared" si="60"/>
        <v>0.65972222222222232</v>
      </c>
      <c r="F737" s="3">
        <f t="shared" si="59"/>
        <v>1.736111111111116E-2</v>
      </c>
      <c r="G737" t="s">
        <v>16</v>
      </c>
      <c r="H737" t="s">
        <v>1</v>
      </c>
    </row>
    <row r="738" spans="1:8" x14ac:dyDescent="0.3">
      <c r="A738" s="2">
        <v>44716</v>
      </c>
      <c r="B738" s="2" t="str">
        <f>TEXT(AutoPomodoro[[#This Row],[DATE]],"mmmm")</f>
        <v>June</v>
      </c>
      <c r="C738" s="2" t="str">
        <f>TEXT(AutoPomodoro[[#This Row],[DATE]],"yyyy")</f>
        <v>2022</v>
      </c>
      <c r="D738" s="8">
        <f>E737+$T$17</f>
        <v>0.66458333333333341</v>
      </c>
      <c r="E738" s="8">
        <v>0.6875</v>
      </c>
      <c r="F738" s="3">
        <f t="shared" si="59"/>
        <v>2.2916666666666585E-2</v>
      </c>
      <c r="G738" t="s">
        <v>16</v>
      </c>
      <c r="H738" t="s">
        <v>1</v>
      </c>
    </row>
    <row r="739" spans="1:8" x14ac:dyDescent="0.3">
      <c r="A739" s="2">
        <v>44717</v>
      </c>
      <c r="B739" s="2" t="str">
        <f>TEXT(AutoPomodoro[[#This Row],[DATE]],"mmmm")</f>
        <v>June</v>
      </c>
      <c r="C739" s="2" t="str">
        <f>TEXT(AutoPomodoro[[#This Row],[DATE]],"yyyy")</f>
        <v>2022</v>
      </c>
      <c r="D739" s="8">
        <v>0.46875</v>
      </c>
      <c r="E739" s="8">
        <f t="shared" ref="E739:E751" si="61">D739+$T$15</f>
        <v>0.4861111111111111</v>
      </c>
      <c r="F739" s="3">
        <f t="shared" si="59"/>
        <v>1.7361111111111105E-2</v>
      </c>
      <c r="G739" t="s">
        <v>16</v>
      </c>
      <c r="H739" t="s">
        <v>1</v>
      </c>
    </row>
    <row r="740" spans="1:8" x14ac:dyDescent="0.3">
      <c r="A740" s="2">
        <v>44717</v>
      </c>
      <c r="B740" s="2" t="str">
        <f>TEXT(AutoPomodoro[[#This Row],[DATE]],"mmmm")</f>
        <v>June</v>
      </c>
      <c r="C740" s="2" t="str">
        <f>TEXT(AutoPomodoro[[#This Row],[DATE]],"yyyy")</f>
        <v>2022</v>
      </c>
      <c r="D740" s="8">
        <f>E739+$T$16</f>
        <v>0.48958333333333331</v>
      </c>
      <c r="E740" s="8">
        <f t="shared" si="61"/>
        <v>0.50694444444444442</v>
      </c>
      <c r="F740" s="3">
        <f t="shared" si="59"/>
        <v>1.7361111111111105E-2</v>
      </c>
      <c r="G740" t="s">
        <v>16</v>
      </c>
      <c r="H740" t="s">
        <v>1</v>
      </c>
    </row>
    <row r="741" spans="1:8" x14ac:dyDescent="0.3">
      <c r="A741" s="2">
        <v>44717</v>
      </c>
      <c r="B741" s="2" t="str">
        <f>TEXT(AutoPomodoro[[#This Row],[DATE]],"mmmm")</f>
        <v>June</v>
      </c>
      <c r="C741" s="2" t="str">
        <f>TEXT(AutoPomodoro[[#This Row],[DATE]],"yyyy")</f>
        <v>2022</v>
      </c>
      <c r="D741" s="8">
        <f>E740+$T$16</f>
        <v>0.51041666666666663</v>
      </c>
      <c r="E741" s="8">
        <f t="shared" si="61"/>
        <v>0.52777777777777779</v>
      </c>
      <c r="F741" s="3">
        <f t="shared" si="59"/>
        <v>1.736111111111116E-2</v>
      </c>
      <c r="G741" t="s">
        <v>16</v>
      </c>
      <c r="H741" t="s">
        <v>1</v>
      </c>
    </row>
    <row r="742" spans="1:8" x14ac:dyDescent="0.3">
      <c r="A742" s="2">
        <v>44717</v>
      </c>
      <c r="B742" s="2" t="str">
        <f>TEXT(AutoPomodoro[[#This Row],[DATE]],"mmmm")</f>
        <v>June</v>
      </c>
      <c r="C742" s="2" t="str">
        <f>TEXT(AutoPomodoro[[#This Row],[DATE]],"yyyy")</f>
        <v>2022</v>
      </c>
      <c r="D742" s="8">
        <f>E741+$T$17</f>
        <v>0.53263888888888888</v>
      </c>
      <c r="E742" s="8">
        <f t="shared" si="61"/>
        <v>0.55000000000000004</v>
      </c>
      <c r="F742" s="3">
        <v>2.9861111111111113E-2</v>
      </c>
      <c r="G742" t="s">
        <v>16</v>
      </c>
      <c r="H742" t="s">
        <v>1</v>
      </c>
    </row>
    <row r="743" spans="1:8" x14ac:dyDescent="0.3">
      <c r="A743" s="2">
        <v>44717</v>
      </c>
      <c r="B743" s="2" t="str">
        <f>TEXT(AutoPomodoro[[#This Row],[DATE]],"mmmm")</f>
        <v>June</v>
      </c>
      <c r="C743" s="2" t="str">
        <f>TEXT(AutoPomodoro[[#This Row],[DATE]],"yyyy")</f>
        <v>2022</v>
      </c>
      <c r="D743" s="8">
        <v>0.73263888888888884</v>
      </c>
      <c r="E743" s="8">
        <f t="shared" si="61"/>
        <v>0.75</v>
      </c>
      <c r="F743" s="3">
        <f t="shared" ref="F743:F758" si="62">E743-D743</f>
        <v>1.736111111111116E-2</v>
      </c>
      <c r="G743" t="s">
        <v>16</v>
      </c>
      <c r="H743" t="s">
        <v>1</v>
      </c>
    </row>
    <row r="744" spans="1:8" x14ac:dyDescent="0.3">
      <c r="A744" s="2">
        <v>44717</v>
      </c>
      <c r="B744" s="2" t="str">
        <f>TEXT(AutoPomodoro[[#This Row],[DATE]],"mmmm")</f>
        <v>June</v>
      </c>
      <c r="C744" s="2" t="str">
        <f>TEXT(AutoPomodoro[[#This Row],[DATE]],"yyyy")</f>
        <v>2022</v>
      </c>
      <c r="D744" s="8">
        <f>E743+$T$16</f>
        <v>0.75347222222222221</v>
      </c>
      <c r="E744" s="8">
        <f t="shared" si="61"/>
        <v>0.77083333333333337</v>
      </c>
      <c r="F744" s="3">
        <f t="shared" si="62"/>
        <v>1.736111111111116E-2</v>
      </c>
      <c r="G744" t="s">
        <v>16</v>
      </c>
      <c r="H744" t="s">
        <v>1</v>
      </c>
    </row>
    <row r="745" spans="1:8" x14ac:dyDescent="0.3">
      <c r="A745" s="2">
        <v>44717</v>
      </c>
      <c r="B745" s="2" t="str">
        <f>TEXT(AutoPomodoro[[#This Row],[DATE]],"mmmm")</f>
        <v>June</v>
      </c>
      <c r="C745" s="2" t="str">
        <f>TEXT(AutoPomodoro[[#This Row],[DATE]],"yyyy")</f>
        <v>2022</v>
      </c>
      <c r="D745" s="8">
        <f>E744+$T$16</f>
        <v>0.77430555555555558</v>
      </c>
      <c r="E745" s="8">
        <f t="shared" si="61"/>
        <v>0.79166666666666674</v>
      </c>
      <c r="F745" s="3">
        <f t="shared" si="62"/>
        <v>1.736111111111116E-2</v>
      </c>
      <c r="G745" t="s">
        <v>16</v>
      </c>
      <c r="H745" t="s">
        <v>1</v>
      </c>
    </row>
    <row r="746" spans="1:8" x14ac:dyDescent="0.3">
      <c r="A746" s="2">
        <v>44717</v>
      </c>
      <c r="B746" s="2" t="str">
        <f>TEXT(AutoPomodoro[[#This Row],[DATE]],"mmmm")</f>
        <v>June</v>
      </c>
      <c r="C746" s="2" t="str">
        <f>TEXT(AutoPomodoro[[#This Row],[DATE]],"yyyy")</f>
        <v>2022</v>
      </c>
      <c r="D746" s="8">
        <f>E745+$T$17</f>
        <v>0.79652777777777783</v>
      </c>
      <c r="E746" s="8">
        <f t="shared" si="61"/>
        <v>0.81388888888888899</v>
      </c>
      <c r="F746" s="3">
        <f t="shared" si="62"/>
        <v>1.736111111111116E-2</v>
      </c>
      <c r="G746" t="s">
        <v>16</v>
      </c>
      <c r="H746" t="s">
        <v>1</v>
      </c>
    </row>
    <row r="747" spans="1:8" x14ac:dyDescent="0.3">
      <c r="A747" s="2">
        <v>44717</v>
      </c>
      <c r="B747" s="2" t="str">
        <f>TEXT(AutoPomodoro[[#This Row],[DATE]],"mmmm")</f>
        <v>June</v>
      </c>
      <c r="C747" s="2" t="str">
        <f>TEXT(AutoPomodoro[[#This Row],[DATE]],"yyyy")</f>
        <v>2022</v>
      </c>
      <c r="D747" s="8">
        <v>0.81874999999999998</v>
      </c>
      <c r="E747" s="8">
        <f t="shared" si="61"/>
        <v>0.83611111111111114</v>
      </c>
      <c r="F747" s="3">
        <f t="shared" si="62"/>
        <v>1.736111111111116E-2</v>
      </c>
      <c r="G747" t="s">
        <v>0</v>
      </c>
      <c r="H747" t="s">
        <v>1</v>
      </c>
    </row>
    <row r="748" spans="1:8" x14ac:dyDescent="0.3">
      <c r="A748" s="2">
        <v>44718</v>
      </c>
      <c r="B748" s="2" t="str">
        <f>TEXT(AutoPomodoro[[#This Row],[DATE]],"mmmm")</f>
        <v>June</v>
      </c>
      <c r="C748" s="2" t="str">
        <f>TEXT(AutoPomodoro[[#This Row],[DATE]],"yyyy")</f>
        <v>2022</v>
      </c>
      <c r="D748" s="8">
        <v>0.57638888888888895</v>
      </c>
      <c r="E748" s="8">
        <f t="shared" si="61"/>
        <v>0.59375000000000011</v>
      </c>
      <c r="F748" s="3">
        <f t="shared" si="62"/>
        <v>1.736111111111116E-2</v>
      </c>
      <c r="G748" t="s">
        <v>17</v>
      </c>
      <c r="H748" t="s">
        <v>1</v>
      </c>
    </row>
    <row r="749" spans="1:8" x14ac:dyDescent="0.3">
      <c r="A749" s="2">
        <v>44718</v>
      </c>
      <c r="B749" s="2" t="str">
        <f>TEXT(AutoPomodoro[[#This Row],[DATE]],"mmmm")</f>
        <v>June</v>
      </c>
      <c r="C749" s="2" t="str">
        <f>TEXT(AutoPomodoro[[#This Row],[DATE]],"yyyy")</f>
        <v>2022</v>
      </c>
      <c r="D749" s="8">
        <f>E748+$T$16</f>
        <v>0.59722222222222232</v>
      </c>
      <c r="E749" s="8">
        <f t="shared" si="61"/>
        <v>0.61458333333333348</v>
      </c>
      <c r="F749" s="3">
        <f t="shared" si="62"/>
        <v>1.736111111111116E-2</v>
      </c>
      <c r="G749" t="s">
        <v>17</v>
      </c>
      <c r="H749" t="s">
        <v>1</v>
      </c>
    </row>
    <row r="750" spans="1:8" x14ac:dyDescent="0.3">
      <c r="A750" s="2">
        <v>44718</v>
      </c>
      <c r="B750" s="2" t="str">
        <f>TEXT(AutoPomodoro[[#This Row],[DATE]],"mmmm")</f>
        <v>June</v>
      </c>
      <c r="C750" s="2" t="str">
        <f>TEXT(AutoPomodoro[[#This Row],[DATE]],"yyyy")</f>
        <v>2022</v>
      </c>
      <c r="D750" s="8">
        <f>E749+$T$16</f>
        <v>0.61805555555555569</v>
      </c>
      <c r="E750" s="8">
        <f t="shared" si="61"/>
        <v>0.63541666666666685</v>
      </c>
      <c r="F750" s="3">
        <f t="shared" si="62"/>
        <v>1.736111111111116E-2</v>
      </c>
      <c r="G750" t="s">
        <v>16</v>
      </c>
      <c r="H750" t="s">
        <v>1</v>
      </c>
    </row>
    <row r="751" spans="1:8" x14ac:dyDescent="0.3">
      <c r="A751" s="2">
        <v>44718</v>
      </c>
      <c r="B751" s="2" t="str">
        <f>TEXT(AutoPomodoro[[#This Row],[DATE]],"mmmm")</f>
        <v>June</v>
      </c>
      <c r="C751" s="2" t="str">
        <f>TEXT(AutoPomodoro[[#This Row],[DATE]],"yyyy")</f>
        <v>2022</v>
      </c>
      <c r="D751" s="8">
        <f>E750+$T$17</f>
        <v>0.64027777777777795</v>
      </c>
      <c r="E751" s="8">
        <f t="shared" si="61"/>
        <v>0.65763888888888911</v>
      </c>
      <c r="F751" s="3">
        <f t="shared" si="62"/>
        <v>1.736111111111116E-2</v>
      </c>
      <c r="G751" t="s">
        <v>16</v>
      </c>
      <c r="H751" t="s">
        <v>1</v>
      </c>
    </row>
    <row r="752" spans="1:8" x14ac:dyDescent="0.3">
      <c r="A752" s="2">
        <v>44718</v>
      </c>
      <c r="B752" s="2" t="str">
        <f>TEXT(AutoPomodoro[[#This Row],[DATE]],"mmmm")</f>
        <v>June</v>
      </c>
      <c r="C752" s="2" t="str">
        <f>TEXT(AutoPomodoro[[#This Row],[DATE]],"yyyy")</f>
        <v>2022</v>
      </c>
      <c r="D752" s="8">
        <v>0.65763888888888888</v>
      </c>
      <c r="E752" s="8">
        <v>0.66805555555555562</v>
      </c>
      <c r="F752" s="3">
        <f t="shared" si="62"/>
        <v>1.0416666666666741E-2</v>
      </c>
      <c r="G752" t="s">
        <v>21</v>
      </c>
      <c r="H752" t="s">
        <v>1</v>
      </c>
    </row>
    <row r="753" spans="1:8" x14ac:dyDescent="0.3">
      <c r="A753" s="2">
        <v>44718</v>
      </c>
      <c r="B753" s="2" t="str">
        <f>TEXT(AutoPomodoro[[#This Row],[DATE]],"mmmm")</f>
        <v>June</v>
      </c>
      <c r="C753" s="2" t="str">
        <f>TEXT(AutoPomodoro[[#This Row],[DATE]],"yyyy")</f>
        <v>2022</v>
      </c>
      <c r="D753" s="8">
        <v>0.66805555555555562</v>
      </c>
      <c r="E753" s="8">
        <f>D753+$T$15</f>
        <v>0.68541666666666679</v>
      </c>
      <c r="F753" s="3">
        <f t="shared" si="62"/>
        <v>1.736111111111116E-2</v>
      </c>
      <c r="G753" t="s">
        <v>16</v>
      </c>
      <c r="H753" t="s">
        <v>1</v>
      </c>
    </row>
    <row r="754" spans="1:8" x14ac:dyDescent="0.3">
      <c r="A754" s="2">
        <v>44718</v>
      </c>
      <c r="B754" s="2" t="str">
        <f>TEXT(AutoPomodoro[[#This Row],[DATE]],"mmmm")</f>
        <v>June</v>
      </c>
      <c r="C754" s="2" t="str">
        <f>TEXT(AutoPomodoro[[#This Row],[DATE]],"yyyy")</f>
        <v>2022</v>
      </c>
      <c r="D754" s="8">
        <f>E753+$T$16</f>
        <v>0.68888888888888899</v>
      </c>
      <c r="E754" s="8">
        <f>D754+$T$15</f>
        <v>0.70625000000000016</v>
      </c>
      <c r="F754" s="3">
        <f t="shared" si="62"/>
        <v>1.736111111111116E-2</v>
      </c>
      <c r="G754" t="s">
        <v>16</v>
      </c>
      <c r="H754" t="s">
        <v>1</v>
      </c>
    </row>
    <row r="755" spans="1:8" x14ac:dyDescent="0.3">
      <c r="A755" s="2">
        <v>44718</v>
      </c>
      <c r="B755" s="2" t="str">
        <f>TEXT(AutoPomodoro[[#This Row],[DATE]],"mmmm")</f>
        <v>June</v>
      </c>
      <c r="C755" s="2" t="str">
        <f>TEXT(AutoPomodoro[[#This Row],[DATE]],"yyyy")</f>
        <v>2022</v>
      </c>
      <c r="D755" s="8">
        <f>E754+$T$16</f>
        <v>0.70972222222222237</v>
      </c>
      <c r="E755" s="8">
        <f>D755+$T$15</f>
        <v>0.72708333333333353</v>
      </c>
      <c r="F755" s="3">
        <f t="shared" si="62"/>
        <v>1.736111111111116E-2</v>
      </c>
      <c r="G755" t="s">
        <v>16</v>
      </c>
      <c r="H755" t="s">
        <v>1</v>
      </c>
    </row>
    <row r="756" spans="1:8" x14ac:dyDescent="0.3">
      <c r="A756" s="2">
        <v>44718</v>
      </c>
      <c r="B756" s="2" t="str">
        <f>TEXT(AutoPomodoro[[#This Row],[DATE]],"mmmm")</f>
        <v>June</v>
      </c>
      <c r="C756" s="2" t="str">
        <f>TEXT(AutoPomodoro[[#This Row],[DATE]],"yyyy")</f>
        <v>2022</v>
      </c>
      <c r="D756" s="8">
        <v>0.73541666666666661</v>
      </c>
      <c r="E756" s="8">
        <v>0.75277777777777777</v>
      </c>
      <c r="F756" s="3">
        <f t="shared" si="62"/>
        <v>1.736111111111116E-2</v>
      </c>
      <c r="G756" t="s">
        <v>16</v>
      </c>
      <c r="H756" t="s">
        <v>1</v>
      </c>
    </row>
    <row r="757" spans="1:8" x14ac:dyDescent="0.3">
      <c r="A757" s="2">
        <v>44718</v>
      </c>
      <c r="B757" s="2" t="str">
        <f>TEXT(AutoPomodoro[[#This Row],[DATE]],"mmmm")</f>
        <v>June</v>
      </c>
      <c r="C757" s="2" t="str">
        <f>TEXT(AutoPomodoro[[#This Row],[DATE]],"yyyy")</f>
        <v>2022</v>
      </c>
      <c r="D757" s="8">
        <v>0.85416666666666663</v>
      </c>
      <c r="E757" s="8">
        <f t="shared" ref="E757:E763" si="63">D757+$T$15</f>
        <v>0.87152777777777779</v>
      </c>
      <c r="F757" s="3">
        <f t="shared" si="62"/>
        <v>1.736111111111116E-2</v>
      </c>
      <c r="G757" t="s">
        <v>16</v>
      </c>
      <c r="H757" t="s">
        <v>1</v>
      </c>
    </row>
    <row r="758" spans="1:8" x14ac:dyDescent="0.3">
      <c r="A758" s="2">
        <v>44718</v>
      </c>
      <c r="B758" s="2" t="str">
        <f>TEXT(AutoPomodoro[[#This Row],[DATE]],"mmmm")</f>
        <v>June</v>
      </c>
      <c r="C758" s="2" t="str">
        <f>TEXT(AutoPomodoro[[#This Row],[DATE]],"yyyy")</f>
        <v>2022</v>
      </c>
      <c r="D758" s="8">
        <f>E757+$T$16</f>
        <v>0.875</v>
      </c>
      <c r="E758" s="8">
        <f t="shared" si="63"/>
        <v>0.89236111111111116</v>
      </c>
      <c r="F758" s="3">
        <f t="shared" si="62"/>
        <v>1.736111111111116E-2</v>
      </c>
      <c r="G758" t="s">
        <v>16</v>
      </c>
      <c r="H758" t="s">
        <v>1</v>
      </c>
    </row>
    <row r="759" spans="1:8" x14ac:dyDescent="0.3">
      <c r="A759" s="2">
        <v>44718</v>
      </c>
      <c r="B759" s="2" t="str">
        <f>TEXT(AutoPomodoro[[#This Row],[DATE]],"mmmm")</f>
        <v>June</v>
      </c>
      <c r="C759" s="2" t="str">
        <f>TEXT(AutoPomodoro[[#This Row],[DATE]],"yyyy")</f>
        <v>2022</v>
      </c>
      <c r="D759" s="8">
        <f>E758+$T$16</f>
        <v>0.89583333333333337</v>
      </c>
      <c r="E759" s="8">
        <f t="shared" si="63"/>
        <v>0.91319444444444453</v>
      </c>
      <c r="F759" s="3">
        <v>2.0833333333333332E-2</v>
      </c>
      <c r="G759" t="s">
        <v>16</v>
      </c>
      <c r="H759" t="s">
        <v>1</v>
      </c>
    </row>
    <row r="760" spans="1:8" x14ac:dyDescent="0.3">
      <c r="A760" s="2">
        <v>44719</v>
      </c>
      <c r="B760" s="2" t="str">
        <f>TEXT(AutoPomodoro[[#This Row],[DATE]],"mmmm")</f>
        <v>June</v>
      </c>
      <c r="C760" s="2" t="str">
        <f>TEXT(AutoPomodoro[[#This Row],[DATE]],"yyyy")</f>
        <v>2022</v>
      </c>
      <c r="D760" s="8">
        <v>0.46527777777777773</v>
      </c>
      <c r="E760" s="8">
        <f t="shared" si="63"/>
        <v>0.48263888888888884</v>
      </c>
      <c r="F760" s="3">
        <f t="shared" ref="F760:F765" si="64">E760-D760</f>
        <v>1.7361111111111105E-2</v>
      </c>
      <c r="G760" t="s">
        <v>17</v>
      </c>
      <c r="H760" t="s">
        <v>1</v>
      </c>
    </row>
    <row r="761" spans="1:8" x14ac:dyDescent="0.3">
      <c r="A761" s="2">
        <v>44719</v>
      </c>
      <c r="B761" s="2" t="str">
        <f>TEXT(AutoPomodoro[[#This Row],[DATE]],"mmmm")</f>
        <v>June</v>
      </c>
      <c r="C761" s="2" t="str">
        <f>TEXT(AutoPomodoro[[#This Row],[DATE]],"yyyy")</f>
        <v>2022</v>
      </c>
      <c r="D761" s="8">
        <f>E760+$T$16</f>
        <v>0.48611111111111105</v>
      </c>
      <c r="E761" s="8">
        <f t="shared" si="63"/>
        <v>0.50347222222222221</v>
      </c>
      <c r="F761" s="3">
        <f t="shared" si="64"/>
        <v>1.736111111111116E-2</v>
      </c>
      <c r="G761" t="s">
        <v>16</v>
      </c>
      <c r="H761" t="s">
        <v>1</v>
      </c>
    </row>
    <row r="762" spans="1:8" x14ac:dyDescent="0.3">
      <c r="A762" s="2">
        <v>44719</v>
      </c>
      <c r="B762" s="2" t="str">
        <f>TEXT(AutoPomodoro[[#This Row],[DATE]],"mmmm")</f>
        <v>June</v>
      </c>
      <c r="C762" s="2" t="str">
        <f>TEXT(AutoPomodoro[[#This Row],[DATE]],"yyyy")</f>
        <v>2022</v>
      </c>
      <c r="D762" s="8">
        <f>E761+$T$16</f>
        <v>0.50694444444444442</v>
      </c>
      <c r="E762" s="8">
        <f t="shared" si="63"/>
        <v>0.52430555555555558</v>
      </c>
      <c r="F762" s="3">
        <f t="shared" si="64"/>
        <v>1.736111111111116E-2</v>
      </c>
      <c r="G762" t="s">
        <v>16</v>
      </c>
      <c r="H762" t="s">
        <v>1</v>
      </c>
    </row>
    <row r="763" spans="1:8" x14ac:dyDescent="0.3">
      <c r="A763" s="2">
        <v>44719</v>
      </c>
      <c r="B763" s="2" t="str">
        <f>TEXT(AutoPomodoro[[#This Row],[DATE]],"mmmm")</f>
        <v>June</v>
      </c>
      <c r="C763" s="2" t="str">
        <f>TEXT(AutoPomodoro[[#This Row],[DATE]],"yyyy")</f>
        <v>2022</v>
      </c>
      <c r="D763" s="8">
        <f>E762+$T$17</f>
        <v>0.52916666666666667</v>
      </c>
      <c r="E763" s="8">
        <f t="shared" si="63"/>
        <v>0.54652777777777783</v>
      </c>
      <c r="F763" s="3">
        <f t="shared" si="64"/>
        <v>1.736111111111116E-2</v>
      </c>
      <c r="G763" t="s">
        <v>16</v>
      </c>
      <c r="H763" t="s">
        <v>1</v>
      </c>
    </row>
    <row r="764" spans="1:8" x14ac:dyDescent="0.3">
      <c r="A764" s="2">
        <v>44719</v>
      </c>
      <c r="B764" s="2" t="str">
        <f>TEXT(AutoPomodoro[[#This Row],[DATE]],"mmmm")</f>
        <v>June</v>
      </c>
      <c r="C764" s="2" t="str">
        <f>TEXT(AutoPomodoro[[#This Row],[DATE]],"yyyy")</f>
        <v>2022</v>
      </c>
      <c r="D764" s="8">
        <v>0.54652777777777783</v>
      </c>
      <c r="E764" s="8">
        <v>0.55694444444444446</v>
      </c>
      <c r="F764" s="3">
        <f t="shared" si="64"/>
        <v>1.041666666666663E-2</v>
      </c>
      <c r="G764" t="s">
        <v>21</v>
      </c>
      <c r="H764" t="s">
        <v>1</v>
      </c>
    </row>
    <row r="765" spans="1:8" x14ac:dyDescent="0.3">
      <c r="A765" s="2">
        <v>44719</v>
      </c>
      <c r="B765" s="2" t="str">
        <f>TEXT(AutoPomodoro[[#This Row],[DATE]],"mmmm")</f>
        <v>June</v>
      </c>
      <c r="C765" s="2" t="str">
        <f>TEXT(AutoPomodoro[[#This Row],[DATE]],"yyyy")</f>
        <v>2022</v>
      </c>
      <c r="D765" s="8">
        <v>0.55694444444444446</v>
      </c>
      <c r="E765" s="8">
        <f>D765+$T$15</f>
        <v>0.57430555555555562</v>
      </c>
      <c r="F765" s="3">
        <f t="shared" si="64"/>
        <v>1.736111111111116E-2</v>
      </c>
      <c r="G765" t="s">
        <v>16</v>
      </c>
      <c r="H765" t="s">
        <v>1</v>
      </c>
    </row>
    <row r="766" spans="1:8" x14ac:dyDescent="0.3">
      <c r="A766" s="2">
        <v>44719</v>
      </c>
      <c r="B766" s="2" t="str">
        <f>TEXT(AutoPomodoro[[#This Row],[DATE]],"mmmm")</f>
        <v>June</v>
      </c>
      <c r="C766" s="2" t="str">
        <f>TEXT(AutoPomodoro[[#This Row],[DATE]],"yyyy")</f>
        <v>2022</v>
      </c>
      <c r="D766" s="8">
        <f>E765+$T$16</f>
        <v>0.57777777777777783</v>
      </c>
      <c r="E766" s="8">
        <f>D766+$T$15</f>
        <v>0.59513888888888899</v>
      </c>
      <c r="F766" s="3">
        <v>2.013888888888889E-2</v>
      </c>
      <c r="G766" t="s">
        <v>16</v>
      </c>
      <c r="H766" t="s">
        <v>1</v>
      </c>
    </row>
    <row r="767" spans="1:8" x14ac:dyDescent="0.3">
      <c r="A767" s="2">
        <v>44719</v>
      </c>
      <c r="B767" s="2" t="str">
        <f>TEXT(AutoPomodoro[[#This Row],[DATE]],"mmmm")</f>
        <v>June</v>
      </c>
      <c r="C767" s="2" t="str">
        <f>TEXT(AutoPomodoro[[#This Row],[DATE]],"yyyy")</f>
        <v>2022</v>
      </c>
      <c r="D767" s="8">
        <v>0.59513888888888888</v>
      </c>
      <c r="E767" s="8">
        <v>0.61597222222222225</v>
      </c>
      <c r="F767" s="3">
        <f>E767-D767</f>
        <v>2.083333333333337E-2</v>
      </c>
      <c r="G767" t="s">
        <v>21</v>
      </c>
      <c r="H767" t="s">
        <v>1</v>
      </c>
    </row>
    <row r="768" spans="1:8" x14ac:dyDescent="0.3">
      <c r="A768" s="2">
        <v>44719</v>
      </c>
      <c r="B768" s="2" t="str">
        <f>TEXT(AutoPomodoro[[#This Row],[DATE]],"mmmm")</f>
        <v>June</v>
      </c>
      <c r="C768" s="2" t="str">
        <f>TEXT(AutoPomodoro[[#This Row],[DATE]],"yyyy")</f>
        <v>2022</v>
      </c>
      <c r="D768" s="8">
        <v>0.61597222222222225</v>
      </c>
      <c r="E768" s="8">
        <f>D768+$T$15</f>
        <v>0.63333333333333341</v>
      </c>
      <c r="F768" s="3">
        <v>1.3888888888888888E-2</v>
      </c>
      <c r="G768" t="s">
        <v>16</v>
      </c>
      <c r="H768" t="s">
        <v>1</v>
      </c>
    </row>
    <row r="769" spans="1:13" x14ac:dyDescent="0.3">
      <c r="A769" s="2">
        <v>44719</v>
      </c>
      <c r="B769" s="2" t="str">
        <f>TEXT(AutoPomodoro[[#This Row],[DATE]],"mmmm")</f>
        <v>June</v>
      </c>
      <c r="C769" s="2" t="str">
        <f>TEXT(AutoPomodoro[[#This Row],[DATE]],"yyyy")</f>
        <v>2022</v>
      </c>
      <c r="D769" s="8">
        <f>E768+$T$16</f>
        <v>0.63680555555555562</v>
      </c>
      <c r="E769" s="8">
        <f>D769+$T$15</f>
        <v>0.65416666666666679</v>
      </c>
      <c r="F769" s="3">
        <f>E769-D769</f>
        <v>1.736111111111116E-2</v>
      </c>
      <c r="G769" t="s">
        <v>16</v>
      </c>
      <c r="H769" t="s">
        <v>1</v>
      </c>
      <c r="L769" s="3"/>
      <c r="M769" s="3"/>
    </row>
    <row r="770" spans="1:13" x14ac:dyDescent="0.3">
      <c r="A770" s="2">
        <v>44719</v>
      </c>
      <c r="B770" s="2" t="str">
        <f>TEXT(AutoPomodoro[[#This Row],[DATE]],"mmmm")</f>
        <v>June</v>
      </c>
      <c r="C770" s="2" t="str">
        <f>TEXT(AutoPomodoro[[#This Row],[DATE]],"yyyy")</f>
        <v>2022</v>
      </c>
      <c r="D770" s="8">
        <f>E769+$T$16</f>
        <v>0.65763888888888899</v>
      </c>
      <c r="E770" s="8">
        <f>D770+$T$15</f>
        <v>0.67500000000000016</v>
      </c>
      <c r="F770" s="3">
        <f>E770-D770</f>
        <v>1.736111111111116E-2</v>
      </c>
      <c r="G770" t="s">
        <v>16</v>
      </c>
      <c r="H770" t="s">
        <v>1</v>
      </c>
      <c r="L770" s="3"/>
      <c r="M770" s="3"/>
    </row>
    <row r="771" spans="1:13" x14ac:dyDescent="0.3">
      <c r="A771" s="2">
        <v>44719</v>
      </c>
      <c r="B771" s="2" t="str">
        <f>TEXT(AutoPomodoro[[#This Row],[DATE]],"mmmm")</f>
        <v>June</v>
      </c>
      <c r="C771" s="2" t="str">
        <f>TEXT(AutoPomodoro[[#This Row],[DATE]],"yyyy")</f>
        <v>2022</v>
      </c>
      <c r="D771" s="8">
        <f>E770+$T$17</f>
        <v>0.67986111111111125</v>
      </c>
      <c r="E771" s="8">
        <f>D771+$T$15</f>
        <v>0.69722222222222241</v>
      </c>
      <c r="F771" s="3">
        <v>2.7083333333333334E-2</v>
      </c>
      <c r="G771" t="s">
        <v>16</v>
      </c>
      <c r="H771" t="s">
        <v>1</v>
      </c>
      <c r="L771" s="3"/>
      <c r="M771" s="3"/>
    </row>
    <row r="772" spans="1:13" x14ac:dyDescent="0.3">
      <c r="A772" s="2">
        <v>44719</v>
      </c>
      <c r="B772" s="2" t="str">
        <f>TEXT(AutoPomodoro[[#This Row],[DATE]],"mmmm")</f>
        <v>June</v>
      </c>
      <c r="C772" s="2" t="str">
        <f>TEXT(AutoPomodoro[[#This Row],[DATE]],"yyyy")</f>
        <v>2022</v>
      </c>
      <c r="D772" s="8">
        <v>0.6972222222222223</v>
      </c>
      <c r="E772" s="8">
        <v>0.70763888888888893</v>
      </c>
      <c r="F772" s="3">
        <f t="shared" ref="F772:F778" si="65">E772-D772</f>
        <v>1.041666666666663E-2</v>
      </c>
      <c r="G772" t="s">
        <v>21</v>
      </c>
      <c r="H772" t="s">
        <v>1</v>
      </c>
      <c r="L772" s="3"/>
      <c r="M772" s="3"/>
    </row>
    <row r="773" spans="1:13" x14ac:dyDescent="0.3">
      <c r="A773" s="2">
        <v>44719</v>
      </c>
      <c r="B773" s="2" t="str">
        <f>TEXT(AutoPomodoro[[#This Row],[DATE]],"mmmm")</f>
        <v>June</v>
      </c>
      <c r="C773" s="2" t="str">
        <f>TEXT(AutoPomodoro[[#This Row],[DATE]],"yyyy")</f>
        <v>2022</v>
      </c>
      <c r="D773" s="8">
        <v>0.70763888888888893</v>
      </c>
      <c r="E773" s="8">
        <f>D773+$T$15</f>
        <v>0.72500000000000009</v>
      </c>
      <c r="F773" s="3">
        <f t="shared" si="65"/>
        <v>1.736111111111116E-2</v>
      </c>
      <c r="G773" t="s">
        <v>16</v>
      </c>
      <c r="H773" t="s">
        <v>2</v>
      </c>
    </row>
    <row r="774" spans="1:13" x14ac:dyDescent="0.3">
      <c r="A774" s="2">
        <v>44719</v>
      </c>
      <c r="B774" s="2" t="str">
        <f>TEXT(AutoPomodoro[[#This Row],[DATE]],"mmmm")</f>
        <v>June</v>
      </c>
      <c r="C774" s="2" t="str">
        <f>TEXT(AutoPomodoro[[#This Row],[DATE]],"yyyy")</f>
        <v>2022</v>
      </c>
      <c r="D774" s="8">
        <f>E773+$T$16</f>
        <v>0.7284722222222223</v>
      </c>
      <c r="E774" s="8">
        <f>D774+$T$15</f>
        <v>0.74583333333333346</v>
      </c>
      <c r="F774" s="3">
        <f t="shared" si="65"/>
        <v>1.736111111111116E-2</v>
      </c>
      <c r="G774" t="s">
        <v>16</v>
      </c>
      <c r="H774" t="s">
        <v>2</v>
      </c>
    </row>
    <row r="775" spans="1:13" x14ac:dyDescent="0.3">
      <c r="A775" s="2">
        <v>44724</v>
      </c>
      <c r="B775" s="2" t="str">
        <f>TEXT(AutoPomodoro[[#This Row],[DATE]],"mmmm")</f>
        <v>June</v>
      </c>
      <c r="C775" s="2" t="str">
        <f>TEXT(AutoPomodoro[[#This Row],[DATE]],"yyyy")</f>
        <v>2022</v>
      </c>
      <c r="D775" s="8">
        <v>0.71319444444444446</v>
      </c>
      <c r="E775" s="8">
        <v>0.7402777777777777</v>
      </c>
      <c r="F775" s="3">
        <f t="shared" si="65"/>
        <v>2.7083333333333237E-2</v>
      </c>
      <c r="G775" t="s">
        <v>17</v>
      </c>
      <c r="H775" t="s">
        <v>1</v>
      </c>
    </row>
    <row r="776" spans="1:13" x14ac:dyDescent="0.3">
      <c r="A776" s="2">
        <v>44724</v>
      </c>
      <c r="B776" s="2" t="str">
        <f>TEXT(AutoPomodoro[[#This Row],[DATE]],"mmmm")</f>
        <v>June</v>
      </c>
      <c r="C776" s="2" t="str">
        <f>TEXT(AutoPomodoro[[#This Row],[DATE]],"yyyy")</f>
        <v>2022</v>
      </c>
      <c r="D776" s="8">
        <v>0.75208333333333333</v>
      </c>
      <c r="E776" s="8">
        <f>D776+$T$15</f>
        <v>0.76944444444444449</v>
      </c>
      <c r="F776" s="3">
        <f t="shared" si="65"/>
        <v>1.736111111111116E-2</v>
      </c>
      <c r="G776" t="s">
        <v>16</v>
      </c>
      <c r="H776" t="s">
        <v>1</v>
      </c>
    </row>
    <row r="777" spans="1:13" x14ac:dyDescent="0.3">
      <c r="A777" s="2">
        <v>44724</v>
      </c>
      <c r="B777" s="2" t="str">
        <f>TEXT(AutoPomodoro[[#This Row],[DATE]],"mmmm")</f>
        <v>June</v>
      </c>
      <c r="C777" s="2" t="str">
        <f>TEXT(AutoPomodoro[[#This Row],[DATE]],"yyyy")</f>
        <v>2022</v>
      </c>
      <c r="D777" s="8">
        <f>E776+$T$16</f>
        <v>0.7729166666666667</v>
      </c>
      <c r="E777" s="8">
        <f>D777+$T$15</f>
        <v>0.79027777777777786</v>
      </c>
      <c r="F777" s="3">
        <f t="shared" si="65"/>
        <v>1.736111111111116E-2</v>
      </c>
      <c r="G777" t="s">
        <v>16</v>
      </c>
      <c r="H777" t="s">
        <v>1</v>
      </c>
    </row>
    <row r="778" spans="1:13" x14ac:dyDescent="0.3">
      <c r="A778" s="2">
        <v>44724</v>
      </c>
      <c r="B778" s="2" t="str">
        <f>TEXT(AutoPomodoro[[#This Row],[DATE]],"mmmm")</f>
        <v>June</v>
      </c>
      <c r="C778" s="2" t="str">
        <f>TEXT(AutoPomodoro[[#This Row],[DATE]],"yyyy")</f>
        <v>2022</v>
      </c>
      <c r="D778" s="8">
        <f>E777+$T$16</f>
        <v>0.79375000000000007</v>
      </c>
      <c r="E778" s="8">
        <f>D778+$T$15</f>
        <v>0.81111111111111123</v>
      </c>
      <c r="F778" s="3">
        <f t="shared" si="65"/>
        <v>1.736111111111116E-2</v>
      </c>
      <c r="G778" t="s">
        <v>16</v>
      </c>
      <c r="H778" t="s">
        <v>1</v>
      </c>
    </row>
    <row r="779" spans="1:13" x14ac:dyDescent="0.3">
      <c r="A779" s="2">
        <v>44724</v>
      </c>
      <c r="B779" s="2" t="str">
        <f>TEXT(AutoPomodoro[[#This Row],[DATE]],"mmmm")</f>
        <v>June</v>
      </c>
      <c r="C779" s="2" t="str">
        <f>TEXT(AutoPomodoro[[#This Row],[DATE]],"yyyy")</f>
        <v>2022</v>
      </c>
      <c r="D779" s="8">
        <f>E778+$T$17</f>
        <v>0.81597222222222232</v>
      </c>
      <c r="E779" s="8">
        <f>D779+$T$15</f>
        <v>0.83333333333333348</v>
      </c>
      <c r="F779" s="3">
        <v>8.3333333333333332E-3</v>
      </c>
      <c r="G779" t="s">
        <v>16</v>
      </c>
      <c r="H779" t="s">
        <v>1</v>
      </c>
    </row>
    <row r="780" spans="1:13" x14ac:dyDescent="0.3">
      <c r="A780" s="2">
        <v>44724</v>
      </c>
      <c r="B780" s="2" t="str">
        <f>TEXT(AutoPomodoro[[#This Row],[DATE]],"mmmm")</f>
        <v>June</v>
      </c>
      <c r="C780" s="2" t="str">
        <f>TEXT(AutoPomodoro[[#This Row],[DATE]],"yyyy")</f>
        <v>2022</v>
      </c>
      <c r="D780" s="8">
        <v>0.86458333333333337</v>
      </c>
      <c r="E780" s="8">
        <v>0.875</v>
      </c>
      <c r="F780" s="3">
        <f>E780-D780</f>
        <v>1.041666666666663E-2</v>
      </c>
      <c r="G780" t="s">
        <v>0</v>
      </c>
      <c r="H780" t="s">
        <v>1</v>
      </c>
    </row>
    <row r="781" spans="1:13" x14ac:dyDescent="0.3">
      <c r="A781" s="2">
        <v>44724</v>
      </c>
      <c r="B781" s="2" t="str">
        <f>TEXT(AutoPomodoro[[#This Row],[DATE]],"mmmm")</f>
        <v>June</v>
      </c>
      <c r="C781" s="2" t="str">
        <f>TEXT(AutoPomodoro[[#This Row],[DATE]],"yyyy")</f>
        <v>2022</v>
      </c>
      <c r="D781" s="8">
        <v>0.87708333333333333</v>
      </c>
      <c r="E781" s="8">
        <f t="shared" ref="E781:E787" si="66">D781+$T$15</f>
        <v>0.89444444444444449</v>
      </c>
      <c r="F781" s="3">
        <f>E781-D781</f>
        <v>1.736111111111116E-2</v>
      </c>
      <c r="G781" t="s">
        <v>16</v>
      </c>
      <c r="H781" t="s">
        <v>1</v>
      </c>
    </row>
    <row r="782" spans="1:13" x14ac:dyDescent="0.3">
      <c r="A782" s="2">
        <v>44724</v>
      </c>
      <c r="B782" s="2" t="str">
        <f>TEXT(AutoPomodoro[[#This Row],[DATE]],"mmmm")</f>
        <v>June</v>
      </c>
      <c r="C782" s="2" t="str">
        <f>TEXT(AutoPomodoro[[#This Row],[DATE]],"yyyy")</f>
        <v>2022</v>
      </c>
      <c r="D782" s="8">
        <f>E781+$T$16</f>
        <v>0.8979166666666667</v>
      </c>
      <c r="E782" s="8">
        <f t="shared" si="66"/>
        <v>0.91527777777777786</v>
      </c>
      <c r="F782" s="3">
        <f>E782-D782</f>
        <v>1.736111111111116E-2</v>
      </c>
      <c r="G782" t="s">
        <v>16</v>
      </c>
      <c r="H782" t="s">
        <v>1</v>
      </c>
    </row>
    <row r="783" spans="1:13" x14ac:dyDescent="0.3">
      <c r="A783" s="2">
        <v>44724</v>
      </c>
      <c r="B783" s="2" t="str">
        <f>TEXT(AutoPomodoro[[#This Row],[DATE]],"mmmm")</f>
        <v>June</v>
      </c>
      <c r="C783" s="2" t="str">
        <f>TEXT(AutoPomodoro[[#This Row],[DATE]],"yyyy")</f>
        <v>2022</v>
      </c>
      <c r="D783" s="8">
        <f>E782+$T$16</f>
        <v>0.91875000000000007</v>
      </c>
      <c r="E783" s="8">
        <f t="shared" si="66"/>
        <v>0.93611111111111123</v>
      </c>
      <c r="F783" s="3">
        <v>2.1527777777777781E-2</v>
      </c>
      <c r="G783" t="s">
        <v>16</v>
      </c>
      <c r="H783" t="s">
        <v>1</v>
      </c>
    </row>
    <row r="784" spans="1:13" x14ac:dyDescent="0.3">
      <c r="A784" s="2">
        <v>44726</v>
      </c>
      <c r="B784" s="2" t="str">
        <f>TEXT(AutoPomodoro[[#This Row],[DATE]],"mmmm")</f>
        <v>June</v>
      </c>
      <c r="C784" s="2" t="str">
        <f>TEXT(AutoPomodoro[[#This Row],[DATE]],"yyyy")</f>
        <v>2022</v>
      </c>
      <c r="D784" s="8">
        <v>0.75</v>
      </c>
      <c r="E784" s="8">
        <f t="shared" si="66"/>
        <v>0.76736111111111116</v>
      </c>
      <c r="F784" s="3">
        <f t="shared" ref="F784:F791" si="67">E784-D784</f>
        <v>1.736111111111116E-2</v>
      </c>
      <c r="G784" t="s">
        <v>16</v>
      </c>
      <c r="H784" t="s">
        <v>1</v>
      </c>
    </row>
    <row r="785" spans="1:8" x14ac:dyDescent="0.3">
      <c r="A785" s="2">
        <v>44726</v>
      </c>
      <c r="B785" s="2" t="str">
        <f>TEXT(AutoPomodoro[[#This Row],[DATE]],"mmmm")</f>
        <v>June</v>
      </c>
      <c r="C785" s="2" t="str">
        <f>TEXT(AutoPomodoro[[#This Row],[DATE]],"yyyy")</f>
        <v>2022</v>
      </c>
      <c r="D785" s="8">
        <f>E784+$T$16</f>
        <v>0.77083333333333337</v>
      </c>
      <c r="E785" s="8">
        <f t="shared" si="66"/>
        <v>0.78819444444444453</v>
      </c>
      <c r="F785" s="3">
        <f t="shared" si="67"/>
        <v>1.736111111111116E-2</v>
      </c>
      <c r="G785" t="s">
        <v>16</v>
      </c>
      <c r="H785" t="s">
        <v>1</v>
      </c>
    </row>
    <row r="786" spans="1:8" x14ac:dyDescent="0.3">
      <c r="A786" s="2">
        <v>44726</v>
      </c>
      <c r="B786" s="2" t="str">
        <f>TEXT(AutoPomodoro[[#This Row],[DATE]],"mmmm")</f>
        <v>June</v>
      </c>
      <c r="C786" s="2" t="str">
        <f>TEXT(AutoPomodoro[[#This Row],[DATE]],"yyyy")</f>
        <v>2022</v>
      </c>
      <c r="D786" s="8">
        <f>E785+$T$16</f>
        <v>0.79166666666666674</v>
      </c>
      <c r="E786" s="8">
        <f t="shared" si="66"/>
        <v>0.8090277777777779</v>
      </c>
      <c r="F786" s="3">
        <f t="shared" si="67"/>
        <v>1.736111111111116E-2</v>
      </c>
      <c r="G786" t="s">
        <v>16</v>
      </c>
      <c r="H786" t="s">
        <v>1</v>
      </c>
    </row>
    <row r="787" spans="1:8" x14ac:dyDescent="0.3">
      <c r="A787" s="2">
        <v>44726</v>
      </c>
      <c r="B787" s="2" t="str">
        <f>TEXT(AutoPomodoro[[#This Row],[DATE]],"mmmm")</f>
        <v>June</v>
      </c>
      <c r="C787" s="2" t="str">
        <f>TEXT(AutoPomodoro[[#This Row],[DATE]],"yyyy")</f>
        <v>2022</v>
      </c>
      <c r="D787" s="8">
        <f>E786+$T$17</f>
        <v>0.81388888888888899</v>
      </c>
      <c r="E787" s="8">
        <f t="shared" si="66"/>
        <v>0.83125000000000016</v>
      </c>
      <c r="F787" s="3">
        <f t="shared" si="67"/>
        <v>1.736111111111116E-2</v>
      </c>
      <c r="G787" t="s">
        <v>16</v>
      </c>
      <c r="H787" t="s">
        <v>1</v>
      </c>
    </row>
    <row r="788" spans="1:8" x14ac:dyDescent="0.3">
      <c r="A788" s="2">
        <v>44726</v>
      </c>
      <c r="B788" s="2" t="str">
        <f>TEXT(AutoPomodoro[[#This Row],[DATE]],"mmmm")</f>
        <v>June</v>
      </c>
      <c r="C788" s="2" t="str">
        <f>TEXT(AutoPomodoro[[#This Row],[DATE]],"yyyy")</f>
        <v>2022</v>
      </c>
      <c r="D788" s="8">
        <v>0.83124999999999993</v>
      </c>
      <c r="E788" s="8">
        <v>0.84166666666666667</v>
      </c>
      <c r="F788" s="3">
        <f t="shared" si="67"/>
        <v>1.0416666666666741E-2</v>
      </c>
      <c r="G788" t="s">
        <v>21</v>
      </c>
      <c r="H788" t="s">
        <v>1</v>
      </c>
    </row>
    <row r="789" spans="1:8" x14ac:dyDescent="0.3">
      <c r="A789" s="2">
        <v>44726</v>
      </c>
      <c r="B789" s="2" t="str">
        <f>TEXT(AutoPomodoro[[#This Row],[DATE]],"mmmm")</f>
        <v>June</v>
      </c>
      <c r="C789" s="2" t="str">
        <f>TEXT(AutoPomodoro[[#This Row],[DATE]],"yyyy")</f>
        <v>2022</v>
      </c>
      <c r="D789" s="8">
        <v>0.84166666666666667</v>
      </c>
      <c r="E789" s="8">
        <f t="shared" ref="E789:E796" si="68">D789+$T$15</f>
        <v>0.85902777777777783</v>
      </c>
      <c r="F789" s="3">
        <f t="shared" si="67"/>
        <v>1.736111111111116E-2</v>
      </c>
      <c r="G789" t="s">
        <v>0</v>
      </c>
      <c r="H789" t="s">
        <v>1</v>
      </c>
    </row>
    <row r="790" spans="1:8" x14ac:dyDescent="0.3">
      <c r="A790" s="2">
        <v>44726</v>
      </c>
      <c r="B790" s="2" t="str">
        <f>TEXT(AutoPomodoro[[#This Row],[DATE]],"mmmm")</f>
        <v>June</v>
      </c>
      <c r="C790" s="2" t="str">
        <f>TEXT(AutoPomodoro[[#This Row],[DATE]],"yyyy")</f>
        <v>2022</v>
      </c>
      <c r="D790" s="8">
        <f>E789+$T$16</f>
        <v>0.86250000000000004</v>
      </c>
      <c r="E790" s="8">
        <f t="shared" si="68"/>
        <v>0.8798611111111112</v>
      </c>
      <c r="F790" s="3">
        <f t="shared" si="67"/>
        <v>1.736111111111116E-2</v>
      </c>
      <c r="G790" t="s">
        <v>16</v>
      </c>
      <c r="H790" t="s">
        <v>1</v>
      </c>
    </row>
    <row r="791" spans="1:8" x14ac:dyDescent="0.3">
      <c r="A791" s="2">
        <v>44726</v>
      </c>
      <c r="B791" s="2" t="str">
        <f>TEXT(AutoPomodoro[[#This Row],[DATE]],"mmmm")</f>
        <v>June</v>
      </c>
      <c r="C791" s="2" t="str">
        <f>TEXT(AutoPomodoro[[#This Row],[DATE]],"yyyy")</f>
        <v>2022</v>
      </c>
      <c r="D791" s="8">
        <f>E790+$T$16</f>
        <v>0.88333333333333341</v>
      </c>
      <c r="E791" s="8">
        <f t="shared" si="68"/>
        <v>0.90069444444444458</v>
      </c>
      <c r="F791" s="3">
        <f t="shared" si="67"/>
        <v>1.736111111111116E-2</v>
      </c>
      <c r="G791" t="s">
        <v>16</v>
      </c>
      <c r="H791" t="s">
        <v>1</v>
      </c>
    </row>
    <row r="792" spans="1:8" x14ac:dyDescent="0.3">
      <c r="A792" s="2">
        <v>44726</v>
      </c>
      <c r="B792" s="2" t="str">
        <f>TEXT(AutoPomodoro[[#This Row],[DATE]],"mmmm")</f>
        <v>June</v>
      </c>
      <c r="C792" s="2" t="str">
        <f>TEXT(AutoPomodoro[[#This Row],[DATE]],"yyyy")</f>
        <v>2022</v>
      </c>
      <c r="D792" s="8">
        <f>E791+$T$17</f>
        <v>0.90555555555555567</v>
      </c>
      <c r="E792" s="8">
        <f t="shared" si="68"/>
        <v>0.92291666666666683</v>
      </c>
      <c r="F792" s="3">
        <v>2.8472222222222222E-2</v>
      </c>
      <c r="G792" t="s">
        <v>16</v>
      </c>
      <c r="H792" t="s">
        <v>1</v>
      </c>
    </row>
    <row r="793" spans="1:8" x14ac:dyDescent="0.3">
      <c r="A793" s="2">
        <v>44727</v>
      </c>
      <c r="B793" s="2" t="str">
        <f>TEXT(AutoPomodoro[[#This Row],[DATE]],"mmmm")</f>
        <v>June</v>
      </c>
      <c r="C793" s="2" t="str">
        <f>TEXT(AutoPomodoro[[#This Row],[DATE]],"yyyy")</f>
        <v>2022</v>
      </c>
      <c r="D793" s="8">
        <v>0.66666666666666663</v>
      </c>
      <c r="E793" s="8">
        <f t="shared" si="68"/>
        <v>0.68402777777777779</v>
      </c>
      <c r="F793" s="3">
        <v>9.7222222222222224E-3</v>
      </c>
      <c r="G793" t="s">
        <v>16</v>
      </c>
      <c r="H793" t="s">
        <v>1</v>
      </c>
    </row>
    <row r="794" spans="1:8" x14ac:dyDescent="0.3">
      <c r="A794" s="2">
        <v>44727</v>
      </c>
      <c r="B794" s="2" t="str">
        <f>TEXT(AutoPomodoro[[#This Row],[DATE]],"mmmm")</f>
        <v>June</v>
      </c>
      <c r="C794" s="2" t="str">
        <f>TEXT(AutoPomodoro[[#This Row],[DATE]],"yyyy")</f>
        <v>2022</v>
      </c>
      <c r="D794" s="8">
        <f>E793+$T$16</f>
        <v>0.6875</v>
      </c>
      <c r="E794" s="8">
        <f t="shared" si="68"/>
        <v>0.70486111111111116</v>
      </c>
      <c r="F794" s="3">
        <v>6.9444444444444441E-3</v>
      </c>
      <c r="G794" t="s">
        <v>16</v>
      </c>
      <c r="H794" t="s">
        <v>1</v>
      </c>
    </row>
    <row r="795" spans="1:8" x14ac:dyDescent="0.3">
      <c r="A795" s="2">
        <v>44727</v>
      </c>
      <c r="B795" s="2" t="str">
        <f>TEXT(AutoPomodoro[[#This Row],[DATE]],"mmmm")</f>
        <v>June</v>
      </c>
      <c r="C795" s="2" t="str">
        <f>TEXT(AutoPomodoro[[#This Row],[DATE]],"yyyy")</f>
        <v>2022</v>
      </c>
      <c r="D795" s="8">
        <f>E794+$T$16</f>
        <v>0.70833333333333337</v>
      </c>
      <c r="E795" s="8">
        <f t="shared" si="68"/>
        <v>0.72569444444444453</v>
      </c>
      <c r="F795" s="3">
        <v>1.5277777777777777E-2</v>
      </c>
      <c r="G795" t="s">
        <v>16</v>
      </c>
      <c r="H795" t="s">
        <v>1</v>
      </c>
    </row>
    <row r="796" spans="1:8" x14ac:dyDescent="0.3">
      <c r="A796" s="2">
        <v>44727</v>
      </c>
      <c r="B796" s="2" t="str">
        <f>TEXT(AutoPomodoro[[#This Row],[DATE]],"mmmm")</f>
        <v>June</v>
      </c>
      <c r="C796" s="2" t="str">
        <f>TEXT(AutoPomodoro[[#This Row],[DATE]],"yyyy")</f>
        <v>2022</v>
      </c>
      <c r="D796" s="8">
        <f>E795+$T$17</f>
        <v>0.73055555555555562</v>
      </c>
      <c r="E796" s="8">
        <f t="shared" si="68"/>
        <v>0.74791666666666679</v>
      </c>
      <c r="F796" s="3">
        <v>1.8055555555555557E-2</v>
      </c>
      <c r="G796" t="s">
        <v>16</v>
      </c>
      <c r="H796" t="s">
        <v>1</v>
      </c>
    </row>
    <row r="797" spans="1:8" x14ac:dyDescent="0.3">
      <c r="A797" s="2">
        <v>44727</v>
      </c>
      <c r="B797" s="2" t="str">
        <f>TEXT(AutoPomodoro[[#This Row],[DATE]],"mmmm")</f>
        <v>June</v>
      </c>
      <c r="C797" s="2" t="str">
        <f>TEXT(AutoPomodoro[[#This Row],[DATE]],"yyyy")</f>
        <v>2022</v>
      </c>
      <c r="D797" s="8">
        <v>0.74791666666666667</v>
      </c>
      <c r="E797" s="8">
        <v>0.7583333333333333</v>
      </c>
      <c r="F797" s="3">
        <f>E797-D797</f>
        <v>1.041666666666663E-2</v>
      </c>
      <c r="G797" t="s">
        <v>21</v>
      </c>
      <c r="H797" t="s">
        <v>1</v>
      </c>
    </row>
    <row r="798" spans="1:8" x14ac:dyDescent="0.3">
      <c r="A798" s="2">
        <v>44727</v>
      </c>
      <c r="B798" s="2" t="str">
        <f>TEXT(AutoPomodoro[[#This Row],[DATE]],"mmmm")</f>
        <v>June</v>
      </c>
      <c r="C798" s="2" t="str">
        <f>TEXT(AutoPomodoro[[#This Row],[DATE]],"yyyy")</f>
        <v>2022</v>
      </c>
      <c r="D798" s="8">
        <v>0.7583333333333333</v>
      </c>
      <c r="E798" s="8">
        <f t="shared" ref="E798:E804" si="69">D798+$T$15</f>
        <v>0.77569444444444446</v>
      </c>
      <c r="F798" s="3">
        <v>1.1805555555555555E-2</v>
      </c>
      <c r="G798" t="s">
        <v>16</v>
      </c>
      <c r="H798" t="s">
        <v>1</v>
      </c>
    </row>
    <row r="799" spans="1:8" x14ac:dyDescent="0.3">
      <c r="A799" s="2">
        <v>44727</v>
      </c>
      <c r="B799" s="2" t="str">
        <f>TEXT(AutoPomodoro[[#This Row],[DATE]],"mmmm")</f>
        <v>June</v>
      </c>
      <c r="C799" s="2" t="str">
        <f>TEXT(AutoPomodoro[[#This Row],[DATE]],"yyyy")</f>
        <v>2022</v>
      </c>
      <c r="D799" s="8">
        <f>E798+$T$16</f>
        <v>0.77916666666666667</v>
      </c>
      <c r="E799" s="8">
        <f t="shared" si="69"/>
        <v>0.79652777777777783</v>
      </c>
      <c r="F799" s="3">
        <v>5.5555555555555558E-3</v>
      </c>
      <c r="G799" t="s">
        <v>16</v>
      </c>
      <c r="H799" t="s">
        <v>1</v>
      </c>
    </row>
    <row r="800" spans="1:8" x14ac:dyDescent="0.3">
      <c r="A800" s="2">
        <v>44727</v>
      </c>
      <c r="B800" s="2" t="str">
        <f>TEXT(AutoPomodoro[[#This Row],[DATE]],"mmmm")</f>
        <v>June</v>
      </c>
      <c r="C800" s="2" t="str">
        <f>TEXT(AutoPomodoro[[#This Row],[DATE]],"yyyy")</f>
        <v>2022</v>
      </c>
      <c r="D800" s="8">
        <f>E799+$T$16</f>
        <v>0.8</v>
      </c>
      <c r="E800" s="8">
        <f t="shared" si="69"/>
        <v>0.8173611111111112</v>
      </c>
      <c r="F800" s="3">
        <v>3.8194444444444441E-2</v>
      </c>
      <c r="G800" t="s">
        <v>16</v>
      </c>
      <c r="H800" t="s">
        <v>2</v>
      </c>
    </row>
    <row r="801" spans="1:15" x14ac:dyDescent="0.3">
      <c r="A801" s="2">
        <v>44728</v>
      </c>
      <c r="B801" s="2" t="str">
        <f>TEXT(AutoPomodoro[[#This Row],[DATE]],"mmmm")</f>
        <v>June</v>
      </c>
      <c r="C801" s="2" t="str">
        <f>TEXT(AutoPomodoro[[#This Row],[DATE]],"yyyy")</f>
        <v>2022</v>
      </c>
      <c r="D801" s="8">
        <v>0.65277777777777779</v>
      </c>
      <c r="E801" s="8">
        <f t="shared" si="69"/>
        <v>0.67013888888888895</v>
      </c>
      <c r="F801" s="3">
        <f>E801-D801</f>
        <v>1.736111111111116E-2</v>
      </c>
      <c r="G801" t="s">
        <v>16</v>
      </c>
      <c r="H801" t="s">
        <v>1</v>
      </c>
    </row>
    <row r="802" spans="1:15" x14ac:dyDescent="0.3">
      <c r="A802" s="2">
        <v>44728</v>
      </c>
      <c r="B802" s="2" t="str">
        <f>TEXT(AutoPomodoro[[#This Row],[DATE]],"mmmm")</f>
        <v>June</v>
      </c>
      <c r="C802" s="2" t="str">
        <f>TEXT(AutoPomodoro[[#This Row],[DATE]],"yyyy")</f>
        <v>2022</v>
      </c>
      <c r="D802" s="8">
        <f>E801+$T$16</f>
        <v>0.67361111111111116</v>
      </c>
      <c r="E802" s="8">
        <f t="shared" si="69"/>
        <v>0.69097222222222232</v>
      </c>
      <c r="F802" s="3">
        <f>E802-D802</f>
        <v>1.736111111111116E-2</v>
      </c>
      <c r="G802" t="s">
        <v>16</v>
      </c>
      <c r="H802" t="s">
        <v>1</v>
      </c>
    </row>
    <row r="803" spans="1:15" x14ac:dyDescent="0.3">
      <c r="A803" s="2">
        <v>44728</v>
      </c>
      <c r="B803" s="2" t="str">
        <f>TEXT(AutoPomodoro[[#This Row],[DATE]],"mmmm")</f>
        <v>June</v>
      </c>
      <c r="C803" s="2" t="str">
        <f>TEXT(AutoPomodoro[[#This Row],[DATE]],"yyyy")</f>
        <v>2022</v>
      </c>
      <c r="D803" s="8">
        <f>E802+$T$16</f>
        <v>0.69444444444444453</v>
      </c>
      <c r="E803" s="8">
        <f t="shared" si="69"/>
        <v>0.71180555555555569</v>
      </c>
      <c r="F803" s="3">
        <f>E803-D803</f>
        <v>1.736111111111116E-2</v>
      </c>
      <c r="G803" t="s">
        <v>16</v>
      </c>
      <c r="H803" t="s">
        <v>1</v>
      </c>
    </row>
    <row r="804" spans="1:15" x14ac:dyDescent="0.3">
      <c r="A804" s="2">
        <v>44728</v>
      </c>
      <c r="B804" s="2" t="str">
        <f>TEXT(AutoPomodoro[[#This Row],[DATE]],"mmmm")</f>
        <v>June</v>
      </c>
      <c r="C804" s="2" t="str">
        <f>TEXT(AutoPomodoro[[#This Row],[DATE]],"yyyy")</f>
        <v>2022</v>
      </c>
      <c r="D804" s="8">
        <f>E803+$T$17</f>
        <v>0.71666666666666679</v>
      </c>
      <c r="E804" s="8">
        <f t="shared" si="69"/>
        <v>0.73402777777777795</v>
      </c>
      <c r="F804" s="3">
        <f>E804-D804</f>
        <v>1.736111111111116E-2</v>
      </c>
      <c r="G804" t="s">
        <v>16</v>
      </c>
      <c r="H804" t="s">
        <v>1</v>
      </c>
    </row>
    <row r="805" spans="1:15" x14ac:dyDescent="0.3">
      <c r="A805" s="2">
        <v>44728</v>
      </c>
      <c r="B805" s="2" t="str">
        <f>TEXT(AutoPomodoro[[#This Row],[DATE]],"mmmm")</f>
        <v>June</v>
      </c>
      <c r="C805" s="2" t="str">
        <f>TEXT(AutoPomodoro[[#This Row],[DATE]],"yyyy")</f>
        <v>2022</v>
      </c>
      <c r="D805" s="8">
        <v>0.73888888888888893</v>
      </c>
      <c r="E805" s="8">
        <v>0.75763888888888886</v>
      </c>
      <c r="F805" s="3">
        <v>2.0833333333333332E-2</v>
      </c>
      <c r="G805" t="s">
        <v>16</v>
      </c>
      <c r="H805" t="s">
        <v>1</v>
      </c>
    </row>
    <row r="806" spans="1:15" x14ac:dyDescent="0.3">
      <c r="A806" s="2">
        <v>44730</v>
      </c>
      <c r="B806" s="2" t="str">
        <f>TEXT(AutoPomodoro[[#This Row],[DATE]],"mmmm")</f>
        <v>June</v>
      </c>
      <c r="C806" s="2" t="str">
        <f>TEXT(AutoPomodoro[[#This Row],[DATE]],"yyyy")</f>
        <v>2022</v>
      </c>
      <c r="D806" s="8">
        <v>0.53472222222222221</v>
      </c>
      <c r="E806" s="8">
        <v>0.54513888888888895</v>
      </c>
      <c r="F806" s="3">
        <f>E806-D806</f>
        <v>1.0416666666666741E-2</v>
      </c>
      <c r="G806" t="s">
        <v>0</v>
      </c>
      <c r="H806" t="s">
        <v>1</v>
      </c>
    </row>
    <row r="807" spans="1:15" x14ac:dyDescent="0.3">
      <c r="A807" s="2">
        <v>44730</v>
      </c>
      <c r="B807" s="2" t="str">
        <f>TEXT(AutoPomodoro[[#This Row],[DATE]],"mmmm")</f>
        <v>June</v>
      </c>
      <c r="C807" s="2" t="str">
        <f>TEXT(AutoPomodoro[[#This Row],[DATE]],"yyyy")</f>
        <v>2022</v>
      </c>
      <c r="D807" s="8">
        <v>0.54722222222222217</v>
      </c>
      <c r="E807" s="8">
        <f>D807+$T$15</f>
        <v>0.56458333333333333</v>
      </c>
      <c r="F807" s="3">
        <v>1.3888888888888888E-2</v>
      </c>
      <c r="G807" t="s">
        <v>16</v>
      </c>
      <c r="H807" t="s">
        <v>1</v>
      </c>
    </row>
    <row r="808" spans="1:15" x14ac:dyDescent="0.3">
      <c r="A808" s="2">
        <v>44730</v>
      </c>
      <c r="B808" s="2" t="str">
        <f>TEXT(AutoPomodoro[[#This Row],[DATE]],"mmmm")</f>
        <v>June</v>
      </c>
      <c r="C808" s="2" t="str">
        <f>TEXT(AutoPomodoro[[#This Row],[DATE]],"yyyy")</f>
        <v>2022</v>
      </c>
      <c r="D808" s="8">
        <f>E807+$T$16</f>
        <v>0.56805555555555554</v>
      </c>
      <c r="E808" s="8">
        <f>D808+$T$15</f>
        <v>0.5854166666666667</v>
      </c>
      <c r="F808" s="3">
        <v>1.2499999999999999E-2</v>
      </c>
      <c r="G808" t="s">
        <v>16</v>
      </c>
      <c r="H808" t="s">
        <v>1</v>
      </c>
    </row>
    <row r="809" spans="1:15" x14ac:dyDescent="0.3">
      <c r="A809" s="2">
        <v>44730</v>
      </c>
      <c r="B809" s="2" t="str">
        <f>TEXT(AutoPomodoro[[#This Row],[DATE]],"mmmm")</f>
        <v>June</v>
      </c>
      <c r="C809" s="2" t="str">
        <f>TEXT(AutoPomodoro[[#This Row],[DATE]],"yyyy")</f>
        <v>2022</v>
      </c>
      <c r="D809" s="8">
        <f>E808+$T$16</f>
        <v>0.58888888888888891</v>
      </c>
      <c r="E809" s="8">
        <f>D809+$T$15</f>
        <v>0.60625000000000007</v>
      </c>
      <c r="F809" s="3">
        <f>E809-D809</f>
        <v>1.736111111111116E-2</v>
      </c>
      <c r="G809" t="s">
        <v>16</v>
      </c>
      <c r="H809" t="s">
        <v>1</v>
      </c>
    </row>
    <row r="810" spans="1:15" x14ac:dyDescent="0.3">
      <c r="A810" s="2">
        <v>44730</v>
      </c>
      <c r="B810" s="2" t="str">
        <f>TEXT(AutoPomodoro[[#This Row],[DATE]],"mmmm")</f>
        <v>June</v>
      </c>
      <c r="C810" s="2" t="str">
        <f>TEXT(AutoPomodoro[[#This Row],[DATE]],"yyyy")</f>
        <v>2022</v>
      </c>
      <c r="D810" s="8">
        <f>E809+$T$17</f>
        <v>0.61111111111111116</v>
      </c>
      <c r="E810" s="8">
        <f>D810+$T$15</f>
        <v>0.62847222222222232</v>
      </c>
      <c r="F810" s="3">
        <v>1.8055555555555557E-2</v>
      </c>
      <c r="G810" t="s">
        <v>16</v>
      </c>
      <c r="H810" t="s">
        <v>1</v>
      </c>
    </row>
    <row r="811" spans="1:15" x14ac:dyDescent="0.3">
      <c r="A811" s="2">
        <v>44730</v>
      </c>
      <c r="B811" s="2" t="str">
        <f>TEXT(AutoPomodoro[[#This Row],[DATE]],"mmmm")</f>
        <v>June</v>
      </c>
      <c r="C811" s="2" t="str">
        <f>TEXT(AutoPomodoro[[#This Row],[DATE]],"yyyy")</f>
        <v>2022</v>
      </c>
      <c r="D811" s="8">
        <v>0.62847222222222221</v>
      </c>
      <c r="E811" s="8">
        <v>0.63888888888888895</v>
      </c>
      <c r="F811" s="3">
        <f>E811-D811</f>
        <v>1.0416666666666741E-2</v>
      </c>
      <c r="G811" t="s">
        <v>21</v>
      </c>
      <c r="H811" t="s">
        <v>1</v>
      </c>
      <c r="N811" s="3"/>
      <c r="O811" s="3"/>
    </row>
    <row r="812" spans="1:15" x14ac:dyDescent="0.3">
      <c r="A812" s="2">
        <v>44730</v>
      </c>
      <c r="B812" s="2" t="str">
        <f>TEXT(AutoPomodoro[[#This Row],[DATE]],"mmmm")</f>
        <v>June</v>
      </c>
      <c r="C812" s="2" t="str">
        <f>TEXT(AutoPomodoro[[#This Row],[DATE]],"yyyy")</f>
        <v>2022</v>
      </c>
      <c r="D812" s="8">
        <v>0.63888888888888895</v>
      </c>
      <c r="E812" s="8">
        <f t="shared" ref="E812:E818" si="70">D812+$T$15</f>
        <v>0.65625000000000011</v>
      </c>
      <c r="F812" s="3">
        <f>E812-D812</f>
        <v>1.736111111111116E-2</v>
      </c>
      <c r="G812" t="s">
        <v>16</v>
      </c>
      <c r="H812" t="s">
        <v>1</v>
      </c>
      <c r="N812" s="3"/>
      <c r="O812" s="3"/>
    </row>
    <row r="813" spans="1:15" x14ac:dyDescent="0.3">
      <c r="A813" s="2">
        <v>44730</v>
      </c>
      <c r="B813" s="2" t="str">
        <f>TEXT(AutoPomodoro[[#This Row],[DATE]],"mmmm")</f>
        <v>June</v>
      </c>
      <c r="C813" s="2" t="str">
        <f>TEXT(AutoPomodoro[[#This Row],[DATE]],"yyyy")</f>
        <v>2022</v>
      </c>
      <c r="D813" s="8">
        <f>E812+$T$16</f>
        <v>0.65972222222222232</v>
      </c>
      <c r="E813" s="8">
        <f t="shared" si="70"/>
        <v>0.67708333333333348</v>
      </c>
      <c r="F813" s="3">
        <f>E813-D813</f>
        <v>1.736111111111116E-2</v>
      </c>
      <c r="G813" t="s">
        <v>16</v>
      </c>
      <c r="H813" t="s">
        <v>1</v>
      </c>
      <c r="N813" s="3"/>
      <c r="O813" s="3"/>
    </row>
    <row r="814" spans="1:15" x14ac:dyDescent="0.3">
      <c r="A814" s="2">
        <v>44730</v>
      </c>
      <c r="B814" s="2" t="str">
        <f>TEXT(AutoPomodoro[[#This Row],[DATE]],"mmmm")</f>
        <v>June</v>
      </c>
      <c r="C814" s="2" t="str">
        <f>TEXT(AutoPomodoro[[#This Row],[DATE]],"yyyy")</f>
        <v>2022</v>
      </c>
      <c r="D814" s="8">
        <f>E813+$T$16</f>
        <v>0.68055555555555569</v>
      </c>
      <c r="E814" s="8">
        <f t="shared" si="70"/>
        <v>0.69791666666666685</v>
      </c>
      <c r="F814" s="3">
        <f>E814-D814</f>
        <v>1.736111111111116E-2</v>
      </c>
      <c r="G814" t="s">
        <v>16</v>
      </c>
      <c r="H814" t="s">
        <v>1</v>
      </c>
      <c r="N814" s="3"/>
      <c r="O814" s="3"/>
    </row>
    <row r="815" spans="1:15" x14ac:dyDescent="0.3">
      <c r="A815" s="2">
        <v>44730</v>
      </c>
      <c r="B815" s="2" t="str">
        <f>TEXT(AutoPomodoro[[#This Row],[DATE]],"mmmm")</f>
        <v>June</v>
      </c>
      <c r="C815" s="2" t="str">
        <f>TEXT(AutoPomodoro[[#This Row],[DATE]],"yyyy")</f>
        <v>2022</v>
      </c>
      <c r="D815" s="8">
        <f>E814+$T$17</f>
        <v>0.70277777777777795</v>
      </c>
      <c r="E815" s="8">
        <f t="shared" si="70"/>
        <v>0.72013888888888911</v>
      </c>
      <c r="F815" s="3">
        <v>2.7777777777777776E-2</v>
      </c>
      <c r="G815" t="s">
        <v>16</v>
      </c>
      <c r="H815" t="s">
        <v>1</v>
      </c>
    </row>
    <row r="816" spans="1:15" x14ac:dyDescent="0.3">
      <c r="A816" s="2">
        <v>44732</v>
      </c>
      <c r="B816" s="2" t="str">
        <f>TEXT(AutoPomodoro[[#This Row],[DATE]],"mmmm")</f>
        <v>June</v>
      </c>
      <c r="C816" s="2" t="str">
        <f>TEXT(AutoPomodoro[[#This Row],[DATE]],"yyyy")</f>
        <v>2022</v>
      </c>
      <c r="D816" s="8">
        <v>0.54166666666666663</v>
      </c>
      <c r="E816" s="8">
        <f t="shared" si="70"/>
        <v>0.55902777777777779</v>
      </c>
      <c r="F816" s="3">
        <f>E816-D816</f>
        <v>1.736111111111116E-2</v>
      </c>
      <c r="G816" t="s">
        <v>16</v>
      </c>
      <c r="H816" t="s">
        <v>1</v>
      </c>
    </row>
    <row r="817" spans="1:16" x14ac:dyDescent="0.3">
      <c r="A817" s="2">
        <v>44732</v>
      </c>
      <c r="B817" s="2" t="str">
        <f>TEXT(AutoPomodoro[[#This Row],[DATE]],"mmmm")</f>
        <v>June</v>
      </c>
      <c r="C817" s="2" t="str">
        <f>TEXT(AutoPomodoro[[#This Row],[DATE]],"yyyy")</f>
        <v>2022</v>
      </c>
      <c r="D817" s="8">
        <f>E816+$T$16</f>
        <v>0.5625</v>
      </c>
      <c r="E817" s="8">
        <f t="shared" si="70"/>
        <v>0.57986111111111116</v>
      </c>
      <c r="F817" s="3">
        <f>E817-D817</f>
        <v>1.736111111111116E-2</v>
      </c>
      <c r="G817" t="s">
        <v>16</v>
      </c>
      <c r="H817" t="s">
        <v>1</v>
      </c>
    </row>
    <row r="818" spans="1:16" x14ac:dyDescent="0.3">
      <c r="A818" s="2">
        <v>44732</v>
      </c>
      <c r="B818" s="2" t="str">
        <f>TEXT(AutoPomodoro[[#This Row],[DATE]],"mmmm")</f>
        <v>June</v>
      </c>
      <c r="C818" s="2" t="str">
        <f>TEXT(AutoPomodoro[[#This Row],[DATE]],"yyyy")</f>
        <v>2022</v>
      </c>
      <c r="D818" s="8">
        <f>E817+$T$16</f>
        <v>0.58333333333333337</v>
      </c>
      <c r="E818" s="8">
        <f t="shared" si="70"/>
        <v>0.60069444444444453</v>
      </c>
      <c r="F818" s="3">
        <v>9.7222222222222224E-3</v>
      </c>
      <c r="G818" t="s">
        <v>16</v>
      </c>
      <c r="H818" t="s">
        <v>1</v>
      </c>
    </row>
    <row r="819" spans="1:16" x14ac:dyDescent="0.3">
      <c r="A819" s="2">
        <v>44732</v>
      </c>
      <c r="B819" s="2" t="str">
        <f>TEXT(AutoPomodoro[[#This Row],[DATE]],"mmmm")</f>
        <v>June</v>
      </c>
      <c r="C819" s="2" t="str">
        <f>TEXT(AutoPomodoro[[#This Row],[DATE]],"yyyy")</f>
        <v>2022</v>
      </c>
      <c r="D819" s="8">
        <v>0.70138888888888884</v>
      </c>
      <c r="E819" s="8">
        <v>0.77638888888888891</v>
      </c>
      <c r="F819" s="3">
        <f>E819-D819</f>
        <v>7.5000000000000067E-2</v>
      </c>
      <c r="G819" t="s">
        <v>16</v>
      </c>
      <c r="H819" t="s">
        <v>1</v>
      </c>
    </row>
    <row r="820" spans="1:16" x14ac:dyDescent="0.3">
      <c r="A820" s="2">
        <v>44732</v>
      </c>
      <c r="B820" s="2" t="str">
        <f>TEXT(AutoPomodoro[[#This Row],[DATE]],"mmmm")</f>
        <v>June</v>
      </c>
      <c r="C820" s="2" t="str">
        <f>TEXT(AutoPomodoro[[#This Row],[DATE]],"yyyy")</f>
        <v>2022</v>
      </c>
      <c r="D820" s="8">
        <v>0.95347222222222217</v>
      </c>
      <c r="E820" s="8">
        <v>1</v>
      </c>
      <c r="F820" s="3">
        <f>E820-D820</f>
        <v>4.6527777777777835E-2</v>
      </c>
      <c r="G820" t="s">
        <v>16</v>
      </c>
      <c r="H820" t="s">
        <v>1</v>
      </c>
    </row>
    <row r="821" spans="1:16" x14ac:dyDescent="0.3">
      <c r="A821" s="2">
        <v>44734</v>
      </c>
      <c r="B821" s="2" t="str">
        <f>TEXT(AutoPomodoro[[#This Row],[DATE]],"mmmm")</f>
        <v>June</v>
      </c>
      <c r="C821" s="2" t="str">
        <f>TEXT(AutoPomodoro[[#This Row],[DATE]],"yyyy")</f>
        <v>2022</v>
      </c>
      <c r="D821" s="8">
        <v>0.50694444444444442</v>
      </c>
      <c r="E821" s="8">
        <f>D821+$T$15</f>
        <v>0.52430555555555558</v>
      </c>
      <c r="F821" s="3">
        <v>1.3194444444444444E-2</v>
      </c>
      <c r="G821" t="s">
        <v>17</v>
      </c>
      <c r="H821" t="s">
        <v>1</v>
      </c>
    </row>
    <row r="822" spans="1:16" x14ac:dyDescent="0.3">
      <c r="A822" s="2">
        <v>44734</v>
      </c>
      <c r="B822" s="2" t="str">
        <f>TEXT(AutoPomodoro[[#This Row],[DATE]],"mmmm")</f>
        <v>June</v>
      </c>
      <c r="C822" s="2" t="str">
        <f>TEXT(AutoPomodoro[[#This Row],[DATE]],"yyyy")</f>
        <v>2022</v>
      </c>
      <c r="D822" s="8">
        <f>E821+$T$16</f>
        <v>0.52777777777777779</v>
      </c>
      <c r="E822" s="8">
        <f>D822+$T$15</f>
        <v>0.54513888888888895</v>
      </c>
      <c r="F822" s="3">
        <f>E822-D822</f>
        <v>1.736111111111116E-2</v>
      </c>
      <c r="G822" t="s">
        <v>16</v>
      </c>
      <c r="H822" t="s">
        <v>1</v>
      </c>
    </row>
    <row r="823" spans="1:16" x14ac:dyDescent="0.3">
      <c r="A823" s="2">
        <v>44734</v>
      </c>
      <c r="B823" s="2" t="str">
        <f>TEXT(AutoPomodoro[[#This Row],[DATE]],"mmmm")</f>
        <v>June</v>
      </c>
      <c r="C823" s="2" t="str">
        <f>TEXT(AutoPomodoro[[#This Row],[DATE]],"yyyy")</f>
        <v>2022</v>
      </c>
      <c r="D823" s="8">
        <f>E822+$T$16</f>
        <v>0.54861111111111116</v>
      </c>
      <c r="E823" s="8">
        <f>D823+$T$15</f>
        <v>0.56597222222222232</v>
      </c>
      <c r="F823" s="3">
        <v>2.013888888888889E-2</v>
      </c>
      <c r="G823" t="s">
        <v>16</v>
      </c>
      <c r="H823" t="s">
        <v>1</v>
      </c>
    </row>
    <row r="824" spans="1:16" x14ac:dyDescent="0.3">
      <c r="A824" s="2">
        <v>44734</v>
      </c>
      <c r="B824" s="2" t="str">
        <f>TEXT(AutoPomodoro[[#This Row],[DATE]],"mmmm")</f>
        <v>June</v>
      </c>
      <c r="C824" s="2" t="str">
        <f>TEXT(AutoPomodoro[[#This Row],[DATE]],"yyyy")</f>
        <v>2022</v>
      </c>
      <c r="D824" s="8">
        <v>0.73611111111111116</v>
      </c>
      <c r="E824" s="8">
        <v>0.75</v>
      </c>
      <c r="F824" s="3">
        <f>E824-D824</f>
        <v>1.388888888888884E-2</v>
      </c>
      <c r="G824" t="s">
        <v>16</v>
      </c>
      <c r="H824" t="s">
        <v>1</v>
      </c>
    </row>
    <row r="825" spans="1:16" x14ac:dyDescent="0.3">
      <c r="A825" s="2">
        <v>44734</v>
      </c>
      <c r="B825" s="2" t="str">
        <f>TEXT(AutoPomodoro[[#This Row],[DATE]],"mmmm")</f>
        <v>June</v>
      </c>
      <c r="C825" s="2" t="str">
        <f>TEXT(AutoPomodoro[[#This Row],[DATE]],"yyyy")</f>
        <v>2022</v>
      </c>
      <c r="D825" s="8">
        <v>0.82291666666666663</v>
      </c>
      <c r="E825" s="8">
        <v>0.86805555555555547</v>
      </c>
      <c r="F825" s="3">
        <f>E825-D825</f>
        <v>4.513888888888884E-2</v>
      </c>
      <c r="G825" t="s">
        <v>16</v>
      </c>
      <c r="H825" t="s">
        <v>1</v>
      </c>
    </row>
    <row r="826" spans="1:16" x14ac:dyDescent="0.3">
      <c r="A826" s="2">
        <v>44735</v>
      </c>
      <c r="B826" s="2" t="str">
        <f>TEXT(AutoPomodoro[[#This Row],[DATE]],"mmmm")</f>
        <v>June</v>
      </c>
      <c r="C826" s="2" t="str">
        <f>TEXT(AutoPomodoro[[#This Row],[DATE]],"yyyy")</f>
        <v>2022</v>
      </c>
      <c r="D826" s="8">
        <v>0.57638888888888895</v>
      </c>
      <c r="E826" s="8">
        <f>D826+$T$15</f>
        <v>0.59375000000000011</v>
      </c>
      <c r="F826" s="3">
        <f>E826-D826</f>
        <v>1.736111111111116E-2</v>
      </c>
      <c r="G826" t="s">
        <v>16</v>
      </c>
      <c r="H826" t="s">
        <v>1</v>
      </c>
    </row>
    <row r="827" spans="1:16" x14ac:dyDescent="0.3">
      <c r="A827" s="2">
        <v>44735</v>
      </c>
      <c r="B827" s="2" t="str">
        <f>TEXT(AutoPomodoro[[#This Row],[DATE]],"mmmm")</f>
        <v>June</v>
      </c>
      <c r="C827" s="2" t="str">
        <f>TEXT(AutoPomodoro[[#This Row],[DATE]],"yyyy")</f>
        <v>2022</v>
      </c>
      <c r="D827" s="8">
        <f>E826+$T$16</f>
        <v>0.59722222222222232</v>
      </c>
      <c r="E827" s="8">
        <f>D827+$T$15</f>
        <v>0.61458333333333348</v>
      </c>
      <c r="F827" s="3">
        <f>E827-D827</f>
        <v>1.736111111111116E-2</v>
      </c>
      <c r="G827" t="s">
        <v>16</v>
      </c>
      <c r="H827" t="s">
        <v>1</v>
      </c>
    </row>
    <row r="828" spans="1:16" x14ac:dyDescent="0.3">
      <c r="A828" s="2">
        <v>44735</v>
      </c>
      <c r="B828" s="2" t="str">
        <f>TEXT(AutoPomodoro[[#This Row],[DATE]],"mmmm")</f>
        <v>June</v>
      </c>
      <c r="C828" s="2" t="str">
        <f>TEXT(AutoPomodoro[[#This Row],[DATE]],"yyyy")</f>
        <v>2022</v>
      </c>
      <c r="D828" s="8">
        <f>E827+$T$16</f>
        <v>0.61805555555555569</v>
      </c>
      <c r="E828" s="8">
        <f>D828+$T$15</f>
        <v>0.63541666666666685</v>
      </c>
      <c r="F828" s="3">
        <f>E828-D828</f>
        <v>1.736111111111116E-2</v>
      </c>
      <c r="G828" t="s">
        <v>16</v>
      </c>
      <c r="H828" t="s">
        <v>1</v>
      </c>
      <c r="P828" s="6"/>
    </row>
    <row r="829" spans="1:16" x14ac:dyDescent="0.3">
      <c r="A829" s="2">
        <v>44735</v>
      </c>
      <c r="B829" s="2" t="str">
        <f>TEXT(AutoPomodoro[[#This Row],[DATE]],"mmmm")</f>
        <v>June</v>
      </c>
      <c r="C829" s="2" t="str">
        <f>TEXT(AutoPomodoro[[#This Row],[DATE]],"yyyy")</f>
        <v>2022</v>
      </c>
      <c r="D829" s="8">
        <f>E828+$T$17</f>
        <v>0.64027777777777795</v>
      </c>
      <c r="E829" s="8">
        <f>D829+$T$15</f>
        <v>0.65763888888888911</v>
      </c>
      <c r="F829" s="3">
        <v>1.8749999999999999E-2</v>
      </c>
      <c r="G829" t="s">
        <v>16</v>
      </c>
      <c r="H829" t="s">
        <v>1</v>
      </c>
    </row>
    <row r="830" spans="1:16" x14ac:dyDescent="0.3">
      <c r="A830" s="2">
        <v>44735</v>
      </c>
      <c r="B830" s="2" t="str">
        <f>TEXT(AutoPomodoro[[#This Row],[DATE]],"mmmm")</f>
        <v>June</v>
      </c>
      <c r="C830" s="2" t="str">
        <f>TEXT(AutoPomodoro[[#This Row],[DATE]],"yyyy")</f>
        <v>2022</v>
      </c>
      <c r="D830" s="8">
        <v>0.65763888888888888</v>
      </c>
      <c r="E830" s="8">
        <v>0.66805555555555562</v>
      </c>
      <c r="F830" s="3">
        <f>E830-D830</f>
        <v>1.0416666666666741E-2</v>
      </c>
      <c r="G830" t="s">
        <v>21</v>
      </c>
      <c r="H830" t="s">
        <v>1</v>
      </c>
    </row>
    <row r="831" spans="1:16" x14ac:dyDescent="0.3">
      <c r="A831" s="2">
        <v>44735</v>
      </c>
      <c r="B831" s="2" t="str">
        <f>TEXT(AutoPomodoro[[#This Row],[DATE]],"mmmm")</f>
        <v>June</v>
      </c>
      <c r="C831" s="2" t="str">
        <f>TEXT(AutoPomodoro[[#This Row],[DATE]],"yyyy")</f>
        <v>2022</v>
      </c>
      <c r="D831" s="8">
        <v>0.66805555555555562</v>
      </c>
      <c r="E831" s="8">
        <f>D831+$T$15</f>
        <v>0.68541666666666679</v>
      </c>
      <c r="F831" s="3">
        <v>1.2499999999999999E-2</v>
      </c>
      <c r="G831" t="s">
        <v>16</v>
      </c>
      <c r="H831" t="s">
        <v>1</v>
      </c>
    </row>
    <row r="832" spans="1:16" x14ac:dyDescent="0.3">
      <c r="A832" s="2">
        <v>44735</v>
      </c>
      <c r="B832" s="2" t="str">
        <f>TEXT(AutoPomodoro[[#This Row],[DATE]],"mmmm")</f>
        <v>June</v>
      </c>
      <c r="C832" s="2" t="str">
        <f>TEXT(AutoPomodoro[[#This Row],[DATE]],"yyyy")</f>
        <v>2022</v>
      </c>
      <c r="D832" s="8">
        <f>E831+$T$16</f>
        <v>0.68888888888888899</v>
      </c>
      <c r="E832" s="8">
        <f>D832+$T$15</f>
        <v>0.70625000000000016</v>
      </c>
      <c r="F832" s="3">
        <f>E832-D832</f>
        <v>1.736111111111116E-2</v>
      </c>
      <c r="G832" t="s">
        <v>16</v>
      </c>
      <c r="H832" t="s">
        <v>1</v>
      </c>
    </row>
    <row r="833" spans="1:8" x14ac:dyDescent="0.3">
      <c r="A833" s="2">
        <v>44735</v>
      </c>
      <c r="B833" s="2" t="str">
        <f>TEXT(AutoPomodoro[[#This Row],[DATE]],"mmmm")</f>
        <v>June</v>
      </c>
      <c r="C833" s="2" t="str">
        <f>TEXT(AutoPomodoro[[#This Row],[DATE]],"yyyy")</f>
        <v>2022</v>
      </c>
      <c r="D833" s="8">
        <f>E832+$T$16</f>
        <v>0.70972222222222237</v>
      </c>
      <c r="E833" s="8">
        <f>D833+$T$15</f>
        <v>0.72708333333333353</v>
      </c>
      <c r="F833" s="3">
        <f>E833-D833</f>
        <v>1.736111111111116E-2</v>
      </c>
      <c r="G833" t="s">
        <v>16</v>
      </c>
      <c r="H833" t="s">
        <v>1</v>
      </c>
    </row>
    <row r="834" spans="1:8" x14ac:dyDescent="0.3">
      <c r="A834" s="2">
        <v>44735</v>
      </c>
      <c r="B834" s="2" t="str">
        <f>TEXT(AutoPomodoro[[#This Row],[DATE]],"mmmm")</f>
        <v>June</v>
      </c>
      <c r="C834" s="2" t="str">
        <f>TEXT(AutoPomodoro[[#This Row],[DATE]],"yyyy")</f>
        <v>2022</v>
      </c>
      <c r="D834" s="8">
        <f>E833+$T$17</f>
        <v>0.73194444444444462</v>
      </c>
      <c r="E834" s="8">
        <f>D834+$T$15</f>
        <v>0.74930555555555578</v>
      </c>
      <c r="F834" s="3">
        <v>1.3888888888888888E-2</v>
      </c>
      <c r="G834" t="s">
        <v>16</v>
      </c>
      <c r="H834" t="s">
        <v>1</v>
      </c>
    </row>
    <row r="835" spans="1:8" x14ac:dyDescent="0.3">
      <c r="A835" s="2">
        <v>44735</v>
      </c>
      <c r="B835" s="2" t="str">
        <f>TEXT(AutoPomodoro[[#This Row],[DATE]],"mmmm")</f>
        <v>June</v>
      </c>
      <c r="C835" s="2" t="str">
        <f>TEXT(AutoPomodoro[[#This Row],[DATE]],"yyyy")</f>
        <v>2022</v>
      </c>
      <c r="D835" s="8">
        <v>0.74930555555555556</v>
      </c>
      <c r="E835" s="8">
        <v>0.7597222222222223</v>
      </c>
      <c r="F835" s="3">
        <f>E835-D835</f>
        <v>1.0416666666666741E-2</v>
      </c>
      <c r="G835" t="s">
        <v>21</v>
      </c>
      <c r="H835" t="s">
        <v>1</v>
      </c>
    </row>
    <row r="836" spans="1:8" x14ac:dyDescent="0.3">
      <c r="A836" s="2">
        <v>44735</v>
      </c>
      <c r="B836" s="2" t="str">
        <f>TEXT(AutoPomodoro[[#This Row],[DATE]],"mmmm")</f>
        <v>June</v>
      </c>
      <c r="C836" s="2" t="str">
        <f>TEXT(AutoPomodoro[[#This Row],[DATE]],"yyyy")</f>
        <v>2022</v>
      </c>
      <c r="D836" s="8">
        <v>0.7597222222222223</v>
      </c>
      <c r="E836" s="8">
        <f t="shared" ref="E836:E842" si="71">D836+$T$15</f>
        <v>0.77708333333333346</v>
      </c>
      <c r="F836" s="3">
        <f>E836-D836</f>
        <v>1.736111111111116E-2</v>
      </c>
      <c r="G836" t="s">
        <v>16</v>
      </c>
      <c r="H836" t="s">
        <v>1</v>
      </c>
    </row>
    <row r="837" spans="1:8" x14ac:dyDescent="0.3">
      <c r="A837" s="2">
        <v>44735</v>
      </c>
      <c r="B837" s="2" t="str">
        <f>TEXT(AutoPomodoro[[#This Row],[DATE]],"mmmm")</f>
        <v>June</v>
      </c>
      <c r="C837" s="2" t="str">
        <f>TEXT(AutoPomodoro[[#This Row],[DATE]],"yyyy")</f>
        <v>2022</v>
      </c>
      <c r="D837" s="8">
        <f>E836+$T$16</f>
        <v>0.78055555555555567</v>
      </c>
      <c r="E837" s="8">
        <f t="shared" si="71"/>
        <v>0.79791666666666683</v>
      </c>
      <c r="F837" s="3">
        <v>1.8749999999999999E-2</v>
      </c>
      <c r="G837" t="s">
        <v>16</v>
      </c>
      <c r="H837" t="s">
        <v>1</v>
      </c>
    </row>
    <row r="838" spans="1:8" x14ac:dyDescent="0.3">
      <c r="A838" s="2">
        <v>44736</v>
      </c>
      <c r="B838" s="2" t="str">
        <f>TEXT(AutoPomodoro[[#This Row],[DATE]],"mmmm")</f>
        <v>June</v>
      </c>
      <c r="C838" s="2" t="str">
        <f>TEXT(AutoPomodoro[[#This Row],[DATE]],"yyyy")</f>
        <v>2022</v>
      </c>
      <c r="D838" s="18">
        <v>0.75</v>
      </c>
      <c r="E838" s="18">
        <f t="shared" si="71"/>
        <v>0.76736111111111116</v>
      </c>
      <c r="F838" s="3">
        <f t="shared" ref="F838:F846" si="72">E838-D838</f>
        <v>1.736111111111116E-2</v>
      </c>
      <c r="G838" t="s">
        <v>16</v>
      </c>
      <c r="H838" t="s">
        <v>1</v>
      </c>
    </row>
    <row r="839" spans="1:8" x14ac:dyDescent="0.3">
      <c r="A839" s="2">
        <v>44737</v>
      </c>
      <c r="B839" s="2" t="str">
        <f>TEXT(AutoPomodoro[[#This Row],[DATE]],"mmmm")</f>
        <v>June</v>
      </c>
      <c r="C839" s="2" t="str">
        <f>TEXT(AutoPomodoro[[#This Row],[DATE]],"yyyy")</f>
        <v>2022</v>
      </c>
      <c r="D839" s="8">
        <v>0.54861111111111105</v>
      </c>
      <c r="E839" s="8">
        <f t="shared" si="71"/>
        <v>0.56597222222222221</v>
      </c>
      <c r="F839" s="3">
        <f t="shared" si="72"/>
        <v>1.736111111111116E-2</v>
      </c>
      <c r="G839" t="s">
        <v>16</v>
      </c>
      <c r="H839" t="s">
        <v>1</v>
      </c>
    </row>
    <row r="840" spans="1:8" x14ac:dyDescent="0.3">
      <c r="A840" s="2">
        <v>44737</v>
      </c>
      <c r="B840" s="2" t="str">
        <f>TEXT(AutoPomodoro[[#This Row],[DATE]],"mmmm")</f>
        <v>June</v>
      </c>
      <c r="C840" s="2" t="str">
        <f>TEXT(AutoPomodoro[[#This Row],[DATE]],"yyyy")</f>
        <v>2022</v>
      </c>
      <c r="D840" s="8">
        <f>E839+$T$16</f>
        <v>0.56944444444444442</v>
      </c>
      <c r="E840" s="8">
        <f t="shared" si="71"/>
        <v>0.58680555555555558</v>
      </c>
      <c r="F840" s="3">
        <f t="shared" si="72"/>
        <v>1.736111111111116E-2</v>
      </c>
      <c r="G840" t="s">
        <v>16</v>
      </c>
      <c r="H840" t="s">
        <v>1</v>
      </c>
    </row>
    <row r="841" spans="1:8" x14ac:dyDescent="0.3">
      <c r="A841" s="2">
        <v>44737</v>
      </c>
      <c r="B841" s="2" t="str">
        <f>TEXT(AutoPomodoro[[#This Row],[DATE]],"mmmm")</f>
        <v>June</v>
      </c>
      <c r="C841" s="2" t="str">
        <f>TEXT(AutoPomodoro[[#This Row],[DATE]],"yyyy")</f>
        <v>2022</v>
      </c>
      <c r="D841" s="8">
        <f>E840+$T$16</f>
        <v>0.59027777777777779</v>
      </c>
      <c r="E841" s="8">
        <f t="shared" si="71"/>
        <v>0.60763888888888895</v>
      </c>
      <c r="F841" s="3">
        <f t="shared" si="72"/>
        <v>1.736111111111116E-2</v>
      </c>
      <c r="G841" t="s">
        <v>16</v>
      </c>
      <c r="H841" t="s">
        <v>1</v>
      </c>
    </row>
    <row r="842" spans="1:8" x14ac:dyDescent="0.3">
      <c r="A842" s="2">
        <v>44737</v>
      </c>
      <c r="B842" s="2" t="str">
        <f>TEXT(AutoPomodoro[[#This Row],[DATE]],"mmmm")</f>
        <v>June</v>
      </c>
      <c r="C842" s="2" t="str">
        <f>TEXT(AutoPomodoro[[#This Row],[DATE]],"yyyy")</f>
        <v>2022</v>
      </c>
      <c r="D842" s="8">
        <f>E841+$T$17</f>
        <v>0.61250000000000004</v>
      </c>
      <c r="E842" s="8">
        <f t="shared" si="71"/>
        <v>0.6298611111111112</v>
      </c>
      <c r="F842" s="3">
        <f t="shared" si="72"/>
        <v>1.736111111111116E-2</v>
      </c>
      <c r="G842" t="s">
        <v>16</v>
      </c>
      <c r="H842" t="s">
        <v>1</v>
      </c>
    </row>
    <row r="843" spans="1:8" x14ac:dyDescent="0.3">
      <c r="A843" s="2">
        <v>44737</v>
      </c>
      <c r="B843" s="2" t="str">
        <f>TEXT(AutoPomodoro[[#This Row],[DATE]],"mmmm")</f>
        <v>June</v>
      </c>
      <c r="C843" s="2" t="str">
        <f>TEXT(AutoPomodoro[[#This Row],[DATE]],"yyyy")</f>
        <v>2022</v>
      </c>
      <c r="D843" s="8">
        <v>0.62986111111111109</v>
      </c>
      <c r="E843" s="8">
        <v>0.64027777777777783</v>
      </c>
      <c r="F843" s="3">
        <f t="shared" si="72"/>
        <v>1.0416666666666741E-2</v>
      </c>
      <c r="G843" t="s">
        <v>21</v>
      </c>
      <c r="H843" t="s">
        <v>1</v>
      </c>
    </row>
    <row r="844" spans="1:8" x14ac:dyDescent="0.3">
      <c r="A844" s="2">
        <v>44737</v>
      </c>
      <c r="B844" s="2" t="str">
        <f>TEXT(AutoPomodoro[[#This Row],[DATE]],"mmmm")</f>
        <v>June</v>
      </c>
      <c r="C844" s="2" t="str">
        <f>TEXT(AutoPomodoro[[#This Row],[DATE]],"yyyy")</f>
        <v>2022</v>
      </c>
      <c r="D844" s="8">
        <v>0.64027777777777783</v>
      </c>
      <c r="E844" s="8">
        <f>D844+$T$15</f>
        <v>0.65763888888888899</v>
      </c>
      <c r="F844" s="3">
        <f t="shared" si="72"/>
        <v>1.736111111111116E-2</v>
      </c>
      <c r="G844" t="s">
        <v>16</v>
      </c>
      <c r="H844" t="s">
        <v>1</v>
      </c>
    </row>
    <row r="845" spans="1:8" x14ac:dyDescent="0.3">
      <c r="A845" s="2">
        <v>44737</v>
      </c>
      <c r="B845" s="2" t="str">
        <f>TEXT(AutoPomodoro[[#This Row],[DATE]],"mmmm")</f>
        <v>June</v>
      </c>
      <c r="C845" s="2" t="str">
        <f>TEXT(AutoPomodoro[[#This Row],[DATE]],"yyyy")</f>
        <v>2022</v>
      </c>
      <c r="D845" s="8">
        <f>E844+$T$16</f>
        <v>0.6611111111111112</v>
      </c>
      <c r="E845" s="8">
        <f>D845+$T$15</f>
        <v>0.67847222222222237</v>
      </c>
      <c r="F845" s="3">
        <f t="shared" si="72"/>
        <v>1.736111111111116E-2</v>
      </c>
      <c r="G845" t="s">
        <v>16</v>
      </c>
      <c r="H845" t="s">
        <v>1</v>
      </c>
    </row>
    <row r="846" spans="1:8" x14ac:dyDescent="0.3">
      <c r="A846" s="2">
        <v>44737</v>
      </c>
      <c r="B846" s="2" t="str">
        <f>TEXT(AutoPomodoro[[#This Row],[DATE]],"mmmm")</f>
        <v>June</v>
      </c>
      <c r="C846" s="2" t="str">
        <f>TEXT(AutoPomodoro[[#This Row],[DATE]],"yyyy")</f>
        <v>2022</v>
      </c>
      <c r="D846" s="8">
        <f>E845+$T$16</f>
        <v>0.68194444444444458</v>
      </c>
      <c r="E846" s="8">
        <f>D846+$T$15</f>
        <v>0.69930555555555574</v>
      </c>
      <c r="F846" s="3">
        <f t="shared" si="72"/>
        <v>1.736111111111116E-2</v>
      </c>
      <c r="G846" t="s">
        <v>16</v>
      </c>
      <c r="H846" t="s">
        <v>1</v>
      </c>
    </row>
    <row r="847" spans="1:8" x14ac:dyDescent="0.3">
      <c r="A847" s="2">
        <v>44737</v>
      </c>
      <c r="B847" s="2" t="str">
        <f>TEXT(AutoPomodoro[[#This Row],[DATE]],"mmmm")</f>
        <v>June</v>
      </c>
      <c r="C847" s="2" t="str">
        <f>TEXT(AutoPomodoro[[#This Row],[DATE]],"yyyy")</f>
        <v>2022</v>
      </c>
      <c r="D847" s="8">
        <f>E846+$T$17</f>
        <v>0.70416666666666683</v>
      </c>
      <c r="E847" s="8">
        <f>D847+$T$15</f>
        <v>0.72152777777777799</v>
      </c>
      <c r="F847" s="3">
        <v>3.9583333333333331E-2</v>
      </c>
      <c r="G847" t="s">
        <v>16</v>
      </c>
      <c r="H847" t="s">
        <v>1</v>
      </c>
    </row>
    <row r="848" spans="1:8" x14ac:dyDescent="0.3">
      <c r="A848" s="2">
        <v>44737</v>
      </c>
      <c r="B848" s="2" t="str">
        <f>TEXT(AutoPomodoro[[#This Row],[DATE]],"mmmm")</f>
        <v>June</v>
      </c>
      <c r="C848" s="2" t="str">
        <f>TEXT(AutoPomodoro[[#This Row],[DATE]],"yyyy")</f>
        <v>2022</v>
      </c>
      <c r="D848" s="8">
        <v>0.72152777777777777</v>
      </c>
      <c r="E848" s="8">
        <v>0.79166666666666663</v>
      </c>
      <c r="F848" s="3">
        <f>E848-D848</f>
        <v>7.0138888888888862E-2</v>
      </c>
      <c r="G848" t="s">
        <v>21</v>
      </c>
      <c r="H848" t="s">
        <v>1</v>
      </c>
    </row>
    <row r="849" spans="1:8" x14ac:dyDescent="0.3">
      <c r="A849" s="2">
        <v>44737</v>
      </c>
      <c r="B849" s="2" t="str">
        <f>TEXT(AutoPomodoro[[#This Row],[DATE]],"mmmm")</f>
        <v>June</v>
      </c>
      <c r="C849" s="2" t="str">
        <f>TEXT(AutoPomodoro[[#This Row],[DATE]],"yyyy")</f>
        <v>2022</v>
      </c>
      <c r="D849" s="8">
        <v>0.79166666666666663</v>
      </c>
      <c r="E849" s="8">
        <f>D849+$T$15</f>
        <v>0.80902777777777779</v>
      </c>
      <c r="F849" s="3">
        <v>2.1527777777777781E-2</v>
      </c>
      <c r="G849" t="s">
        <v>17</v>
      </c>
      <c r="H849" t="s">
        <v>1</v>
      </c>
    </row>
    <row r="850" spans="1:8" x14ac:dyDescent="0.3">
      <c r="A850" s="2">
        <v>44737</v>
      </c>
      <c r="B850" s="2" t="str">
        <f>TEXT(AutoPomodoro[[#This Row],[DATE]],"mmmm")</f>
        <v>June</v>
      </c>
      <c r="C850" s="2" t="str">
        <f>TEXT(AutoPomodoro[[#This Row],[DATE]],"yyyy")</f>
        <v>2022</v>
      </c>
      <c r="D850" s="8">
        <f>E849+$T$16</f>
        <v>0.8125</v>
      </c>
      <c r="E850" s="8">
        <f>D850+$T$15</f>
        <v>0.82986111111111116</v>
      </c>
      <c r="F850" s="3">
        <f>E850-D850</f>
        <v>1.736111111111116E-2</v>
      </c>
      <c r="G850" t="s">
        <v>17</v>
      </c>
      <c r="H850" t="s">
        <v>1</v>
      </c>
    </row>
    <row r="851" spans="1:8" x14ac:dyDescent="0.3">
      <c r="A851" s="2">
        <v>44737</v>
      </c>
      <c r="B851" s="2" t="str">
        <f>TEXT(AutoPomodoro[[#This Row],[DATE]],"mmmm")</f>
        <v>June</v>
      </c>
      <c r="C851" s="2" t="str">
        <f>TEXT(AutoPomodoro[[#This Row],[DATE]],"yyyy")</f>
        <v>2022</v>
      </c>
      <c r="D851" s="8">
        <f>E850+$T$16</f>
        <v>0.83333333333333337</v>
      </c>
      <c r="E851" s="8">
        <f>D851+$T$15</f>
        <v>0.85069444444444453</v>
      </c>
      <c r="F851" s="3">
        <f>E851-D851</f>
        <v>1.736111111111116E-2</v>
      </c>
      <c r="G851" t="s">
        <v>17</v>
      </c>
      <c r="H851" t="s">
        <v>1</v>
      </c>
    </row>
    <row r="852" spans="1:8" x14ac:dyDescent="0.3">
      <c r="A852" s="2">
        <v>44737</v>
      </c>
      <c r="B852" s="2" t="str">
        <f>TEXT(AutoPomodoro[[#This Row],[DATE]],"mmmm")</f>
        <v>June</v>
      </c>
      <c r="C852" s="2" t="str">
        <f>TEXT(AutoPomodoro[[#This Row],[DATE]],"yyyy")</f>
        <v>2022</v>
      </c>
      <c r="D852" s="8">
        <f>E851+$T$17</f>
        <v>0.85555555555555562</v>
      </c>
      <c r="E852" s="8">
        <f>D852+$T$15</f>
        <v>0.87291666666666679</v>
      </c>
      <c r="F852" s="3">
        <f>E852-D852</f>
        <v>1.736111111111116E-2</v>
      </c>
      <c r="G852" t="s">
        <v>17</v>
      </c>
      <c r="H852" t="s">
        <v>1</v>
      </c>
    </row>
    <row r="853" spans="1:8" x14ac:dyDescent="0.3">
      <c r="A853" s="2">
        <v>44737</v>
      </c>
      <c r="B853" s="2" t="str">
        <f>TEXT(AutoPomodoro[[#This Row],[DATE]],"mmmm")</f>
        <v>June</v>
      </c>
      <c r="C853" s="2" t="str">
        <f>TEXT(AutoPomodoro[[#This Row],[DATE]],"yyyy")</f>
        <v>2022</v>
      </c>
      <c r="D853" s="8">
        <v>0.87291666666666667</v>
      </c>
      <c r="E853" s="8">
        <v>0.8833333333333333</v>
      </c>
      <c r="F853" s="3">
        <f>E853-D853</f>
        <v>1.041666666666663E-2</v>
      </c>
      <c r="G853" t="s">
        <v>21</v>
      </c>
      <c r="H853" t="s">
        <v>1</v>
      </c>
    </row>
    <row r="854" spans="1:8" x14ac:dyDescent="0.3">
      <c r="A854" s="2">
        <v>44737</v>
      </c>
      <c r="B854" s="2" t="str">
        <f>TEXT(AutoPomodoro[[#This Row],[DATE]],"mmmm")</f>
        <v>June</v>
      </c>
      <c r="C854" s="2" t="str">
        <f>TEXT(AutoPomodoro[[#This Row],[DATE]],"yyyy")</f>
        <v>2022</v>
      </c>
      <c r="D854" s="8">
        <v>0.8833333333333333</v>
      </c>
      <c r="E854" s="8">
        <f>D854+$T$15</f>
        <v>0.90069444444444446</v>
      </c>
      <c r="F854" s="3">
        <v>9.7222222222222224E-3</v>
      </c>
      <c r="G854" t="s">
        <v>17</v>
      </c>
      <c r="H854" t="s">
        <v>1</v>
      </c>
    </row>
    <row r="855" spans="1:8" x14ac:dyDescent="0.3">
      <c r="A855" s="2">
        <v>44737</v>
      </c>
      <c r="B855" s="2" t="str">
        <f>TEXT(AutoPomodoro[[#This Row],[DATE]],"mmmm")</f>
        <v>June</v>
      </c>
      <c r="C855" s="2" t="str">
        <f>TEXT(AutoPomodoro[[#This Row],[DATE]],"yyyy")</f>
        <v>2022</v>
      </c>
      <c r="D855" s="8">
        <f>E854+$T$16</f>
        <v>0.90416666666666667</v>
      </c>
      <c r="E855" s="8">
        <f>D855+$T$15</f>
        <v>0.92152777777777783</v>
      </c>
      <c r="F855" s="3">
        <f>E855-D855</f>
        <v>1.736111111111116E-2</v>
      </c>
      <c r="G855" t="s">
        <v>17</v>
      </c>
      <c r="H855" t="s">
        <v>2</v>
      </c>
    </row>
    <row r="856" spans="1:8" x14ac:dyDescent="0.3">
      <c r="A856" s="2">
        <v>44738</v>
      </c>
      <c r="B856" s="2" t="str">
        <f>TEXT(AutoPomodoro[[#This Row],[DATE]],"mmmm")</f>
        <v>June</v>
      </c>
      <c r="C856" s="2" t="str">
        <f>TEXT(AutoPomodoro[[#This Row],[DATE]],"yyyy")</f>
        <v>2022</v>
      </c>
      <c r="D856" s="8">
        <v>0.58124999999999993</v>
      </c>
      <c r="E856" s="8">
        <v>0.65972222222222221</v>
      </c>
      <c r="F856" s="3">
        <v>0.125</v>
      </c>
      <c r="G856" t="s">
        <v>17</v>
      </c>
      <c r="H856" t="s">
        <v>1</v>
      </c>
    </row>
    <row r="857" spans="1:8" x14ac:dyDescent="0.3">
      <c r="A857" s="2">
        <v>44744</v>
      </c>
      <c r="B857" s="2" t="str">
        <f>TEXT(AutoPomodoro[[#This Row],[DATE]],"mmmm")</f>
        <v>July</v>
      </c>
      <c r="C857" s="2" t="str">
        <f>TEXT(AutoPomodoro[[#This Row],[DATE]],"yyyy")</f>
        <v>2022</v>
      </c>
      <c r="D857" s="8">
        <v>0.39444444444444443</v>
      </c>
      <c r="E857" s="8">
        <v>0.39999999999999997</v>
      </c>
      <c r="F857" s="3">
        <f>E857-D857</f>
        <v>5.5555555555555358E-3</v>
      </c>
      <c r="G857" t="s">
        <v>17</v>
      </c>
      <c r="H857" t="s">
        <v>1</v>
      </c>
    </row>
    <row r="858" spans="1:8" x14ac:dyDescent="0.3">
      <c r="A858" s="2">
        <v>44744</v>
      </c>
      <c r="B858" s="2" t="str">
        <f>TEXT(AutoPomodoro[[#This Row],[DATE]],"mmmm")</f>
        <v>July</v>
      </c>
      <c r="C858" s="2" t="str">
        <f>TEXT(AutoPomodoro[[#This Row],[DATE]],"yyyy")</f>
        <v>2022</v>
      </c>
      <c r="D858" s="8">
        <v>0.39999999999999997</v>
      </c>
      <c r="E858" s="8">
        <v>0.4375</v>
      </c>
      <c r="F858" s="3">
        <v>7.9861111111111105E-2</v>
      </c>
      <c r="G858" t="s">
        <v>16</v>
      </c>
      <c r="H858" t="s">
        <v>1</v>
      </c>
    </row>
    <row r="859" spans="1:8" x14ac:dyDescent="0.3">
      <c r="A859" s="2">
        <v>44744</v>
      </c>
      <c r="B859" s="2" t="str">
        <f>TEXT(AutoPomodoro[[#This Row],[DATE]],"mmmm")</f>
        <v>July</v>
      </c>
      <c r="C859" s="2" t="str">
        <f>TEXT(AutoPomodoro[[#This Row],[DATE]],"yyyy")</f>
        <v>2022</v>
      </c>
      <c r="D859" s="8">
        <v>0.4861111111111111</v>
      </c>
      <c r="E859" s="8">
        <v>0.50138888888888888</v>
      </c>
      <c r="F859" s="3">
        <f>E859-D859</f>
        <v>1.5277777777777779E-2</v>
      </c>
      <c r="G859" t="s">
        <v>16</v>
      </c>
      <c r="H859" t="s">
        <v>1</v>
      </c>
    </row>
    <row r="860" spans="1:8" x14ac:dyDescent="0.3">
      <c r="A860" s="2">
        <v>44744</v>
      </c>
      <c r="B860" s="2" t="str">
        <f>TEXT(AutoPomodoro[[#This Row],[DATE]],"mmmm")</f>
        <v>July</v>
      </c>
      <c r="C860" s="2" t="str">
        <f>TEXT(AutoPomodoro[[#This Row],[DATE]],"yyyy")</f>
        <v>2022</v>
      </c>
      <c r="D860" s="8">
        <v>0.51250000000000007</v>
      </c>
      <c r="E860" s="8">
        <v>0.52569444444444446</v>
      </c>
      <c r="F860" s="3">
        <v>2.9166666666666664E-2</v>
      </c>
      <c r="G860" t="s">
        <v>16</v>
      </c>
      <c r="H860" t="s">
        <v>1</v>
      </c>
    </row>
    <row r="861" spans="1:8" x14ac:dyDescent="0.3">
      <c r="A861" s="2">
        <v>44744</v>
      </c>
      <c r="B861" s="2" t="str">
        <f>TEXT(AutoPomodoro[[#This Row],[DATE]],"mmmm")</f>
        <v>July</v>
      </c>
      <c r="C861" s="2" t="str">
        <f>TEXT(AutoPomodoro[[#This Row],[DATE]],"yyyy")</f>
        <v>2022</v>
      </c>
      <c r="D861" s="8">
        <v>0.67708333333333337</v>
      </c>
      <c r="E861" s="8">
        <v>0.69305555555555554</v>
      </c>
      <c r="F861" s="3">
        <v>3.4722222222222224E-2</v>
      </c>
      <c r="G861" t="s">
        <v>16</v>
      </c>
      <c r="H861" t="s">
        <v>1</v>
      </c>
    </row>
    <row r="862" spans="1:8" x14ac:dyDescent="0.3">
      <c r="A862" s="2">
        <v>44745</v>
      </c>
      <c r="B862" s="2" t="str">
        <f>TEXT(AutoPomodoro[[#This Row],[DATE]],"mmmm")</f>
        <v>July</v>
      </c>
      <c r="C862" s="2" t="str">
        <f>TEXT(AutoPomodoro[[#This Row],[DATE]],"yyyy")</f>
        <v>2022</v>
      </c>
      <c r="D862" s="8">
        <v>0.52083333333333337</v>
      </c>
      <c r="E862" s="8">
        <f>D862+$T$15</f>
        <v>0.53819444444444453</v>
      </c>
      <c r="F862" s="3">
        <v>9.7222222222222224E-3</v>
      </c>
      <c r="G862" t="s">
        <v>16</v>
      </c>
      <c r="H862" t="s">
        <v>1</v>
      </c>
    </row>
    <row r="863" spans="1:8" x14ac:dyDescent="0.3">
      <c r="A863" s="2">
        <v>44745</v>
      </c>
      <c r="B863" s="2" t="str">
        <f>TEXT(AutoPomodoro[[#This Row],[DATE]],"mmmm")</f>
        <v>July</v>
      </c>
      <c r="C863" s="2" t="str">
        <f>TEXT(AutoPomodoro[[#This Row],[DATE]],"yyyy")</f>
        <v>2022</v>
      </c>
      <c r="D863" s="8">
        <v>0.57847222222222217</v>
      </c>
      <c r="E863" s="8">
        <v>0.63888888888888895</v>
      </c>
      <c r="F863" s="3">
        <f>E863-D863</f>
        <v>6.0416666666666785E-2</v>
      </c>
      <c r="G863" t="s">
        <v>16</v>
      </c>
      <c r="H863" t="s">
        <v>1</v>
      </c>
    </row>
    <row r="864" spans="1:8" x14ac:dyDescent="0.3">
      <c r="A864" s="2">
        <v>44745</v>
      </c>
      <c r="B864" s="2" t="str">
        <f>TEXT(AutoPomodoro[[#This Row],[DATE]],"mmmm")</f>
        <v>July</v>
      </c>
      <c r="C864" s="2" t="str">
        <f>TEXT(AutoPomodoro[[#This Row],[DATE]],"yyyy")</f>
        <v>2022</v>
      </c>
      <c r="D864" s="8">
        <v>0.65625</v>
      </c>
      <c r="E864" s="8">
        <v>0.68263888888888891</v>
      </c>
      <c r="F864" s="3">
        <f>E864-D864</f>
        <v>2.6388888888888906E-2</v>
      </c>
      <c r="G864" t="s">
        <v>16</v>
      </c>
      <c r="H864" t="s">
        <v>1</v>
      </c>
    </row>
    <row r="865" spans="1:13" x14ac:dyDescent="0.3">
      <c r="A865" s="2">
        <v>44745</v>
      </c>
      <c r="B865" s="2" t="str">
        <f>TEXT(AutoPomodoro[[#This Row],[DATE]],"mmmm")</f>
        <v>July</v>
      </c>
      <c r="C865" s="2" t="str">
        <f>TEXT(AutoPomodoro[[#This Row],[DATE]],"yyyy")</f>
        <v>2022</v>
      </c>
      <c r="D865" s="8">
        <v>0.67013888888888884</v>
      </c>
      <c r="E865" s="8">
        <v>0.7284722222222223</v>
      </c>
      <c r="F865" s="3">
        <f>E865-D865</f>
        <v>5.8333333333333459E-2</v>
      </c>
      <c r="G865" t="s">
        <v>16</v>
      </c>
      <c r="H865" t="s">
        <v>1</v>
      </c>
    </row>
    <row r="866" spans="1:13" x14ac:dyDescent="0.3">
      <c r="A866" s="2">
        <v>44748</v>
      </c>
      <c r="B866" s="2" t="str">
        <f>TEXT(AutoPomodoro[[#This Row],[DATE]],"mmmm")</f>
        <v>July</v>
      </c>
      <c r="C866" s="2" t="str">
        <f>TEXT(AutoPomodoro[[#This Row],[DATE]],"yyyy")</f>
        <v>2022</v>
      </c>
      <c r="D866" s="8">
        <v>0.50347222222222221</v>
      </c>
      <c r="E866" s="8">
        <f>D866+$T$15</f>
        <v>0.52083333333333337</v>
      </c>
      <c r="F866" s="3">
        <f>E866-D866</f>
        <v>1.736111111111116E-2</v>
      </c>
      <c r="G866" t="s">
        <v>16</v>
      </c>
      <c r="H866" t="s">
        <v>1</v>
      </c>
      <c r="M866" s="6"/>
    </row>
    <row r="867" spans="1:13" x14ac:dyDescent="0.3">
      <c r="A867" s="2">
        <v>44748</v>
      </c>
      <c r="B867" s="2" t="str">
        <f>TEXT(AutoPomodoro[[#This Row],[DATE]],"mmmm")</f>
        <v>July</v>
      </c>
      <c r="C867" s="2" t="str">
        <f>TEXT(AutoPomodoro[[#This Row],[DATE]],"yyyy")</f>
        <v>2022</v>
      </c>
      <c r="D867" s="8">
        <f>E866+$T$16</f>
        <v>0.52430555555555558</v>
      </c>
      <c r="E867" s="8">
        <f>D867+$T$15</f>
        <v>0.54166666666666674</v>
      </c>
      <c r="F867" s="3">
        <v>1.3194444444444444E-2</v>
      </c>
      <c r="G867" t="s">
        <v>16</v>
      </c>
      <c r="H867" t="s">
        <v>1</v>
      </c>
    </row>
    <row r="868" spans="1:13" x14ac:dyDescent="0.3">
      <c r="A868" s="2">
        <v>44748</v>
      </c>
      <c r="B868" s="2" t="str">
        <f>TEXT(AutoPomodoro[[#This Row],[DATE]],"mmmm")</f>
        <v>July</v>
      </c>
      <c r="C868" s="2" t="str">
        <f>TEXT(AutoPomodoro[[#This Row],[DATE]],"yyyy")</f>
        <v>2022</v>
      </c>
      <c r="D868" s="8">
        <f>E867+$T$16</f>
        <v>0.54513888888888895</v>
      </c>
      <c r="E868" s="8">
        <f>D868+$T$15</f>
        <v>0.56250000000000011</v>
      </c>
      <c r="F868" s="3">
        <f>E868-D868</f>
        <v>1.736111111111116E-2</v>
      </c>
      <c r="G868" t="s">
        <v>16</v>
      </c>
      <c r="H868" t="s">
        <v>1</v>
      </c>
    </row>
    <row r="869" spans="1:13" x14ac:dyDescent="0.3">
      <c r="A869" s="2">
        <v>44748</v>
      </c>
      <c r="B869" s="2" t="str">
        <f>TEXT(AutoPomodoro[[#This Row],[DATE]],"mmmm")</f>
        <v>July</v>
      </c>
      <c r="C869" s="2" t="str">
        <f>TEXT(AutoPomodoro[[#This Row],[DATE]],"yyyy")</f>
        <v>2022</v>
      </c>
      <c r="D869" s="8">
        <f>E868+$T$17</f>
        <v>0.5673611111111112</v>
      </c>
      <c r="E869" s="8">
        <f>D869+$T$15</f>
        <v>0.58472222222222237</v>
      </c>
      <c r="F869" s="3">
        <v>1.4583333333333332E-2</v>
      </c>
      <c r="G869" t="s">
        <v>16</v>
      </c>
      <c r="H869" t="s">
        <v>1</v>
      </c>
    </row>
    <row r="870" spans="1:13" x14ac:dyDescent="0.3">
      <c r="A870" s="2">
        <v>44748</v>
      </c>
      <c r="B870" s="2" t="str">
        <f>TEXT(AutoPomodoro[[#This Row],[DATE]],"mmmm")</f>
        <v>July</v>
      </c>
      <c r="C870" s="2" t="str">
        <f>TEXT(AutoPomodoro[[#This Row],[DATE]],"yyyy")</f>
        <v>2022</v>
      </c>
      <c r="D870" s="8">
        <v>0.58472222222222237</v>
      </c>
      <c r="E870" s="8">
        <f>D870+M</f>
        <v>0.59513888888888899</v>
      </c>
      <c r="F870" s="3">
        <v>1.0416666666666666E-2</v>
      </c>
      <c r="G870" t="s">
        <v>21</v>
      </c>
      <c r="H870" t="s">
        <v>1</v>
      </c>
    </row>
    <row r="871" spans="1:13" x14ac:dyDescent="0.3">
      <c r="A871" s="2">
        <v>44748</v>
      </c>
      <c r="B871" s="2" t="str">
        <f>TEXT(AutoPomodoro[[#This Row],[DATE]],"mmmm")</f>
        <v>July</v>
      </c>
      <c r="C871" s="2" t="str">
        <f>TEXT(AutoPomodoro[[#This Row],[DATE]],"yyyy")</f>
        <v>2022</v>
      </c>
      <c r="D871" s="8">
        <v>0.59513888888888899</v>
      </c>
      <c r="E871" s="8">
        <f t="shared" ref="E871:E878" si="73">D871+$T$15</f>
        <v>0.61250000000000016</v>
      </c>
      <c r="F871" s="3">
        <f>E871-D871</f>
        <v>1.736111111111116E-2</v>
      </c>
      <c r="G871" t="s">
        <v>16</v>
      </c>
      <c r="H871" t="s">
        <v>1</v>
      </c>
    </row>
    <row r="872" spans="1:13" x14ac:dyDescent="0.3">
      <c r="A872" s="2">
        <v>44748</v>
      </c>
      <c r="B872" s="2" t="str">
        <f>TEXT(AutoPomodoro[[#This Row],[DATE]],"mmmm")</f>
        <v>July</v>
      </c>
      <c r="C872" s="2" t="str">
        <f>TEXT(AutoPomodoro[[#This Row],[DATE]],"yyyy")</f>
        <v>2022</v>
      </c>
      <c r="D872" s="8">
        <f>E871+$T$16</f>
        <v>0.61597222222222237</v>
      </c>
      <c r="E872" s="8">
        <f t="shared" si="73"/>
        <v>0.63333333333333353</v>
      </c>
      <c r="F872" s="3">
        <f>E872-D872</f>
        <v>1.736111111111116E-2</v>
      </c>
      <c r="G872" t="s">
        <v>16</v>
      </c>
      <c r="H872" t="s">
        <v>1</v>
      </c>
    </row>
    <row r="873" spans="1:13" x14ac:dyDescent="0.3">
      <c r="A873" s="2">
        <v>44748</v>
      </c>
      <c r="B873" s="2" t="str">
        <f>TEXT(AutoPomodoro[[#This Row],[DATE]],"mmmm")</f>
        <v>July</v>
      </c>
      <c r="C873" s="2" t="str">
        <f>TEXT(AutoPomodoro[[#This Row],[DATE]],"yyyy")</f>
        <v>2022</v>
      </c>
      <c r="D873" s="8">
        <f>E872+$T$16</f>
        <v>0.63680555555555574</v>
      </c>
      <c r="E873" s="8">
        <f t="shared" si="73"/>
        <v>0.6541666666666669</v>
      </c>
      <c r="F873" s="3">
        <f>E873-D873</f>
        <v>1.736111111111116E-2</v>
      </c>
      <c r="G873" t="s">
        <v>16</v>
      </c>
      <c r="H873" t="s">
        <v>1</v>
      </c>
    </row>
    <row r="874" spans="1:13" x14ac:dyDescent="0.3">
      <c r="A874" s="2">
        <v>44748</v>
      </c>
      <c r="B874" s="2" t="str">
        <f>TEXT(AutoPomodoro[[#This Row],[DATE]],"mmmm")</f>
        <v>July</v>
      </c>
      <c r="C874" s="2" t="str">
        <f>TEXT(AutoPomodoro[[#This Row],[DATE]],"yyyy")</f>
        <v>2022</v>
      </c>
      <c r="D874" s="8">
        <f>E873+$T$17</f>
        <v>0.65902777777777799</v>
      </c>
      <c r="E874" s="8">
        <f t="shared" si="73"/>
        <v>0.67638888888888915</v>
      </c>
      <c r="F874" s="3">
        <v>9.7222222222222224E-3</v>
      </c>
      <c r="G874" t="s">
        <v>16</v>
      </c>
      <c r="H874" t="s">
        <v>1</v>
      </c>
    </row>
    <row r="875" spans="1:13" x14ac:dyDescent="0.3">
      <c r="A875" s="2">
        <v>44749</v>
      </c>
      <c r="B875" s="2" t="str">
        <f>TEXT(AutoPomodoro[[#This Row],[DATE]],"mmmm")</f>
        <v>July</v>
      </c>
      <c r="C875" s="2" t="str">
        <f>TEXT(AutoPomodoro[[#This Row],[DATE]],"yyyy")</f>
        <v>2022</v>
      </c>
      <c r="D875" s="8">
        <v>0.61111111111111105</v>
      </c>
      <c r="E875" s="8">
        <f t="shared" si="73"/>
        <v>0.62847222222222221</v>
      </c>
      <c r="F875" s="3">
        <f>E875-D875</f>
        <v>1.736111111111116E-2</v>
      </c>
      <c r="G875" t="s">
        <v>16</v>
      </c>
      <c r="H875" t="s">
        <v>1</v>
      </c>
    </row>
    <row r="876" spans="1:13" x14ac:dyDescent="0.3">
      <c r="A876" s="2">
        <v>44749</v>
      </c>
      <c r="B876" s="2" t="str">
        <f>TEXT(AutoPomodoro[[#This Row],[DATE]],"mmmm")</f>
        <v>July</v>
      </c>
      <c r="C876" s="2" t="str">
        <f>TEXT(AutoPomodoro[[#This Row],[DATE]],"yyyy")</f>
        <v>2022</v>
      </c>
      <c r="D876" s="8">
        <f>E875+$T$16</f>
        <v>0.63194444444444442</v>
      </c>
      <c r="E876" s="8">
        <f t="shared" si="73"/>
        <v>0.64930555555555558</v>
      </c>
      <c r="F876" s="3">
        <f>E876-D876</f>
        <v>1.736111111111116E-2</v>
      </c>
      <c r="G876" t="s">
        <v>16</v>
      </c>
      <c r="H876" t="s">
        <v>1</v>
      </c>
    </row>
    <row r="877" spans="1:13" x14ac:dyDescent="0.3">
      <c r="A877" s="2">
        <v>44749</v>
      </c>
      <c r="B877" s="2" t="str">
        <f>TEXT(AutoPomodoro[[#This Row],[DATE]],"mmmm")</f>
        <v>July</v>
      </c>
      <c r="C877" s="2" t="str">
        <f>TEXT(AutoPomodoro[[#This Row],[DATE]],"yyyy")</f>
        <v>2022</v>
      </c>
      <c r="D877" s="8">
        <f>E876+$T$16</f>
        <v>0.65277777777777779</v>
      </c>
      <c r="E877" s="8">
        <f t="shared" si="73"/>
        <v>0.67013888888888895</v>
      </c>
      <c r="F877" s="3">
        <v>1.3194444444444444E-2</v>
      </c>
      <c r="G877" t="s">
        <v>16</v>
      </c>
      <c r="H877" t="s">
        <v>1</v>
      </c>
    </row>
    <row r="878" spans="1:13" x14ac:dyDescent="0.3">
      <c r="A878" s="2">
        <v>44749</v>
      </c>
      <c r="B878" s="2" t="str">
        <f>TEXT(AutoPomodoro[[#This Row],[DATE]],"mmmm")</f>
        <v>July</v>
      </c>
      <c r="C878" s="2" t="str">
        <f>TEXT(AutoPomodoro[[#This Row],[DATE]],"yyyy")</f>
        <v>2022</v>
      </c>
      <c r="D878" s="8">
        <f>E877+$T$17</f>
        <v>0.67500000000000004</v>
      </c>
      <c r="E878" s="8">
        <f t="shared" si="73"/>
        <v>0.6923611111111112</v>
      </c>
      <c r="F878" s="3">
        <f>E878-D878</f>
        <v>1.736111111111116E-2</v>
      </c>
      <c r="G878" t="s">
        <v>16</v>
      </c>
      <c r="H878" t="s">
        <v>1</v>
      </c>
    </row>
    <row r="879" spans="1:13" x14ac:dyDescent="0.3">
      <c r="A879" s="2">
        <v>44749</v>
      </c>
      <c r="B879" s="2" t="str">
        <f>TEXT(AutoPomodoro[[#This Row],[DATE]],"mmmm")</f>
        <v>July</v>
      </c>
      <c r="C879" s="2" t="str">
        <f>TEXT(AutoPomodoro[[#This Row],[DATE]],"yyyy")</f>
        <v>2022</v>
      </c>
      <c r="D879" s="8">
        <v>0.6923611111111112</v>
      </c>
      <c r="E879" s="8">
        <f>D879+M</f>
        <v>0.70277777777777783</v>
      </c>
      <c r="F879" s="3">
        <v>1.0416666666666666E-2</v>
      </c>
      <c r="G879" t="s">
        <v>21</v>
      </c>
      <c r="H879" t="s">
        <v>1</v>
      </c>
    </row>
    <row r="880" spans="1:13" x14ac:dyDescent="0.3">
      <c r="A880" s="2">
        <v>44749</v>
      </c>
      <c r="B880" s="2" t="str">
        <f>TEXT(AutoPomodoro[[#This Row],[DATE]],"mmmm")</f>
        <v>July</v>
      </c>
      <c r="C880" s="2" t="str">
        <f>TEXT(AutoPomodoro[[#This Row],[DATE]],"yyyy")</f>
        <v>2022</v>
      </c>
      <c r="D880" s="8">
        <v>0.70277777777777783</v>
      </c>
      <c r="E880" s="8">
        <f>D880+$T$15</f>
        <v>0.72013888888888899</v>
      </c>
      <c r="F880" s="3">
        <f>E880-D880</f>
        <v>1.736111111111116E-2</v>
      </c>
      <c r="G880" t="s">
        <v>16</v>
      </c>
      <c r="H880" t="s">
        <v>1</v>
      </c>
    </row>
    <row r="881" spans="1:8" x14ac:dyDescent="0.3">
      <c r="A881" s="2">
        <v>44749</v>
      </c>
      <c r="B881" s="2" t="str">
        <f>TEXT(AutoPomodoro[[#This Row],[DATE]],"mmmm")</f>
        <v>July</v>
      </c>
      <c r="C881" s="2" t="str">
        <f>TEXT(AutoPomodoro[[#This Row],[DATE]],"yyyy")</f>
        <v>2022</v>
      </c>
      <c r="D881" s="8">
        <f>E880+$T$16</f>
        <v>0.7236111111111112</v>
      </c>
      <c r="E881" s="8">
        <f>D881+$T$15</f>
        <v>0.74097222222222237</v>
      </c>
      <c r="F881" s="3">
        <f>E881-D881</f>
        <v>1.736111111111116E-2</v>
      </c>
      <c r="G881" t="s">
        <v>16</v>
      </c>
      <c r="H881" t="s">
        <v>1</v>
      </c>
    </row>
    <row r="882" spans="1:8" x14ac:dyDescent="0.3">
      <c r="A882" s="2">
        <v>44749</v>
      </c>
      <c r="B882" s="2" t="str">
        <f>TEXT(AutoPomodoro[[#This Row],[DATE]],"mmmm")</f>
        <v>July</v>
      </c>
      <c r="C882" s="2" t="str">
        <f>TEXT(AutoPomodoro[[#This Row],[DATE]],"yyyy")</f>
        <v>2022</v>
      </c>
      <c r="D882" s="8">
        <f>E881+$T$16</f>
        <v>0.74444444444444458</v>
      </c>
      <c r="E882" s="8">
        <f>D882+$T$15</f>
        <v>0.76180555555555574</v>
      </c>
      <c r="F882" s="3">
        <f>E882-D882</f>
        <v>1.736111111111116E-2</v>
      </c>
      <c r="G882" t="s">
        <v>16</v>
      </c>
      <c r="H882" t="s">
        <v>1</v>
      </c>
    </row>
    <row r="883" spans="1:8" x14ac:dyDescent="0.3">
      <c r="A883" s="2">
        <v>44749</v>
      </c>
      <c r="B883" s="2" t="str">
        <f>TEXT(AutoPomodoro[[#This Row],[DATE]],"mmmm")</f>
        <v>July</v>
      </c>
      <c r="C883" s="2" t="str">
        <f>TEXT(AutoPomodoro[[#This Row],[DATE]],"yyyy")</f>
        <v>2022</v>
      </c>
      <c r="D883" s="8">
        <f>E882+$T$17</f>
        <v>0.76666666666666683</v>
      </c>
      <c r="E883" s="8">
        <f>D883+$T$15</f>
        <v>0.78402777777777799</v>
      </c>
      <c r="F883" s="3">
        <v>2.7083333333333334E-2</v>
      </c>
      <c r="G883" t="s">
        <v>16</v>
      </c>
      <c r="H883" t="s">
        <v>1</v>
      </c>
    </row>
    <row r="884" spans="1:8" x14ac:dyDescent="0.3">
      <c r="A884" s="2">
        <v>44749</v>
      </c>
      <c r="B884" s="2" t="str">
        <f>TEXT(AutoPomodoro[[#This Row],[DATE]],"mmmm")</f>
        <v>July</v>
      </c>
      <c r="C884" s="2" t="str">
        <f>TEXT(AutoPomodoro[[#This Row],[DATE]],"yyyy")</f>
        <v>2022</v>
      </c>
      <c r="D884" s="8">
        <v>0.90972222222222221</v>
      </c>
      <c r="E884" s="8">
        <v>0.9277777777777777</v>
      </c>
      <c r="F884" s="3">
        <f t="shared" ref="F884:F889" si="74">E884-D884</f>
        <v>1.8055555555555491E-2</v>
      </c>
      <c r="G884" t="s">
        <v>16</v>
      </c>
      <c r="H884" t="s">
        <v>1</v>
      </c>
    </row>
    <row r="885" spans="1:8" x14ac:dyDescent="0.3">
      <c r="A885" s="2">
        <v>44749</v>
      </c>
      <c r="B885" s="2" t="str">
        <f>TEXT(AutoPomodoro[[#This Row],[DATE]],"mmmm")</f>
        <v>July</v>
      </c>
      <c r="C885" s="2" t="str">
        <f>TEXT(AutoPomodoro[[#This Row],[DATE]],"yyyy")</f>
        <v>2022</v>
      </c>
      <c r="D885" s="8">
        <v>0.92986111111111114</v>
      </c>
      <c r="E885" s="8">
        <v>0.93888888888888899</v>
      </c>
      <c r="F885" s="3">
        <f t="shared" si="74"/>
        <v>9.0277777777778567E-3</v>
      </c>
      <c r="G885" t="s">
        <v>0</v>
      </c>
      <c r="H885" t="s">
        <v>1</v>
      </c>
    </row>
    <row r="886" spans="1:8" x14ac:dyDescent="0.3">
      <c r="A886" s="2">
        <v>44750</v>
      </c>
      <c r="B886" s="2" t="str">
        <f>TEXT(AutoPomodoro[[#This Row],[DATE]],"mmmm")</f>
        <v>July</v>
      </c>
      <c r="C886" s="2" t="str">
        <f>TEXT(AutoPomodoro[[#This Row],[DATE]],"yyyy")</f>
        <v>2022</v>
      </c>
      <c r="D886" s="8">
        <v>0.79236111111111107</v>
      </c>
      <c r="E886" s="8">
        <v>0.81458333333333333</v>
      </c>
      <c r="F886" s="3">
        <f t="shared" si="74"/>
        <v>2.2222222222222254E-2</v>
      </c>
      <c r="G886" t="s">
        <v>16</v>
      </c>
      <c r="H886" t="s">
        <v>1</v>
      </c>
    </row>
    <row r="887" spans="1:8" x14ac:dyDescent="0.3">
      <c r="A887" s="2">
        <v>44753</v>
      </c>
      <c r="B887" s="2" t="str">
        <f>TEXT(AutoPomodoro[[#This Row],[DATE]],"mmmm")</f>
        <v>July</v>
      </c>
      <c r="C887" s="2" t="str">
        <f>TEXT(AutoPomodoro[[#This Row],[DATE]],"yyyy")</f>
        <v>2022</v>
      </c>
      <c r="D887" s="8">
        <v>0.59027777777777779</v>
      </c>
      <c r="E887" s="8">
        <f t="shared" ref="E887:E896" si="75">D887+$T$15</f>
        <v>0.60763888888888895</v>
      </c>
      <c r="F887" s="3">
        <f t="shared" si="74"/>
        <v>1.736111111111116E-2</v>
      </c>
      <c r="G887" t="s">
        <v>0</v>
      </c>
      <c r="H887" t="s">
        <v>1</v>
      </c>
    </row>
    <row r="888" spans="1:8" x14ac:dyDescent="0.3">
      <c r="A888" s="2">
        <v>44753</v>
      </c>
      <c r="B888" s="2" t="str">
        <f>TEXT(AutoPomodoro[[#This Row],[DATE]],"mmmm")</f>
        <v>July</v>
      </c>
      <c r="C888" s="2" t="str">
        <f>TEXT(AutoPomodoro[[#This Row],[DATE]],"yyyy")</f>
        <v>2022</v>
      </c>
      <c r="D888" s="8">
        <f>E887+$T$16</f>
        <v>0.61111111111111116</v>
      </c>
      <c r="E888" s="8">
        <f t="shared" si="75"/>
        <v>0.62847222222222232</v>
      </c>
      <c r="F888" s="3">
        <f t="shared" si="74"/>
        <v>1.736111111111116E-2</v>
      </c>
      <c r="G888" t="s">
        <v>16</v>
      </c>
      <c r="H888" t="s">
        <v>1</v>
      </c>
    </row>
    <row r="889" spans="1:8" x14ac:dyDescent="0.3">
      <c r="A889" s="2">
        <v>44753</v>
      </c>
      <c r="B889" s="2" t="str">
        <f>TEXT(AutoPomodoro[[#This Row],[DATE]],"mmmm")</f>
        <v>July</v>
      </c>
      <c r="C889" s="2" t="str">
        <f>TEXT(AutoPomodoro[[#This Row],[DATE]],"yyyy")</f>
        <v>2022</v>
      </c>
      <c r="D889" s="8">
        <f>E888+$T$16</f>
        <v>0.63194444444444453</v>
      </c>
      <c r="E889" s="8">
        <f t="shared" si="75"/>
        <v>0.64930555555555569</v>
      </c>
      <c r="F889" s="3">
        <f t="shared" si="74"/>
        <v>1.736111111111116E-2</v>
      </c>
      <c r="G889" t="s">
        <v>16</v>
      </c>
      <c r="H889" t="s">
        <v>1</v>
      </c>
    </row>
    <row r="890" spans="1:8" x14ac:dyDescent="0.3">
      <c r="A890" s="2">
        <v>44753</v>
      </c>
      <c r="B890" s="2" t="str">
        <f>TEXT(AutoPomodoro[[#This Row],[DATE]],"mmmm")</f>
        <v>July</v>
      </c>
      <c r="C890" s="2" t="str">
        <f>TEXT(AutoPomodoro[[#This Row],[DATE]],"yyyy")</f>
        <v>2022</v>
      </c>
      <c r="D890" s="8">
        <f>E889+$T$17</f>
        <v>0.65416666666666679</v>
      </c>
      <c r="E890" s="8">
        <f t="shared" si="75"/>
        <v>0.67152777777777795</v>
      </c>
      <c r="F890" s="3">
        <v>1.8749999999999999E-2</v>
      </c>
      <c r="G890" t="s">
        <v>16</v>
      </c>
      <c r="H890" t="s">
        <v>1</v>
      </c>
    </row>
    <row r="891" spans="1:8" x14ac:dyDescent="0.3">
      <c r="A891" s="2">
        <v>44753</v>
      </c>
      <c r="B891" s="2" t="str">
        <f>TEXT(AutoPomodoro[[#This Row],[DATE]],"mmmm")</f>
        <v>July</v>
      </c>
      <c r="C891" s="2" t="str">
        <f>TEXT(AutoPomodoro[[#This Row],[DATE]],"yyyy")</f>
        <v>2022</v>
      </c>
      <c r="D891" s="8">
        <v>0.78125</v>
      </c>
      <c r="E891" s="8">
        <f t="shared" si="75"/>
        <v>0.79861111111111116</v>
      </c>
      <c r="F891" s="3">
        <v>2.4999999999999998E-2</v>
      </c>
      <c r="G891" t="s">
        <v>16</v>
      </c>
      <c r="H891" t="s">
        <v>1</v>
      </c>
    </row>
    <row r="892" spans="1:8" x14ac:dyDescent="0.3">
      <c r="A892" s="2">
        <v>44753</v>
      </c>
      <c r="B892" s="2" t="str">
        <f>TEXT(AutoPomodoro[[#This Row],[DATE]],"mmmm")</f>
        <v>July</v>
      </c>
      <c r="C892" s="2" t="str">
        <f>TEXT(AutoPomodoro[[#This Row],[DATE]],"yyyy")</f>
        <v>2022</v>
      </c>
      <c r="D892" s="8">
        <f>E891+$T$16</f>
        <v>0.80208333333333337</v>
      </c>
      <c r="E892" s="8">
        <f t="shared" si="75"/>
        <v>0.81944444444444453</v>
      </c>
      <c r="F892" s="3">
        <f>E892-D892</f>
        <v>1.736111111111116E-2</v>
      </c>
      <c r="G892" t="s">
        <v>16</v>
      </c>
      <c r="H892" t="s">
        <v>1</v>
      </c>
    </row>
    <row r="893" spans="1:8" x14ac:dyDescent="0.3">
      <c r="A893" s="2">
        <v>44753</v>
      </c>
      <c r="B893" s="2" t="str">
        <f>TEXT(AutoPomodoro[[#This Row],[DATE]],"mmmm")</f>
        <v>July</v>
      </c>
      <c r="C893" s="2" t="str">
        <f>TEXT(AutoPomodoro[[#This Row],[DATE]],"yyyy")</f>
        <v>2022</v>
      </c>
      <c r="D893" s="8">
        <f>E892+$T$16</f>
        <v>0.82291666666666674</v>
      </c>
      <c r="E893" s="8">
        <f t="shared" si="75"/>
        <v>0.8402777777777779</v>
      </c>
      <c r="F893" s="3">
        <f>E893-D893</f>
        <v>1.736111111111116E-2</v>
      </c>
      <c r="G893" t="s">
        <v>16</v>
      </c>
      <c r="H893" t="s">
        <v>1</v>
      </c>
    </row>
    <row r="894" spans="1:8" x14ac:dyDescent="0.3">
      <c r="A894" s="2">
        <v>44753</v>
      </c>
      <c r="B894" s="2" t="str">
        <f>TEXT(AutoPomodoro[[#This Row],[DATE]],"mmmm")</f>
        <v>July</v>
      </c>
      <c r="C894" s="2" t="str">
        <f>TEXT(AutoPomodoro[[#This Row],[DATE]],"yyyy")</f>
        <v>2022</v>
      </c>
      <c r="D894" s="8">
        <f>E893+$T$17</f>
        <v>0.84513888888888899</v>
      </c>
      <c r="E894" s="8">
        <f t="shared" si="75"/>
        <v>0.86250000000000016</v>
      </c>
      <c r="F894" s="3">
        <v>1.3194444444444444E-2</v>
      </c>
      <c r="G894" t="s">
        <v>16</v>
      </c>
      <c r="H894" t="s">
        <v>1</v>
      </c>
    </row>
    <row r="895" spans="1:8" x14ac:dyDescent="0.3">
      <c r="A895" s="2">
        <v>44755</v>
      </c>
      <c r="B895" s="2" t="str">
        <f>TEXT(AutoPomodoro[[#This Row],[DATE]],"mmmm")</f>
        <v>July</v>
      </c>
      <c r="C895" s="2" t="str">
        <f>TEXT(AutoPomodoro[[#This Row],[DATE]],"yyyy")</f>
        <v>2022</v>
      </c>
      <c r="D895" s="8">
        <v>0.59375</v>
      </c>
      <c r="E895" s="8">
        <f t="shared" si="75"/>
        <v>0.61111111111111116</v>
      </c>
      <c r="F895" s="3">
        <f t="shared" ref="F895:F919" si="76">E895-D895</f>
        <v>1.736111111111116E-2</v>
      </c>
      <c r="G895" t="s">
        <v>0</v>
      </c>
      <c r="H895" t="s">
        <v>1</v>
      </c>
    </row>
    <row r="896" spans="1:8" x14ac:dyDescent="0.3">
      <c r="A896" s="2">
        <v>44755</v>
      </c>
      <c r="B896" s="2" t="str">
        <f>TEXT(AutoPomodoro[[#This Row],[DATE]],"mmmm")</f>
        <v>July</v>
      </c>
      <c r="C896" s="2" t="str">
        <f>TEXT(AutoPomodoro[[#This Row],[DATE]],"yyyy")</f>
        <v>2022</v>
      </c>
      <c r="D896" s="8">
        <f>E895+$T$16</f>
        <v>0.61458333333333337</v>
      </c>
      <c r="E896" s="8">
        <f t="shared" si="75"/>
        <v>0.63194444444444453</v>
      </c>
      <c r="F896" s="3">
        <f t="shared" si="76"/>
        <v>1.736111111111116E-2</v>
      </c>
      <c r="G896" t="s">
        <v>16</v>
      </c>
      <c r="H896" t="s">
        <v>1</v>
      </c>
    </row>
    <row r="897" spans="1:8" x14ac:dyDescent="0.3">
      <c r="A897" s="2">
        <v>44756</v>
      </c>
      <c r="B897" s="2" t="str">
        <f>TEXT(AutoPomodoro[[#This Row],[DATE]],"mmmm")</f>
        <v>July</v>
      </c>
      <c r="C897" s="2" t="str">
        <f>TEXT(AutoPomodoro[[#This Row],[DATE]],"yyyy")</f>
        <v>2022</v>
      </c>
      <c r="D897" s="8">
        <v>0.95486111111111116</v>
      </c>
      <c r="E897" s="8">
        <v>0.96736111111111101</v>
      </c>
      <c r="F897" s="3">
        <f t="shared" si="76"/>
        <v>1.2499999999999845E-2</v>
      </c>
      <c r="G897" t="s">
        <v>16</v>
      </c>
      <c r="H897" t="s">
        <v>1</v>
      </c>
    </row>
    <row r="898" spans="1:8" x14ac:dyDescent="0.3">
      <c r="A898" s="2">
        <v>44758</v>
      </c>
      <c r="B898" s="2" t="str">
        <f>TEXT(AutoPomodoro[[#This Row],[DATE]],"mmmm")</f>
        <v>July</v>
      </c>
      <c r="C898" s="2" t="str">
        <f>TEXT(AutoPomodoro[[#This Row],[DATE]],"yyyy")</f>
        <v>2022</v>
      </c>
      <c r="D898" s="8">
        <v>0.64166666666666672</v>
      </c>
      <c r="E898" s="8">
        <v>0.66180555555555554</v>
      </c>
      <c r="F898" s="3">
        <f t="shared" si="76"/>
        <v>2.0138888888888817E-2</v>
      </c>
      <c r="G898" t="s">
        <v>16</v>
      </c>
      <c r="H898" t="s">
        <v>1</v>
      </c>
    </row>
    <row r="899" spans="1:8" x14ac:dyDescent="0.3">
      <c r="A899" s="2">
        <v>44758</v>
      </c>
      <c r="B899" s="2" t="str">
        <f>TEXT(AutoPomodoro[[#This Row],[DATE]],"mmmm")</f>
        <v>July</v>
      </c>
      <c r="C899" s="2" t="str">
        <f>TEXT(AutoPomodoro[[#This Row],[DATE]],"yyyy")</f>
        <v>2022</v>
      </c>
      <c r="D899" s="8">
        <v>0.70347222222222217</v>
      </c>
      <c r="E899" s="8">
        <v>0.75</v>
      </c>
      <c r="F899" s="3">
        <f t="shared" si="76"/>
        <v>4.6527777777777835E-2</v>
      </c>
      <c r="G899" t="s">
        <v>16</v>
      </c>
      <c r="H899" t="s">
        <v>1</v>
      </c>
    </row>
    <row r="900" spans="1:8" x14ac:dyDescent="0.3">
      <c r="A900" s="2">
        <v>44758</v>
      </c>
      <c r="B900" s="2" t="str">
        <f>TEXT(AutoPomodoro[[#This Row],[DATE]],"mmmm")</f>
        <v>July</v>
      </c>
      <c r="C900" s="2" t="str">
        <f>TEXT(AutoPomodoro[[#This Row],[DATE]],"yyyy")</f>
        <v>2022</v>
      </c>
      <c r="D900" s="8">
        <v>0.77083333333333337</v>
      </c>
      <c r="E900" s="8">
        <v>0.78749999999999998</v>
      </c>
      <c r="F900" s="3">
        <f t="shared" si="76"/>
        <v>1.6666666666666607E-2</v>
      </c>
      <c r="G900" t="s">
        <v>16</v>
      </c>
      <c r="H900" t="s">
        <v>1</v>
      </c>
    </row>
    <row r="901" spans="1:8" x14ac:dyDescent="0.3">
      <c r="A901" s="2">
        <v>44759</v>
      </c>
      <c r="B901" s="2" t="str">
        <f>TEXT(AutoPomodoro[[#This Row],[DATE]],"mmmm")</f>
        <v>July</v>
      </c>
      <c r="C901" s="2" t="str">
        <f>TEXT(AutoPomodoro[[#This Row],[DATE]],"yyyy")</f>
        <v>2022</v>
      </c>
      <c r="D901" s="8">
        <v>0.61805555555555558</v>
      </c>
      <c r="E901" s="8">
        <v>0.67847222222222225</v>
      </c>
      <c r="F901" s="3">
        <f t="shared" si="76"/>
        <v>6.0416666666666674E-2</v>
      </c>
      <c r="G901" t="s">
        <v>16</v>
      </c>
      <c r="H901" t="s">
        <v>1</v>
      </c>
    </row>
    <row r="902" spans="1:8" x14ac:dyDescent="0.3">
      <c r="A902" s="2">
        <v>44759</v>
      </c>
      <c r="B902" s="2" t="str">
        <f>TEXT(AutoPomodoro[[#This Row],[DATE]],"mmmm")</f>
        <v>July</v>
      </c>
      <c r="C902" s="2" t="str">
        <f>TEXT(AutoPomodoro[[#This Row],[DATE]],"yyyy")</f>
        <v>2022</v>
      </c>
      <c r="D902" s="8">
        <v>0.68819444444444444</v>
      </c>
      <c r="E902" s="8">
        <v>0.7319444444444444</v>
      </c>
      <c r="F902" s="3">
        <f t="shared" si="76"/>
        <v>4.3749999999999956E-2</v>
      </c>
      <c r="G902" t="s">
        <v>16</v>
      </c>
      <c r="H902" t="s">
        <v>1</v>
      </c>
    </row>
    <row r="903" spans="1:8" x14ac:dyDescent="0.3">
      <c r="A903" s="2">
        <v>44759</v>
      </c>
      <c r="B903" s="2" t="str">
        <f>TEXT(AutoPomodoro[[#This Row],[DATE]],"mmmm")</f>
        <v>July</v>
      </c>
      <c r="C903" s="2" t="str">
        <f>TEXT(AutoPomodoro[[#This Row],[DATE]],"yyyy")</f>
        <v>2022</v>
      </c>
      <c r="D903" s="8">
        <v>0.81736111111111109</v>
      </c>
      <c r="E903" s="8">
        <v>0.83194444444444438</v>
      </c>
      <c r="F903" s="3">
        <f t="shared" si="76"/>
        <v>1.4583333333333282E-2</v>
      </c>
      <c r="G903" t="s">
        <v>16</v>
      </c>
      <c r="H903" t="s">
        <v>1</v>
      </c>
    </row>
    <row r="904" spans="1:8" x14ac:dyDescent="0.3">
      <c r="A904" s="2">
        <v>44762</v>
      </c>
      <c r="B904" s="2" t="str">
        <f>TEXT(AutoPomodoro[[#This Row],[DATE]],"mmmm")</f>
        <v>July</v>
      </c>
      <c r="C904" s="2" t="str">
        <f>TEXT(AutoPomodoro[[#This Row],[DATE]],"yyyy")</f>
        <v>2022</v>
      </c>
      <c r="D904" s="8">
        <v>0.62916666666666665</v>
      </c>
      <c r="E904" s="8">
        <v>0.68263888888888891</v>
      </c>
      <c r="F904" s="3">
        <f t="shared" si="76"/>
        <v>5.3472222222222254E-2</v>
      </c>
      <c r="G904" t="s">
        <v>16</v>
      </c>
      <c r="H904" t="s">
        <v>1</v>
      </c>
    </row>
    <row r="905" spans="1:8" x14ac:dyDescent="0.3">
      <c r="A905" s="2">
        <v>44762</v>
      </c>
      <c r="B905" s="2" t="str">
        <f>TEXT(AutoPomodoro[[#This Row],[DATE]],"mmmm")</f>
        <v>July</v>
      </c>
      <c r="C905" s="2" t="str">
        <f>TEXT(AutoPomodoro[[#This Row],[DATE]],"yyyy")</f>
        <v>2022</v>
      </c>
      <c r="D905" s="8">
        <v>0.68958333333333333</v>
      </c>
      <c r="E905" s="8">
        <v>0.75</v>
      </c>
      <c r="F905" s="3">
        <f t="shared" si="76"/>
        <v>6.0416666666666674E-2</v>
      </c>
      <c r="G905" t="s">
        <v>16</v>
      </c>
      <c r="H905" t="s">
        <v>1</v>
      </c>
    </row>
    <row r="906" spans="1:8" x14ac:dyDescent="0.3">
      <c r="A906" s="2">
        <v>44762</v>
      </c>
      <c r="B906" s="2" t="str">
        <f>TEXT(AutoPomodoro[[#This Row],[DATE]],"mmmm")</f>
        <v>July</v>
      </c>
      <c r="C906" s="2" t="str">
        <f>TEXT(AutoPomodoro[[#This Row],[DATE]],"yyyy")</f>
        <v>2022</v>
      </c>
      <c r="D906" s="8">
        <v>0.76388888888888884</v>
      </c>
      <c r="E906" s="8">
        <v>0.80555555555555547</v>
      </c>
      <c r="F906" s="3">
        <f t="shared" si="76"/>
        <v>4.166666666666663E-2</v>
      </c>
      <c r="G906" t="s">
        <v>16</v>
      </c>
      <c r="H906" t="s">
        <v>1</v>
      </c>
    </row>
    <row r="907" spans="1:8" x14ac:dyDescent="0.3">
      <c r="A907" s="2">
        <v>44762</v>
      </c>
      <c r="B907" s="2" t="str">
        <f>TEXT(AutoPomodoro[[#This Row],[DATE]],"mmmm")</f>
        <v>July</v>
      </c>
      <c r="C907" s="2" t="str">
        <f>TEXT(AutoPomodoro[[#This Row],[DATE]],"yyyy")</f>
        <v>2022</v>
      </c>
      <c r="D907" s="8">
        <v>0.91319444444444453</v>
      </c>
      <c r="E907" s="8">
        <v>0.95277777777777783</v>
      </c>
      <c r="F907" s="3">
        <f t="shared" si="76"/>
        <v>3.9583333333333304E-2</v>
      </c>
      <c r="G907" t="s">
        <v>16</v>
      </c>
      <c r="H907" t="s">
        <v>1</v>
      </c>
    </row>
    <row r="908" spans="1:8" x14ac:dyDescent="0.3">
      <c r="A908" s="2">
        <v>44762</v>
      </c>
      <c r="B908" s="2" t="str">
        <f>TEXT(AutoPomodoro[[#This Row],[DATE]],"mmmm")</f>
        <v>July</v>
      </c>
      <c r="C908" s="2" t="str">
        <f>TEXT(AutoPomodoro[[#This Row],[DATE]],"yyyy")</f>
        <v>2022</v>
      </c>
      <c r="D908" s="8">
        <v>0.97222222222222221</v>
      </c>
      <c r="E908" s="8">
        <v>1</v>
      </c>
      <c r="F908" s="3">
        <f t="shared" si="76"/>
        <v>2.777777777777779E-2</v>
      </c>
      <c r="G908" t="s">
        <v>16</v>
      </c>
      <c r="H908" t="s">
        <v>1</v>
      </c>
    </row>
    <row r="909" spans="1:8" x14ac:dyDescent="0.3">
      <c r="A909" s="2">
        <v>44763</v>
      </c>
      <c r="B909" s="2" t="str">
        <f>TEXT(AutoPomodoro[[#This Row],[DATE]],"mmmm")</f>
        <v>July</v>
      </c>
      <c r="C909" s="2" t="str">
        <f>TEXT(AutoPomodoro[[#This Row],[DATE]],"yyyy")</f>
        <v>2022</v>
      </c>
      <c r="D909" s="8">
        <v>0.8618055555555556</v>
      </c>
      <c r="E909" s="8">
        <v>0.87916666666666676</v>
      </c>
      <c r="F909" s="3">
        <f t="shared" si="76"/>
        <v>1.736111111111116E-2</v>
      </c>
      <c r="G909" t="s">
        <v>16</v>
      </c>
      <c r="H909" t="s">
        <v>1</v>
      </c>
    </row>
    <row r="910" spans="1:8" x14ac:dyDescent="0.3">
      <c r="A910" s="2">
        <v>44764</v>
      </c>
      <c r="B910" s="2" t="str">
        <f>TEXT(AutoPomodoro[[#This Row],[DATE]],"mmmm")</f>
        <v>July</v>
      </c>
      <c r="C910" s="2" t="str">
        <f>TEXT(AutoPomodoro[[#This Row],[DATE]],"yyyy")</f>
        <v>2022</v>
      </c>
      <c r="D910" s="8">
        <v>0.68194444444444446</v>
      </c>
      <c r="E910" s="8">
        <v>0.68888888888888899</v>
      </c>
      <c r="F910" s="3">
        <f t="shared" si="76"/>
        <v>6.9444444444445308E-3</v>
      </c>
      <c r="G910" t="s">
        <v>0</v>
      </c>
      <c r="H910" t="s">
        <v>1</v>
      </c>
    </row>
    <row r="911" spans="1:8" x14ac:dyDescent="0.3">
      <c r="A911" s="2">
        <v>44766</v>
      </c>
      <c r="B911" s="2" t="str">
        <f>TEXT(AutoPomodoro[[#This Row],[DATE]],"mmmm")</f>
        <v>July</v>
      </c>
      <c r="C911" s="2" t="str">
        <f>TEXT(AutoPomodoro[[#This Row],[DATE]],"yyyy")</f>
        <v>2022</v>
      </c>
      <c r="D911" s="8">
        <v>0.89583333333333337</v>
      </c>
      <c r="E911" s="8">
        <f>D911+$T$15</f>
        <v>0.91319444444444453</v>
      </c>
      <c r="F911" s="3">
        <f t="shared" si="76"/>
        <v>1.736111111111116E-2</v>
      </c>
      <c r="G911" t="s">
        <v>16</v>
      </c>
      <c r="H911" t="s">
        <v>1</v>
      </c>
    </row>
    <row r="912" spans="1:8" x14ac:dyDescent="0.3">
      <c r="A912" s="2">
        <v>44766</v>
      </c>
      <c r="B912" s="2" t="str">
        <f>TEXT(AutoPomodoro[[#This Row],[DATE]],"mmmm")</f>
        <v>July</v>
      </c>
      <c r="C912" s="2" t="str">
        <f>TEXT(AutoPomodoro[[#This Row],[DATE]],"yyyy")</f>
        <v>2022</v>
      </c>
      <c r="D912" s="8">
        <f>E911+$T$16</f>
        <v>0.91666666666666674</v>
      </c>
      <c r="E912" s="8">
        <f>D912+$T$15</f>
        <v>0.9340277777777779</v>
      </c>
      <c r="F912" s="3">
        <f t="shared" si="76"/>
        <v>1.736111111111116E-2</v>
      </c>
      <c r="G912" t="s">
        <v>5</v>
      </c>
      <c r="H912" t="s">
        <v>1</v>
      </c>
    </row>
    <row r="913" spans="1:8" x14ac:dyDescent="0.3">
      <c r="A913" s="2">
        <v>44767</v>
      </c>
      <c r="B913" s="2" t="str">
        <f>TEXT(AutoPomodoro[[#This Row],[DATE]],"mmmm")</f>
        <v>July</v>
      </c>
      <c r="C913" s="2" t="str">
        <f>TEXT(AutoPomodoro[[#This Row],[DATE]],"yyyy")</f>
        <v>2022</v>
      </c>
      <c r="D913" s="8">
        <v>0.65833333333333333</v>
      </c>
      <c r="E913" s="8">
        <v>0.67013888888888884</v>
      </c>
      <c r="F913" s="3">
        <f t="shared" si="76"/>
        <v>1.1805555555555514E-2</v>
      </c>
      <c r="G913" t="s">
        <v>5</v>
      </c>
      <c r="H913" t="s">
        <v>1</v>
      </c>
    </row>
    <row r="914" spans="1:8" x14ac:dyDescent="0.3">
      <c r="A914" s="2">
        <v>44767</v>
      </c>
      <c r="B914" s="2" t="str">
        <f>TEXT(AutoPomodoro[[#This Row],[DATE]],"mmmm")</f>
        <v>July</v>
      </c>
      <c r="C914" s="2" t="str">
        <f>TEXT(AutoPomodoro[[#This Row],[DATE]],"yyyy")</f>
        <v>2022</v>
      </c>
      <c r="D914" s="8">
        <v>0.69444444444444453</v>
      </c>
      <c r="E914" s="8">
        <v>0.71597222222222223</v>
      </c>
      <c r="F914" s="3">
        <f t="shared" si="76"/>
        <v>2.1527777777777701E-2</v>
      </c>
      <c r="G914" t="s">
        <v>5</v>
      </c>
      <c r="H914" t="s">
        <v>1</v>
      </c>
    </row>
    <row r="915" spans="1:8" x14ac:dyDescent="0.3">
      <c r="A915" s="2">
        <v>44767</v>
      </c>
      <c r="B915" s="2" t="str">
        <f>TEXT(AutoPomodoro[[#This Row],[DATE]],"mmmm")</f>
        <v>July</v>
      </c>
      <c r="C915" s="2" t="str">
        <f>TEXT(AutoPomodoro[[#This Row],[DATE]],"yyyy")</f>
        <v>2022</v>
      </c>
      <c r="D915" s="8">
        <v>0.78819444444444453</v>
      </c>
      <c r="E915" s="8">
        <v>0.81041666666666667</v>
      </c>
      <c r="F915" s="3">
        <f t="shared" si="76"/>
        <v>2.2222222222222143E-2</v>
      </c>
      <c r="G915" t="s">
        <v>17</v>
      </c>
      <c r="H915" t="s">
        <v>1</v>
      </c>
    </row>
    <row r="916" spans="1:8" x14ac:dyDescent="0.3">
      <c r="A916" s="2">
        <v>44767</v>
      </c>
      <c r="B916" s="2" t="str">
        <f>TEXT(AutoPomodoro[[#This Row],[DATE]],"mmmm")</f>
        <v>July</v>
      </c>
      <c r="C916" s="2" t="str">
        <f>TEXT(AutoPomodoro[[#This Row],[DATE]],"yyyy")</f>
        <v>2022</v>
      </c>
      <c r="D916" s="8">
        <v>0.81597222222222221</v>
      </c>
      <c r="E916" s="8">
        <f>D916+$T$15</f>
        <v>0.83333333333333337</v>
      </c>
      <c r="F916" s="3">
        <f t="shared" si="76"/>
        <v>1.736111111111116E-2</v>
      </c>
      <c r="G916" t="s">
        <v>0</v>
      </c>
      <c r="H916" t="s">
        <v>1</v>
      </c>
    </row>
    <row r="917" spans="1:8" x14ac:dyDescent="0.3">
      <c r="A917" s="2">
        <v>44768</v>
      </c>
      <c r="B917" s="2" t="str">
        <f>TEXT(AutoPomodoro[[#This Row],[DATE]],"mmmm")</f>
        <v>July</v>
      </c>
      <c r="C917" s="2" t="str">
        <f>TEXT(AutoPomodoro[[#This Row],[DATE]],"yyyy")</f>
        <v>2022</v>
      </c>
      <c r="D917" s="8">
        <v>0.47916666666666669</v>
      </c>
      <c r="E917" s="8">
        <v>0.48958333333333331</v>
      </c>
      <c r="F917" s="3">
        <f t="shared" si="76"/>
        <v>1.041666666666663E-2</v>
      </c>
      <c r="G917" t="s">
        <v>0</v>
      </c>
      <c r="H917" t="s">
        <v>1</v>
      </c>
    </row>
    <row r="918" spans="1:8" x14ac:dyDescent="0.3">
      <c r="A918" s="2">
        <v>44768</v>
      </c>
      <c r="B918" s="2" t="str">
        <f>TEXT(AutoPomodoro[[#This Row],[DATE]],"mmmm")</f>
        <v>July</v>
      </c>
      <c r="C918" s="2" t="str">
        <f>TEXT(AutoPomodoro[[#This Row],[DATE]],"yyyy")</f>
        <v>2022</v>
      </c>
      <c r="D918" s="8">
        <v>0.9916666666666667</v>
      </c>
      <c r="E918" s="8">
        <f t="shared" ref="E918:E924" si="77">D918+$T$15</f>
        <v>1.0090277777777779</v>
      </c>
      <c r="F918" s="3">
        <f t="shared" si="76"/>
        <v>1.736111111111116E-2</v>
      </c>
      <c r="G918" t="s">
        <v>5</v>
      </c>
      <c r="H918" t="s">
        <v>1</v>
      </c>
    </row>
    <row r="919" spans="1:8" x14ac:dyDescent="0.3">
      <c r="A919" s="2">
        <v>44768</v>
      </c>
      <c r="B919" s="2" t="str">
        <f>TEXT(AutoPomodoro[[#This Row],[DATE]],"mmmm")</f>
        <v>July</v>
      </c>
      <c r="C919" s="2" t="str">
        <f>TEXT(AutoPomodoro[[#This Row],[DATE]],"yyyy")</f>
        <v>2022</v>
      </c>
      <c r="D919" s="8">
        <f>E918+$T$16</f>
        <v>1.0125000000000002</v>
      </c>
      <c r="E919" s="8">
        <f t="shared" si="77"/>
        <v>1.0298611111111113</v>
      </c>
      <c r="F919" s="3">
        <f t="shared" si="76"/>
        <v>1.736111111111116E-2</v>
      </c>
      <c r="G919" t="s">
        <v>16</v>
      </c>
      <c r="H919" t="s">
        <v>1</v>
      </c>
    </row>
    <row r="920" spans="1:8" x14ac:dyDescent="0.3">
      <c r="A920" s="2">
        <v>44768</v>
      </c>
      <c r="B920" s="2" t="str">
        <f>TEXT(AutoPomodoro[[#This Row],[DATE]],"mmmm")</f>
        <v>July</v>
      </c>
      <c r="C920" s="2" t="str">
        <f>TEXT(AutoPomodoro[[#This Row],[DATE]],"yyyy")</f>
        <v>2022</v>
      </c>
      <c r="D920" s="8">
        <f>E919+$T$16</f>
        <v>1.0333333333333337</v>
      </c>
      <c r="E920" s="8">
        <f t="shared" si="77"/>
        <v>1.0506944444444448</v>
      </c>
      <c r="F920" s="3">
        <v>1.9444444444444445E-2</v>
      </c>
      <c r="G920" t="s">
        <v>16</v>
      </c>
      <c r="H920" t="s">
        <v>1</v>
      </c>
    </row>
    <row r="921" spans="1:8" x14ac:dyDescent="0.3">
      <c r="A921" s="2">
        <v>44769</v>
      </c>
      <c r="B921" s="2" t="str">
        <f>TEXT(AutoPomodoro[[#This Row],[DATE]],"mmmm")</f>
        <v>July</v>
      </c>
      <c r="C921" s="2" t="str">
        <f>TEXT(AutoPomodoro[[#This Row],[DATE]],"yyyy")</f>
        <v>2022</v>
      </c>
      <c r="D921" s="8">
        <v>0.71527777777777779</v>
      </c>
      <c r="E921" s="8">
        <f t="shared" si="77"/>
        <v>0.73263888888888895</v>
      </c>
      <c r="F921" s="3">
        <f>E921-D921</f>
        <v>1.736111111111116E-2</v>
      </c>
      <c r="G921" t="s">
        <v>17</v>
      </c>
      <c r="H921" t="s">
        <v>1</v>
      </c>
    </row>
    <row r="922" spans="1:8" x14ac:dyDescent="0.3">
      <c r="A922" s="2">
        <v>44769</v>
      </c>
      <c r="B922" s="2" t="str">
        <f>TEXT(AutoPomodoro[[#This Row],[DATE]],"mmmm")</f>
        <v>July</v>
      </c>
      <c r="C922" s="2" t="str">
        <f>TEXT(AutoPomodoro[[#This Row],[DATE]],"yyyy")</f>
        <v>2022</v>
      </c>
      <c r="D922" s="8">
        <f>E921+$T$16</f>
        <v>0.73611111111111116</v>
      </c>
      <c r="E922" s="8">
        <f t="shared" si="77"/>
        <v>0.75347222222222232</v>
      </c>
      <c r="F922" s="3">
        <f>E922-D922</f>
        <v>1.736111111111116E-2</v>
      </c>
      <c r="G922" t="s">
        <v>16</v>
      </c>
      <c r="H922" t="s">
        <v>1</v>
      </c>
    </row>
    <row r="923" spans="1:8" x14ac:dyDescent="0.3">
      <c r="A923" s="2">
        <v>44769</v>
      </c>
      <c r="B923" s="2" t="str">
        <f>TEXT(AutoPomodoro[[#This Row],[DATE]],"mmmm")</f>
        <v>July</v>
      </c>
      <c r="C923" s="2" t="str">
        <f>TEXT(AutoPomodoro[[#This Row],[DATE]],"yyyy")</f>
        <v>2022</v>
      </c>
      <c r="D923" s="8">
        <f>E922+$T$16</f>
        <v>0.75694444444444453</v>
      </c>
      <c r="E923" s="8">
        <f t="shared" si="77"/>
        <v>0.77430555555555569</v>
      </c>
      <c r="F923" s="3">
        <f>E923-D923</f>
        <v>1.736111111111116E-2</v>
      </c>
      <c r="G923" t="s">
        <v>16</v>
      </c>
      <c r="H923" t="s">
        <v>1</v>
      </c>
    </row>
    <row r="924" spans="1:8" x14ac:dyDescent="0.3">
      <c r="A924" s="2">
        <v>44769</v>
      </c>
      <c r="B924" s="2" t="str">
        <f>TEXT(AutoPomodoro[[#This Row],[DATE]],"mmmm")</f>
        <v>July</v>
      </c>
      <c r="C924" s="2" t="str">
        <f>TEXT(AutoPomodoro[[#This Row],[DATE]],"yyyy")</f>
        <v>2022</v>
      </c>
      <c r="D924" s="8">
        <v>0.77430555555555547</v>
      </c>
      <c r="E924" s="8">
        <f t="shared" si="77"/>
        <v>0.79166666666666663</v>
      </c>
      <c r="F924" s="3">
        <f>E924-D924</f>
        <v>1.736111111111116E-2</v>
      </c>
      <c r="G924" t="s">
        <v>21</v>
      </c>
      <c r="H924" t="s">
        <v>1</v>
      </c>
    </row>
    <row r="925" spans="1:8" x14ac:dyDescent="0.3">
      <c r="A925" s="2">
        <v>44769</v>
      </c>
      <c r="B925" s="2" t="str">
        <f>TEXT(AutoPomodoro[[#This Row],[DATE]],"mmmm")</f>
        <v>July</v>
      </c>
      <c r="C925" s="2" t="str">
        <f>TEXT(AutoPomodoro[[#This Row],[DATE]],"yyyy")</f>
        <v>2022</v>
      </c>
      <c r="D925" s="8">
        <v>0.79166666666666663</v>
      </c>
      <c r="E925" s="8">
        <v>0.80902777777777779</v>
      </c>
      <c r="F925" s="3">
        <v>1.7361111111111112E-2</v>
      </c>
      <c r="G925" t="s">
        <v>16</v>
      </c>
      <c r="H925" t="s">
        <v>1</v>
      </c>
    </row>
    <row r="926" spans="1:8" x14ac:dyDescent="0.3">
      <c r="A926" s="2">
        <v>44769</v>
      </c>
      <c r="B926" s="2" t="str">
        <f>TEXT(AutoPomodoro[[#This Row],[DATE]],"mmmm")</f>
        <v>July</v>
      </c>
      <c r="C926" s="2" t="str">
        <f>TEXT(AutoPomodoro[[#This Row],[DATE]],"yyyy")</f>
        <v>2022</v>
      </c>
      <c r="D926" s="8">
        <v>0.8125</v>
      </c>
      <c r="E926" s="8">
        <v>0.82986111111111116</v>
      </c>
      <c r="F926" s="3">
        <f>E926-D926</f>
        <v>1.736111111111116E-2</v>
      </c>
      <c r="G926" t="s">
        <v>16</v>
      </c>
      <c r="H926" t="s">
        <v>1</v>
      </c>
    </row>
    <row r="927" spans="1:8" x14ac:dyDescent="0.3">
      <c r="A927" s="2">
        <v>44769</v>
      </c>
      <c r="B927" s="2" t="str">
        <f>TEXT(AutoPomodoro[[#This Row],[DATE]],"mmmm")</f>
        <v>July</v>
      </c>
      <c r="C927" s="2" t="str">
        <f>TEXT(AutoPomodoro[[#This Row],[DATE]],"yyyy")</f>
        <v>2022</v>
      </c>
      <c r="D927" s="8">
        <v>0.83333333333333337</v>
      </c>
      <c r="E927" s="8">
        <f>D927+$T$15</f>
        <v>0.85069444444444453</v>
      </c>
      <c r="F927" s="3">
        <v>1.9444444444444445E-2</v>
      </c>
      <c r="G927" t="s">
        <v>16</v>
      </c>
      <c r="H927" t="s">
        <v>1</v>
      </c>
    </row>
    <row r="928" spans="1:8" x14ac:dyDescent="0.3">
      <c r="A928" s="2">
        <v>44770</v>
      </c>
      <c r="B928" s="2" t="str">
        <f>TEXT(AutoPomodoro[[#This Row],[DATE]],"mmmm")</f>
        <v>July</v>
      </c>
      <c r="C928" s="2" t="str">
        <f>TEXT(AutoPomodoro[[#This Row],[DATE]],"yyyy")</f>
        <v>2022</v>
      </c>
      <c r="D928" s="8">
        <v>0.63750000000000007</v>
      </c>
      <c r="E928" s="8">
        <v>0.67013888888888884</v>
      </c>
      <c r="F928" s="3">
        <f t="shared" ref="F928:F938" si="78">E928-D928</f>
        <v>3.2638888888888773E-2</v>
      </c>
      <c r="G928" t="s">
        <v>16</v>
      </c>
      <c r="H928" t="s">
        <v>1</v>
      </c>
    </row>
    <row r="929" spans="1:8" x14ac:dyDescent="0.3">
      <c r="A929" s="2">
        <v>44770</v>
      </c>
      <c r="B929" s="2" t="str">
        <f>TEXT(AutoPomodoro[[#This Row],[DATE]],"mmmm")</f>
        <v>July</v>
      </c>
      <c r="C929" s="2" t="str">
        <f>TEXT(AutoPomodoro[[#This Row],[DATE]],"yyyy")</f>
        <v>2022</v>
      </c>
      <c r="D929" s="8">
        <v>0.68958333333333333</v>
      </c>
      <c r="E929" s="8">
        <v>0.74930555555555556</v>
      </c>
      <c r="F929" s="3">
        <f t="shared" si="78"/>
        <v>5.9722222222222232E-2</v>
      </c>
      <c r="G929" t="s">
        <v>16</v>
      </c>
      <c r="H929" t="s">
        <v>1</v>
      </c>
    </row>
    <row r="930" spans="1:8" x14ac:dyDescent="0.3">
      <c r="A930" s="2">
        <v>44770</v>
      </c>
      <c r="B930" s="2" t="str">
        <f>TEXT(AutoPomodoro[[#This Row],[DATE]],"mmmm")</f>
        <v>July</v>
      </c>
      <c r="C930" s="2" t="str">
        <f>TEXT(AutoPomodoro[[#This Row],[DATE]],"yyyy")</f>
        <v>2022</v>
      </c>
      <c r="D930" s="8">
        <v>0.77500000000000002</v>
      </c>
      <c r="E930" s="8">
        <v>0.8222222222222223</v>
      </c>
      <c r="F930" s="3">
        <f t="shared" si="78"/>
        <v>4.7222222222222276E-2</v>
      </c>
      <c r="G930" t="s">
        <v>16</v>
      </c>
      <c r="H930" t="s">
        <v>1</v>
      </c>
    </row>
    <row r="931" spans="1:8" x14ac:dyDescent="0.3">
      <c r="A931" s="2">
        <v>44770</v>
      </c>
      <c r="B931" s="2" t="str">
        <f>TEXT(AutoPomodoro[[#This Row],[DATE]],"mmmm")</f>
        <v>July</v>
      </c>
      <c r="C931" s="2" t="str">
        <f>TEXT(AutoPomodoro[[#This Row],[DATE]],"yyyy")</f>
        <v>2022</v>
      </c>
      <c r="D931" s="8">
        <v>0.87638888888888899</v>
      </c>
      <c r="E931" s="8">
        <v>0.8930555555555556</v>
      </c>
      <c r="F931" s="3">
        <f t="shared" si="78"/>
        <v>1.6666666666666607E-2</v>
      </c>
      <c r="G931" t="s">
        <v>16</v>
      </c>
      <c r="H931" t="s">
        <v>1</v>
      </c>
    </row>
    <row r="932" spans="1:8" x14ac:dyDescent="0.3">
      <c r="A932" s="2">
        <v>44771</v>
      </c>
      <c r="B932" s="2" t="str">
        <f>TEXT(AutoPomodoro[[#This Row],[DATE]],"mmmm")</f>
        <v>July</v>
      </c>
      <c r="C932" s="2" t="str">
        <f>TEXT(AutoPomodoro[[#This Row],[DATE]],"yyyy")</f>
        <v>2022</v>
      </c>
      <c r="D932" s="8">
        <v>0.84097222222222223</v>
      </c>
      <c r="E932" s="8">
        <v>0.87361111111111101</v>
      </c>
      <c r="F932" s="3">
        <f t="shared" si="78"/>
        <v>3.2638888888888773E-2</v>
      </c>
      <c r="G932" t="s">
        <v>16</v>
      </c>
      <c r="H932" t="s">
        <v>1</v>
      </c>
    </row>
    <row r="933" spans="1:8" x14ac:dyDescent="0.3">
      <c r="A933" s="2">
        <v>44774</v>
      </c>
      <c r="B933" s="2" t="str">
        <f>TEXT(AutoPomodoro[[#This Row],[DATE]],"mmmm")</f>
        <v>August</v>
      </c>
      <c r="C933" s="2" t="str">
        <f>TEXT(AutoPomodoro[[#This Row],[DATE]],"yyyy")</f>
        <v>2022</v>
      </c>
      <c r="D933" s="8">
        <v>0.69027777777777777</v>
      </c>
      <c r="E933" s="8">
        <v>0.73749999999999993</v>
      </c>
      <c r="F933" s="3">
        <f t="shared" si="78"/>
        <v>4.7222222222222165E-2</v>
      </c>
      <c r="G933" t="s">
        <v>17</v>
      </c>
      <c r="H933" t="s">
        <v>1</v>
      </c>
    </row>
    <row r="934" spans="1:8" x14ac:dyDescent="0.3">
      <c r="A934" s="2">
        <v>44774</v>
      </c>
      <c r="B934" s="2" t="str">
        <f>TEXT(AutoPomodoro[[#This Row],[DATE]],"mmmm")</f>
        <v>August</v>
      </c>
      <c r="C934" s="2" t="str">
        <f>TEXT(AutoPomodoro[[#This Row],[DATE]],"yyyy")</f>
        <v>2022</v>
      </c>
      <c r="D934" s="8">
        <v>0.8569444444444444</v>
      </c>
      <c r="E934" s="8">
        <v>0.86805555555555547</v>
      </c>
      <c r="F934" s="3">
        <f t="shared" si="78"/>
        <v>1.1111111111111072E-2</v>
      </c>
      <c r="G934" t="s">
        <v>17</v>
      </c>
      <c r="H934" t="s">
        <v>1</v>
      </c>
    </row>
    <row r="935" spans="1:8" x14ac:dyDescent="0.3">
      <c r="A935" s="2">
        <v>44774</v>
      </c>
      <c r="B935" s="2" t="str">
        <f>TEXT(AutoPomodoro[[#This Row],[DATE]],"mmmm")</f>
        <v>August</v>
      </c>
      <c r="C935" s="2" t="str">
        <f>TEXT(AutoPomodoro[[#This Row],[DATE]],"yyyy")</f>
        <v>2022</v>
      </c>
      <c r="D935" s="8">
        <v>0.87777777777777777</v>
      </c>
      <c r="E935" s="8">
        <v>0.88958333333333339</v>
      </c>
      <c r="F935" s="3">
        <f t="shared" si="78"/>
        <v>1.1805555555555625E-2</v>
      </c>
      <c r="G935" t="s">
        <v>17</v>
      </c>
      <c r="H935" t="s">
        <v>1</v>
      </c>
    </row>
    <row r="936" spans="1:8" x14ac:dyDescent="0.3">
      <c r="A936" s="2">
        <v>44774</v>
      </c>
      <c r="B936" s="2" t="str">
        <f>TEXT(AutoPomodoro[[#This Row],[DATE]],"mmmm")</f>
        <v>August</v>
      </c>
      <c r="C936" s="2" t="str">
        <f>TEXT(AutoPomodoro[[#This Row],[DATE]],"yyyy")</f>
        <v>2022</v>
      </c>
      <c r="D936" s="8">
        <v>0.89444444444444438</v>
      </c>
      <c r="E936" s="8">
        <f>D936+$T$15</f>
        <v>0.91180555555555554</v>
      </c>
      <c r="F936" s="3">
        <f t="shared" si="78"/>
        <v>1.736111111111116E-2</v>
      </c>
      <c r="G936" t="s">
        <v>16</v>
      </c>
      <c r="H936" t="s">
        <v>1</v>
      </c>
    </row>
    <row r="937" spans="1:8" x14ac:dyDescent="0.3">
      <c r="A937" s="2">
        <v>44774</v>
      </c>
      <c r="B937" s="2" t="str">
        <f>TEXT(AutoPomodoro[[#This Row],[DATE]],"mmmm")</f>
        <v>August</v>
      </c>
      <c r="C937" s="2" t="str">
        <f>TEXT(AutoPomodoro[[#This Row],[DATE]],"yyyy")</f>
        <v>2022</v>
      </c>
      <c r="D937" s="8">
        <f>E936+$T$16</f>
        <v>0.91527777777777775</v>
      </c>
      <c r="E937" s="8">
        <f>D937+$T$15</f>
        <v>0.93263888888888891</v>
      </c>
      <c r="F937" s="3">
        <f t="shared" si="78"/>
        <v>1.736111111111116E-2</v>
      </c>
      <c r="G937" t="s">
        <v>16</v>
      </c>
      <c r="H937" t="s">
        <v>1</v>
      </c>
    </row>
    <row r="938" spans="1:8" x14ac:dyDescent="0.3">
      <c r="A938" s="2">
        <v>44774</v>
      </c>
      <c r="B938" s="2" t="str">
        <f>TEXT(AutoPomodoro[[#This Row],[DATE]],"mmmm")</f>
        <v>August</v>
      </c>
      <c r="C938" s="2" t="str">
        <f>TEXT(AutoPomodoro[[#This Row],[DATE]],"yyyy")</f>
        <v>2022</v>
      </c>
      <c r="D938" s="8">
        <f>E937+$T$16</f>
        <v>0.93611111111111112</v>
      </c>
      <c r="E938" s="8">
        <f>D938+$T$15</f>
        <v>0.95347222222222228</v>
      </c>
      <c r="F938" s="3">
        <f t="shared" si="78"/>
        <v>1.736111111111116E-2</v>
      </c>
      <c r="G938" t="s">
        <v>16</v>
      </c>
      <c r="H938" t="s">
        <v>1</v>
      </c>
    </row>
    <row r="939" spans="1:8" x14ac:dyDescent="0.3">
      <c r="A939" s="2">
        <v>44774</v>
      </c>
      <c r="B939" s="2" t="str">
        <f>TEXT(AutoPomodoro[[#This Row],[DATE]],"mmmm")</f>
        <v>August</v>
      </c>
      <c r="C939" s="2" t="str">
        <f>TEXT(AutoPomodoro[[#This Row],[DATE]],"yyyy")</f>
        <v>2022</v>
      </c>
      <c r="D939" s="8">
        <f>E938+$T$17</f>
        <v>0.95833333333333337</v>
      </c>
      <c r="E939" s="8">
        <f>D939+$T$15</f>
        <v>0.97569444444444453</v>
      </c>
      <c r="F939" s="3">
        <v>2.0833333333333332E-2</v>
      </c>
      <c r="G939" t="s">
        <v>16</v>
      </c>
      <c r="H939" t="s">
        <v>1</v>
      </c>
    </row>
    <row r="940" spans="1:8" x14ac:dyDescent="0.3">
      <c r="A940" s="2">
        <v>44775</v>
      </c>
      <c r="B940" s="2" t="str">
        <f>TEXT(AutoPomodoro[[#This Row],[DATE]],"mmmm")</f>
        <v>August</v>
      </c>
      <c r="C940" s="2" t="str">
        <f>TEXT(AutoPomodoro[[#This Row],[DATE]],"yyyy")</f>
        <v>2022</v>
      </c>
      <c r="D940" s="8">
        <v>9.6527777777777768E-2</v>
      </c>
      <c r="E940" s="8">
        <v>0.125</v>
      </c>
      <c r="F940" s="3">
        <f>E940-D940</f>
        <v>2.8472222222222232E-2</v>
      </c>
      <c r="G940" t="s">
        <v>16</v>
      </c>
      <c r="H940" t="s">
        <v>1</v>
      </c>
    </row>
    <row r="941" spans="1:8" x14ac:dyDescent="0.3">
      <c r="A941" s="2">
        <v>44775</v>
      </c>
      <c r="B941" s="2" t="str">
        <f>TEXT(AutoPomodoro[[#This Row],[DATE]],"mmmm")</f>
        <v>August</v>
      </c>
      <c r="C941" s="2" t="str">
        <f>TEXT(AutoPomodoro[[#This Row],[DATE]],"yyyy")</f>
        <v>2022</v>
      </c>
      <c r="D941" s="8">
        <v>0.61111111111111105</v>
      </c>
      <c r="E941" s="8">
        <f>D941+$T$15</f>
        <v>0.62847222222222221</v>
      </c>
      <c r="F941" s="3">
        <v>1.5972222222222224E-2</v>
      </c>
      <c r="G941" t="s">
        <v>0</v>
      </c>
      <c r="H941" t="s">
        <v>1</v>
      </c>
    </row>
    <row r="942" spans="1:8" x14ac:dyDescent="0.3">
      <c r="A942" s="2">
        <v>44775</v>
      </c>
      <c r="B942" s="2" t="str">
        <f>TEXT(AutoPomodoro[[#This Row],[DATE]],"mmmm")</f>
        <v>August</v>
      </c>
      <c r="C942" s="2" t="str">
        <f>TEXT(AutoPomodoro[[#This Row],[DATE]],"yyyy")</f>
        <v>2022</v>
      </c>
      <c r="D942" s="8">
        <f>E941+$T$16</f>
        <v>0.63194444444444442</v>
      </c>
      <c r="E942" s="8">
        <f>D942+$T$15</f>
        <v>0.64930555555555558</v>
      </c>
      <c r="F942" s="3">
        <v>5.5555555555555558E-3</v>
      </c>
      <c r="G942" t="s">
        <v>16</v>
      </c>
      <c r="H942" t="s">
        <v>1</v>
      </c>
    </row>
    <row r="943" spans="1:8" x14ac:dyDescent="0.3">
      <c r="A943" s="2">
        <v>44775</v>
      </c>
      <c r="B943" s="2" t="str">
        <f>TEXT(AutoPomodoro[[#This Row],[DATE]],"mmmm")</f>
        <v>August</v>
      </c>
      <c r="C943" s="2" t="str">
        <f>TEXT(AutoPomodoro[[#This Row],[DATE]],"yyyy")</f>
        <v>2022</v>
      </c>
      <c r="D943" s="8">
        <f>E942+$T$16</f>
        <v>0.65277777777777779</v>
      </c>
      <c r="E943" s="8">
        <f>D943+$T$15</f>
        <v>0.67013888888888895</v>
      </c>
      <c r="F943" s="3">
        <f>E943-D943</f>
        <v>1.736111111111116E-2</v>
      </c>
      <c r="G943" t="s">
        <v>16</v>
      </c>
      <c r="H943" t="s">
        <v>1</v>
      </c>
    </row>
    <row r="944" spans="1:8" x14ac:dyDescent="0.3">
      <c r="A944" s="2">
        <v>44775</v>
      </c>
      <c r="B944" s="2" t="str">
        <f>TEXT(AutoPomodoro[[#This Row],[DATE]],"mmmm")</f>
        <v>August</v>
      </c>
      <c r="C944" s="2" t="str">
        <f>TEXT(AutoPomodoro[[#This Row],[DATE]],"yyyy")</f>
        <v>2022</v>
      </c>
      <c r="D944" s="8">
        <f>E943+$T$17</f>
        <v>0.67500000000000004</v>
      </c>
      <c r="E944" s="8">
        <f>D944+$T$15</f>
        <v>0.6923611111111112</v>
      </c>
      <c r="F944" s="3">
        <f>E944-D944</f>
        <v>1.736111111111116E-2</v>
      </c>
      <c r="G944" t="s">
        <v>17</v>
      </c>
      <c r="H944" t="s">
        <v>1</v>
      </c>
    </row>
    <row r="945" spans="1:8" x14ac:dyDescent="0.3">
      <c r="A945" s="2">
        <v>44775</v>
      </c>
      <c r="B945" s="2" t="str">
        <f>TEXT(AutoPomodoro[[#This Row],[DATE]],"mmmm")</f>
        <v>August</v>
      </c>
      <c r="C945" s="2" t="str">
        <f>TEXT(AutoPomodoro[[#This Row],[DATE]],"yyyy")</f>
        <v>2022</v>
      </c>
      <c r="D945" s="8">
        <v>0.6923611111111112</v>
      </c>
      <c r="E945" s="8">
        <f>D945+M</f>
        <v>0.70277777777777783</v>
      </c>
      <c r="F945" s="3">
        <v>1.0416666666666666E-2</v>
      </c>
      <c r="G945" t="s">
        <v>21</v>
      </c>
      <c r="H945" t="s">
        <v>1</v>
      </c>
    </row>
    <row r="946" spans="1:8" x14ac:dyDescent="0.3">
      <c r="A946" s="2">
        <v>44775</v>
      </c>
      <c r="B946" s="2" t="str">
        <f>TEXT(AutoPomodoro[[#This Row],[DATE]],"mmmm")</f>
        <v>August</v>
      </c>
      <c r="C946" s="2" t="str">
        <f>TEXT(AutoPomodoro[[#This Row],[DATE]],"yyyy")</f>
        <v>2022</v>
      </c>
      <c r="D946" s="8">
        <v>0.70277777777777783</v>
      </c>
      <c r="E946" s="8">
        <f>D946+$T$15</f>
        <v>0.72013888888888899</v>
      </c>
      <c r="F946" s="3">
        <f>E946-D946</f>
        <v>1.736111111111116E-2</v>
      </c>
      <c r="G946" t="s">
        <v>16</v>
      </c>
      <c r="H946" t="s">
        <v>1</v>
      </c>
    </row>
    <row r="947" spans="1:8" x14ac:dyDescent="0.3">
      <c r="A947" s="2">
        <v>44775</v>
      </c>
      <c r="B947" s="2" t="str">
        <f>TEXT(AutoPomodoro[[#This Row],[DATE]],"mmmm")</f>
        <v>August</v>
      </c>
      <c r="C947" s="2" t="str">
        <f>TEXT(AutoPomodoro[[#This Row],[DATE]],"yyyy")</f>
        <v>2022</v>
      </c>
      <c r="D947" s="8">
        <f>E946+$T$16</f>
        <v>0.7236111111111112</v>
      </c>
      <c r="E947" s="8">
        <f>D947+$T$15</f>
        <v>0.74097222222222237</v>
      </c>
      <c r="F947" s="3">
        <v>1.8749999999999999E-2</v>
      </c>
      <c r="G947" t="s">
        <v>16</v>
      </c>
      <c r="H947" t="s">
        <v>1</v>
      </c>
    </row>
    <row r="948" spans="1:8" x14ac:dyDescent="0.3">
      <c r="A948" s="2">
        <v>44775</v>
      </c>
      <c r="B948" s="2" t="str">
        <f>TEXT(AutoPomodoro[[#This Row],[DATE]],"mmmm")</f>
        <v>August</v>
      </c>
      <c r="C948" s="2" t="str">
        <f>TEXT(AutoPomodoro[[#This Row],[DATE]],"yyyy")</f>
        <v>2022</v>
      </c>
      <c r="D948" s="8">
        <v>0.74097222222222225</v>
      </c>
      <c r="E948" s="8">
        <v>0.76388888888888884</v>
      </c>
      <c r="F948" s="3">
        <f>E948-D948</f>
        <v>2.2916666666666585E-2</v>
      </c>
      <c r="G948" t="s">
        <v>21</v>
      </c>
      <c r="H948" t="s">
        <v>1</v>
      </c>
    </row>
    <row r="949" spans="1:8" x14ac:dyDescent="0.3">
      <c r="A949" s="2">
        <v>44775</v>
      </c>
      <c r="B949" s="2" t="str">
        <f>TEXT(AutoPomodoro[[#This Row],[DATE]],"mmmm")</f>
        <v>August</v>
      </c>
      <c r="C949" s="2" t="str">
        <f>TEXT(AutoPomodoro[[#This Row],[DATE]],"yyyy")</f>
        <v>2022</v>
      </c>
      <c r="D949" s="8">
        <v>0.76388888888888884</v>
      </c>
      <c r="E949" s="8">
        <f>D949+$T$15</f>
        <v>0.78125</v>
      </c>
      <c r="F949" s="3">
        <f>E949-D949</f>
        <v>1.736111111111116E-2</v>
      </c>
      <c r="G949" t="s">
        <v>16</v>
      </c>
      <c r="H949" t="s">
        <v>1</v>
      </c>
    </row>
    <row r="950" spans="1:8" x14ac:dyDescent="0.3">
      <c r="A950" s="2">
        <v>44775</v>
      </c>
      <c r="B950" s="2" t="str">
        <f>TEXT(AutoPomodoro[[#This Row],[DATE]],"mmmm")</f>
        <v>August</v>
      </c>
      <c r="C950" s="2" t="str">
        <f>TEXT(AutoPomodoro[[#This Row],[DATE]],"yyyy")</f>
        <v>2022</v>
      </c>
      <c r="D950" s="8">
        <v>0.78472222222222221</v>
      </c>
      <c r="E950" s="8">
        <v>0.80208333333333337</v>
      </c>
      <c r="F950" s="3">
        <v>1.7361111111111112E-2</v>
      </c>
      <c r="G950" t="s">
        <v>16</v>
      </c>
      <c r="H950" t="s">
        <v>1</v>
      </c>
    </row>
    <row r="951" spans="1:8" x14ac:dyDescent="0.3">
      <c r="A951" s="2">
        <v>44775</v>
      </c>
      <c r="B951" s="2" t="str">
        <f>TEXT(AutoPomodoro[[#This Row],[DATE]],"mmmm")</f>
        <v>August</v>
      </c>
      <c r="C951" s="2" t="str">
        <f>TEXT(AutoPomodoro[[#This Row],[DATE]],"yyyy")</f>
        <v>2022</v>
      </c>
      <c r="D951" s="8">
        <v>0.80486111111111114</v>
      </c>
      <c r="E951" s="8">
        <f>D951+$T$15</f>
        <v>0.8222222222222223</v>
      </c>
      <c r="F951" s="3">
        <f>E951-D951</f>
        <v>1.736111111111116E-2</v>
      </c>
      <c r="G951" t="s">
        <v>16</v>
      </c>
      <c r="H951" t="s">
        <v>1</v>
      </c>
    </row>
    <row r="952" spans="1:8" x14ac:dyDescent="0.3">
      <c r="A952" s="2">
        <v>44776</v>
      </c>
      <c r="B952" s="2" t="str">
        <f>TEXT(AutoPomodoro[[#This Row],[DATE]],"mmmm")</f>
        <v>August</v>
      </c>
      <c r="C952" s="2" t="str">
        <f>TEXT(AutoPomodoro[[#This Row],[DATE]],"yyyy")</f>
        <v>2022</v>
      </c>
      <c r="D952" s="8">
        <v>0.59722222222222221</v>
      </c>
      <c r="E952" s="8">
        <v>0.60763888888888895</v>
      </c>
      <c r="F952" s="3">
        <v>1.1805555555555555E-2</v>
      </c>
      <c r="G952" t="s">
        <v>17</v>
      </c>
      <c r="H952" t="s">
        <v>1</v>
      </c>
    </row>
    <row r="953" spans="1:8" x14ac:dyDescent="0.3">
      <c r="A953" s="2">
        <v>44776</v>
      </c>
      <c r="B953" s="2" t="str">
        <f>TEXT(AutoPomodoro[[#This Row],[DATE]],"mmmm")</f>
        <v>August</v>
      </c>
      <c r="C953" s="2" t="str">
        <f>TEXT(AutoPomodoro[[#This Row],[DATE]],"yyyy")</f>
        <v>2022</v>
      </c>
      <c r="D953" s="8">
        <v>0.60972222222222217</v>
      </c>
      <c r="E953" s="8">
        <v>0.62013888888888891</v>
      </c>
      <c r="F953" s="3">
        <f>E953-D953</f>
        <v>1.0416666666666741E-2</v>
      </c>
      <c r="G953" t="s">
        <v>0</v>
      </c>
      <c r="H953" t="s">
        <v>1</v>
      </c>
    </row>
    <row r="954" spans="1:8" x14ac:dyDescent="0.3">
      <c r="A954" s="2">
        <v>44776</v>
      </c>
      <c r="B954" s="2" t="str">
        <f>TEXT(AutoPomodoro[[#This Row],[DATE]],"mmmm")</f>
        <v>August</v>
      </c>
      <c r="C954" s="2" t="str">
        <f>TEXT(AutoPomodoro[[#This Row],[DATE]],"yyyy")</f>
        <v>2022</v>
      </c>
      <c r="D954" s="8">
        <v>0.62013888888888891</v>
      </c>
      <c r="E954" s="8">
        <v>0.63541666666666663</v>
      </c>
      <c r="F954" s="3">
        <f>E954-D954</f>
        <v>1.5277777777777724E-2</v>
      </c>
      <c r="G954" t="s">
        <v>21</v>
      </c>
      <c r="H954" t="s">
        <v>1</v>
      </c>
    </row>
    <row r="955" spans="1:8" x14ac:dyDescent="0.3">
      <c r="A955" s="2">
        <v>44776</v>
      </c>
      <c r="B955" s="2" t="str">
        <f>TEXT(AutoPomodoro[[#This Row],[DATE]],"mmmm")</f>
        <v>August</v>
      </c>
      <c r="C955" s="2" t="str">
        <f>TEXT(AutoPomodoro[[#This Row],[DATE]],"yyyy")</f>
        <v>2022</v>
      </c>
      <c r="D955" s="8">
        <v>0.63541666666666663</v>
      </c>
      <c r="E955" s="8">
        <f>D955+$T$15</f>
        <v>0.65277777777777779</v>
      </c>
      <c r="F955" s="3">
        <v>1.5277777777777777E-2</v>
      </c>
      <c r="G955" t="s">
        <v>16</v>
      </c>
      <c r="H955" t="s">
        <v>1</v>
      </c>
    </row>
    <row r="956" spans="1:8" x14ac:dyDescent="0.3">
      <c r="A956" s="2">
        <v>44776</v>
      </c>
      <c r="B956" s="2" t="str">
        <f>TEXT(AutoPomodoro[[#This Row],[DATE]],"mmmm")</f>
        <v>August</v>
      </c>
      <c r="C956" s="2" t="str">
        <f>TEXT(AutoPomodoro[[#This Row],[DATE]],"yyyy")</f>
        <v>2022</v>
      </c>
      <c r="D956" s="8">
        <f>E955+$T$16</f>
        <v>0.65625</v>
      </c>
      <c r="E956" s="8">
        <f>D956+$T$15</f>
        <v>0.67361111111111116</v>
      </c>
      <c r="F956" s="3">
        <f>E956-D956</f>
        <v>1.736111111111116E-2</v>
      </c>
      <c r="G956" t="s">
        <v>16</v>
      </c>
      <c r="H956" t="s">
        <v>1</v>
      </c>
    </row>
    <row r="957" spans="1:8" x14ac:dyDescent="0.3">
      <c r="A957" s="2">
        <v>44776</v>
      </c>
      <c r="B957" s="2" t="str">
        <f>TEXT(AutoPomodoro[[#This Row],[DATE]],"mmmm")</f>
        <v>August</v>
      </c>
      <c r="C957" s="2" t="str">
        <f>TEXT(AutoPomodoro[[#This Row],[DATE]],"yyyy")</f>
        <v>2022</v>
      </c>
      <c r="D957" s="8">
        <f>E956+$T$16</f>
        <v>0.67708333333333337</v>
      </c>
      <c r="E957" s="8">
        <v>0.70138888888888884</v>
      </c>
      <c r="F957" s="3">
        <v>2.5694444444444447E-2</v>
      </c>
      <c r="G957" t="s">
        <v>16</v>
      </c>
      <c r="H957" t="s">
        <v>1</v>
      </c>
    </row>
    <row r="958" spans="1:8" x14ac:dyDescent="0.3">
      <c r="A958" s="2">
        <v>44777</v>
      </c>
      <c r="B958" s="2" t="str">
        <f>TEXT(AutoPomodoro[[#This Row],[DATE]],"mmmm")</f>
        <v>August</v>
      </c>
      <c r="C958" s="2" t="str">
        <f>TEXT(AutoPomodoro[[#This Row],[DATE]],"yyyy")</f>
        <v>2022</v>
      </c>
      <c r="D958" s="8">
        <v>0.98819444444444438</v>
      </c>
      <c r="E958" s="8">
        <v>1</v>
      </c>
      <c r="F958" s="3">
        <f>E958-D958</f>
        <v>1.1805555555555625E-2</v>
      </c>
      <c r="G958" t="s">
        <v>17</v>
      </c>
      <c r="H958" t="s">
        <v>1</v>
      </c>
    </row>
    <row r="959" spans="1:8" x14ac:dyDescent="0.3">
      <c r="A959" s="2">
        <v>44777</v>
      </c>
      <c r="B959" s="2" t="str">
        <f>TEXT(AutoPomodoro[[#This Row],[DATE]],"mmmm")</f>
        <v>August</v>
      </c>
      <c r="C959" s="2" t="str">
        <f>TEXT(AutoPomodoro[[#This Row],[DATE]],"yyyy")</f>
        <v>2022</v>
      </c>
      <c r="D959" s="8">
        <v>2.0833333333333333E-3</v>
      </c>
      <c r="E959" s="8">
        <f>D959+$T$15</f>
        <v>1.9444444444444445E-2</v>
      </c>
      <c r="F959" s="3">
        <f>E959-D959</f>
        <v>1.7361111111111112E-2</v>
      </c>
      <c r="G959" t="s">
        <v>16</v>
      </c>
      <c r="H959" t="s">
        <v>1</v>
      </c>
    </row>
    <row r="960" spans="1:8" x14ac:dyDescent="0.3">
      <c r="A960" s="2">
        <v>44777</v>
      </c>
      <c r="B960" s="2" t="str">
        <f>TEXT(AutoPomodoro[[#This Row],[DATE]],"mmmm")</f>
        <v>August</v>
      </c>
      <c r="C960" s="2" t="str">
        <f>TEXT(AutoPomodoro[[#This Row],[DATE]],"yyyy")</f>
        <v>2022</v>
      </c>
      <c r="D960" s="8">
        <f>E959+$T$16</f>
        <v>2.2916666666666669E-2</v>
      </c>
      <c r="E960" s="8">
        <f>D960+$T$15</f>
        <v>4.027777777777778E-2</v>
      </c>
      <c r="F960" s="3">
        <f>E960-D960</f>
        <v>1.7361111111111112E-2</v>
      </c>
      <c r="G960" t="s">
        <v>16</v>
      </c>
      <c r="H960" t="s">
        <v>1</v>
      </c>
    </row>
    <row r="961" spans="1:8" x14ac:dyDescent="0.3">
      <c r="A961" s="2">
        <v>44777</v>
      </c>
      <c r="B961" s="2" t="str">
        <f>TEXT(AutoPomodoro[[#This Row],[DATE]],"mmmm")</f>
        <v>August</v>
      </c>
      <c r="C961" s="2" t="str">
        <f>TEXT(AutoPomodoro[[#This Row],[DATE]],"yyyy")</f>
        <v>2022</v>
      </c>
      <c r="D961" s="8">
        <f>E960+$T$16</f>
        <v>4.3750000000000004E-2</v>
      </c>
      <c r="E961" s="8">
        <f>D961+$T$15</f>
        <v>6.1111111111111116E-2</v>
      </c>
      <c r="F961" s="3">
        <v>2.8472222222222222E-2</v>
      </c>
      <c r="G961" t="s">
        <v>16</v>
      </c>
      <c r="H961" t="s">
        <v>1</v>
      </c>
    </row>
    <row r="962" spans="1:8" x14ac:dyDescent="0.3">
      <c r="A962" s="2">
        <v>44778</v>
      </c>
      <c r="B962" s="2" t="str">
        <f>TEXT(AutoPomodoro[[#This Row],[DATE]],"mmmm")</f>
        <v>August</v>
      </c>
      <c r="C962" s="2" t="str">
        <f>TEXT(AutoPomodoro[[#This Row],[DATE]],"yyyy")</f>
        <v>2022</v>
      </c>
      <c r="D962" s="8">
        <v>0.1013888888888889</v>
      </c>
      <c r="E962" s="8">
        <v>0.11875000000000001</v>
      </c>
      <c r="F962" s="3">
        <v>1.8055555555555557E-2</v>
      </c>
      <c r="G962" t="s">
        <v>16</v>
      </c>
      <c r="H962" t="s">
        <v>1</v>
      </c>
    </row>
    <row r="963" spans="1:8" x14ac:dyDescent="0.3">
      <c r="A963" s="2">
        <v>44778</v>
      </c>
      <c r="B963" s="2" t="str">
        <f>TEXT(AutoPomodoro[[#This Row],[DATE]],"mmmm")</f>
        <v>August</v>
      </c>
      <c r="C963" s="2" t="str">
        <f>TEXT(AutoPomodoro[[#This Row],[DATE]],"yyyy")</f>
        <v>2022</v>
      </c>
      <c r="D963" s="8">
        <v>0.60763888888888895</v>
      </c>
      <c r="E963" s="8">
        <v>0.61805555555555558</v>
      </c>
      <c r="F963" s="3">
        <f>E963-D963</f>
        <v>1.041666666666663E-2</v>
      </c>
      <c r="G963" t="s">
        <v>0</v>
      </c>
      <c r="H963" t="s">
        <v>1</v>
      </c>
    </row>
    <row r="964" spans="1:8" x14ac:dyDescent="0.3">
      <c r="A964" s="2">
        <v>44778</v>
      </c>
      <c r="B964" s="2" t="str">
        <f>TEXT(AutoPomodoro[[#This Row],[DATE]],"mmmm")</f>
        <v>August</v>
      </c>
      <c r="C964" s="2" t="str">
        <f>TEXT(AutoPomodoro[[#This Row],[DATE]],"yyyy")</f>
        <v>2022</v>
      </c>
      <c r="D964" s="8">
        <v>0.62013888888888891</v>
      </c>
      <c r="E964" s="8">
        <f>D964+$T$15</f>
        <v>0.63750000000000007</v>
      </c>
      <c r="F964" s="3">
        <f>E964-D964</f>
        <v>1.736111111111116E-2</v>
      </c>
      <c r="G964" t="s">
        <v>16</v>
      </c>
      <c r="H964" t="s">
        <v>1</v>
      </c>
    </row>
    <row r="965" spans="1:8" x14ac:dyDescent="0.3">
      <c r="A965" s="2">
        <v>44778</v>
      </c>
      <c r="B965" s="2" t="str">
        <f>TEXT(AutoPomodoro[[#This Row],[DATE]],"mmmm")</f>
        <v>August</v>
      </c>
      <c r="C965" s="2" t="str">
        <f>TEXT(AutoPomodoro[[#This Row],[DATE]],"yyyy")</f>
        <v>2022</v>
      </c>
      <c r="D965" s="8">
        <f>E964+$T$16</f>
        <v>0.64097222222222228</v>
      </c>
      <c r="E965" s="8">
        <f>D965+$T$15</f>
        <v>0.65833333333333344</v>
      </c>
      <c r="F965" s="3">
        <f>E965-D965</f>
        <v>1.736111111111116E-2</v>
      </c>
      <c r="G965" t="s">
        <v>16</v>
      </c>
      <c r="H965" t="s">
        <v>1</v>
      </c>
    </row>
    <row r="966" spans="1:8" x14ac:dyDescent="0.3">
      <c r="A966" s="2">
        <v>44778</v>
      </c>
      <c r="B966" s="2" t="str">
        <f>TEXT(AutoPomodoro[[#This Row],[DATE]],"mmmm")</f>
        <v>August</v>
      </c>
      <c r="C966" s="2" t="str">
        <f>TEXT(AutoPomodoro[[#This Row],[DATE]],"yyyy")</f>
        <v>2022</v>
      </c>
      <c r="D966" s="8">
        <f>E965+$T$16</f>
        <v>0.66180555555555565</v>
      </c>
      <c r="E966" s="8">
        <f>D966+$T$15</f>
        <v>0.67916666666666681</v>
      </c>
      <c r="F966" s="3">
        <f>E966-D966</f>
        <v>1.736111111111116E-2</v>
      </c>
      <c r="G966" t="s">
        <v>16</v>
      </c>
      <c r="H966" t="s">
        <v>1</v>
      </c>
    </row>
    <row r="967" spans="1:8" x14ac:dyDescent="0.3">
      <c r="A967" s="2">
        <v>44778</v>
      </c>
      <c r="B967" s="2" t="str">
        <f>TEXT(AutoPomodoro[[#This Row],[DATE]],"mmmm")</f>
        <v>August</v>
      </c>
      <c r="C967" s="2" t="str">
        <f>TEXT(AutoPomodoro[[#This Row],[DATE]],"yyyy")</f>
        <v>2022</v>
      </c>
      <c r="D967" s="8">
        <f>E966+$T$17</f>
        <v>0.6840277777777779</v>
      </c>
      <c r="E967" s="8">
        <f>D967+$T$15</f>
        <v>0.70138888888888906</v>
      </c>
      <c r="F967" s="3">
        <v>1.9444444444444445E-2</v>
      </c>
      <c r="G967" t="s">
        <v>16</v>
      </c>
      <c r="H967" t="s">
        <v>1</v>
      </c>
    </row>
    <row r="968" spans="1:8" x14ac:dyDescent="0.3">
      <c r="A968" s="2">
        <v>44778</v>
      </c>
      <c r="B968" s="2" t="str">
        <f>TEXT(AutoPomodoro[[#This Row],[DATE]],"mmmm")</f>
        <v>August</v>
      </c>
      <c r="C968" s="2" t="str">
        <f>TEXT(AutoPomodoro[[#This Row],[DATE]],"yyyy")</f>
        <v>2022</v>
      </c>
      <c r="D968" s="8">
        <v>0.70138888888888906</v>
      </c>
      <c r="E968" s="8">
        <v>0.72569444444444453</v>
      </c>
      <c r="F968" s="3">
        <v>2.4305555555555556E-2</v>
      </c>
      <c r="G968" t="s">
        <v>21</v>
      </c>
      <c r="H968" t="s">
        <v>1</v>
      </c>
    </row>
    <row r="969" spans="1:8" x14ac:dyDescent="0.3">
      <c r="A969" s="2">
        <v>44778</v>
      </c>
      <c r="B969" s="2" t="str">
        <f>TEXT(AutoPomodoro[[#This Row],[DATE]],"mmmm")</f>
        <v>August</v>
      </c>
      <c r="C969" s="2" t="str">
        <f>TEXT(AutoPomodoro[[#This Row],[DATE]],"yyyy")</f>
        <v>2022</v>
      </c>
      <c r="D969" s="8">
        <v>0.72569444444444453</v>
      </c>
      <c r="E969" s="8">
        <f>D969+$T$15</f>
        <v>0.74305555555555569</v>
      </c>
      <c r="F969" s="3">
        <f>E969-D969</f>
        <v>1.736111111111116E-2</v>
      </c>
      <c r="G969" t="s">
        <v>16</v>
      </c>
      <c r="H969" t="s">
        <v>1</v>
      </c>
    </row>
    <row r="970" spans="1:8" x14ac:dyDescent="0.3">
      <c r="A970" s="2">
        <v>44778</v>
      </c>
      <c r="B970" s="2" t="str">
        <f>TEXT(AutoPomodoro[[#This Row],[DATE]],"mmmm")</f>
        <v>August</v>
      </c>
      <c r="C970" s="2" t="str">
        <f>TEXT(AutoPomodoro[[#This Row],[DATE]],"yyyy")</f>
        <v>2022</v>
      </c>
      <c r="D970" s="8">
        <f>E969+$T$16</f>
        <v>0.7465277777777779</v>
      </c>
      <c r="E970" s="8">
        <f>D970+$T$15</f>
        <v>0.76388888888888906</v>
      </c>
      <c r="F970" s="3">
        <f>E970-D970</f>
        <v>1.736111111111116E-2</v>
      </c>
      <c r="G970" t="s">
        <v>16</v>
      </c>
      <c r="H970" t="s">
        <v>1</v>
      </c>
    </row>
    <row r="971" spans="1:8" x14ac:dyDescent="0.3">
      <c r="A971" s="2">
        <v>44778</v>
      </c>
      <c r="B971" s="2" t="str">
        <f>TEXT(AutoPomodoro[[#This Row],[DATE]],"mmmm")</f>
        <v>August</v>
      </c>
      <c r="C971" s="2" t="str">
        <f>TEXT(AutoPomodoro[[#This Row],[DATE]],"yyyy")</f>
        <v>2022</v>
      </c>
      <c r="D971" s="8">
        <f>E970+$T$16</f>
        <v>0.76736111111111127</v>
      </c>
      <c r="E971" s="8">
        <f>D971+$T$15</f>
        <v>0.78472222222222243</v>
      </c>
      <c r="F971" s="3">
        <f>E971-D971</f>
        <v>1.736111111111116E-2</v>
      </c>
      <c r="G971" t="s">
        <v>16</v>
      </c>
      <c r="H971" t="s">
        <v>1</v>
      </c>
    </row>
    <row r="972" spans="1:8" x14ac:dyDescent="0.3">
      <c r="A972" s="2">
        <v>44778</v>
      </c>
      <c r="B972" s="2" t="str">
        <f>TEXT(AutoPomodoro[[#This Row],[DATE]],"mmmm")</f>
        <v>August</v>
      </c>
      <c r="C972" s="2" t="str">
        <f>TEXT(AutoPomodoro[[#This Row],[DATE]],"yyyy")</f>
        <v>2022</v>
      </c>
      <c r="D972" s="8">
        <f>E971+$T$17</f>
        <v>0.78958333333333353</v>
      </c>
      <c r="E972" s="8">
        <f>D972+$T$15</f>
        <v>0.80694444444444469</v>
      </c>
      <c r="F972" s="3">
        <f>E972-D972</f>
        <v>1.736111111111116E-2</v>
      </c>
      <c r="G972" t="s">
        <v>16</v>
      </c>
      <c r="H972" t="s">
        <v>1</v>
      </c>
    </row>
    <row r="973" spans="1:8" x14ac:dyDescent="0.3">
      <c r="A973" s="2">
        <v>44778</v>
      </c>
      <c r="B973" s="2" t="str">
        <f>TEXT(AutoPomodoro[[#This Row],[DATE]],"mmmm")</f>
        <v>August</v>
      </c>
      <c r="C973" s="2" t="str">
        <f>TEXT(AutoPomodoro[[#This Row],[DATE]],"yyyy")</f>
        <v>2022</v>
      </c>
      <c r="D973" s="8">
        <v>0.81180555555555556</v>
      </c>
      <c r="E973" s="8">
        <f>D973+$T$15</f>
        <v>0.82916666666666672</v>
      </c>
      <c r="F973" s="3">
        <v>2.013888888888889E-2</v>
      </c>
      <c r="G973" t="s">
        <v>16</v>
      </c>
      <c r="H973" t="s">
        <v>1</v>
      </c>
    </row>
    <row r="974" spans="1:8" x14ac:dyDescent="0.3">
      <c r="A974" s="2">
        <v>44782</v>
      </c>
      <c r="B974" s="2" t="str">
        <f>TEXT(AutoPomodoro[[#This Row],[DATE]],"mmmm")</f>
        <v>August</v>
      </c>
      <c r="C974" s="2" t="str">
        <f>TEXT(AutoPomodoro[[#This Row],[DATE]],"yyyy")</f>
        <v>2022</v>
      </c>
      <c r="D974" s="8">
        <v>0.75347222222222221</v>
      </c>
      <c r="E974" s="8">
        <v>0.7729166666666667</v>
      </c>
      <c r="F974" s="3">
        <f>E974-D974</f>
        <v>1.9444444444444486E-2</v>
      </c>
      <c r="G974" t="s">
        <v>17</v>
      </c>
      <c r="H974" t="s">
        <v>1</v>
      </c>
    </row>
    <row r="975" spans="1:8" x14ac:dyDescent="0.3">
      <c r="A975" s="2">
        <v>44782</v>
      </c>
      <c r="B975" s="2" t="str">
        <f>TEXT(AutoPomodoro[[#This Row],[DATE]],"mmmm")</f>
        <v>August</v>
      </c>
      <c r="C975" s="2" t="str">
        <f>TEXT(AutoPomodoro[[#This Row],[DATE]],"yyyy")</f>
        <v>2022</v>
      </c>
      <c r="D975" s="8">
        <v>0.77638888888888891</v>
      </c>
      <c r="E975" s="8">
        <v>0.78680555555555554</v>
      </c>
      <c r="F975" s="3">
        <v>6.9444444444444441E-3</v>
      </c>
      <c r="G975" t="s">
        <v>0</v>
      </c>
      <c r="H975" t="s">
        <v>1</v>
      </c>
    </row>
    <row r="976" spans="1:8" x14ac:dyDescent="0.3">
      <c r="A976" s="2">
        <v>44782</v>
      </c>
      <c r="B976" s="2" t="str">
        <f>TEXT(AutoPomodoro[[#This Row],[DATE]],"mmmm")</f>
        <v>August</v>
      </c>
      <c r="C976" s="2" t="str">
        <f>TEXT(AutoPomodoro[[#This Row],[DATE]],"yyyy")</f>
        <v>2022</v>
      </c>
      <c r="D976" s="8">
        <v>0.79166666666666663</v>
      </c>
      <c r="E976" s="8">
        <f>D976+$T$15</f>
        <v>0.80902777777777779</v>
      </c>
      <c r="F976" s="3">
        <f t="shared" ref="F976:F989" si="79">E976-D976</f>
        <v>1.736111111111116E-2</v>
      </c>
      <c r="G976" t="s">
        <v>16</v>
      </c>
      <c r="H976" t="s">
        <v>1</v>
      </c>
    </row>
    <row r="977" spans="1:8" x14ac:dyDescent="0.3">
      <c r="A977" s="2">
        <v>44784</v>
      </c>
      <c r="B977" s="2" t="str">
        <f>TEXT(AutoPomodoro[[#This Row],[DATE]],"mmmm")</f>
        <v>August</v>
      </c>
      <c r="C977" s="2" t="str">
        <f>TEXT(AutoPomodoro[[#This Row],[DATE]],"yyyy")</f>
        <v>2022</v>
      </c>
      <c r="D977" s="8">
        <v>0.89583333333333337</v>
      </c>
      <c r="E977" s="8">
        <v>0.93194444444444446</v>
      </c>
      <c r="F977" s="3">
        <f t="shared" si="79"/>
        <v>3.6111111111111094E-2</v>
      </c>
      <c r="G977" t="s">
        <v>16</v>
      </c>
      <c r="H977" t="s">
        <v>1</v>
      </c>
    </row>
    <row r="978" spans="1:8" x14ac:dyDescent="0.3">
      <c r="A978" s="2">
        <v>44784</v>
      </c>
      <c r="B978" s="2" t="str">
        <f>TEXT(AutoPomodoro[[#This Row],[DATE]],"mmmm")</f>
        <v>August</v>
      </c>
      <c r="C978" s="2" t="str">
        <f>TEXT(AutoPomodoro[[#This Row],[DATE]],"yyyy")</f>
        <v>2022</v>
      </c>
      <c r="D978" s="8">
        <v>0.94444444444444453</v>
      </c>
      <c r="E978" s="8">
        <v>0.99722222222222223</v>
      </c>
      <c r="F978" s="3">
        <f t="shared" si="79"/>
        <v>5.2777777777777701E-2</v>
      </c>
      <c r="G978" t="s">
        <v>16</v>
      </c>
      <c r="H978" t="s">
        <v>1</v>
      </c>
    </row>
    <row r="979" spans="1:8" x14ac:dyDescent="0.3">
      <c r="A979" s="2">
        <v>44785</v>
      </c>
      <c r="B979" s="2" t="str">
        <f>TEXT(AutoPomodoro[[#This Row],[DATE]],"mmmm")</f>
        <v>August</v>
      </c>
      <c r="C979" s="2" t="str">
        <f>TEXT(AutoPomodoro[[#This Row],[DATE]],"yyyy")</f>
        <v>2022</v>
      </c>
      <c r="D979" s="8">
        <v>0.50347222222222221</v>
      </c>
      <c r="E979" s="8">
        <v>0.52847222222222223</v>
      </c>
      <c r="F979" s="3">
        <f t="shared" si="79"/>
        <v>2.5000000000000022E-2</v>
      </c>
      <c r="G979" t="s">
        <v>16</v>
      </c>
      <c r="H979" t="s">
        <v>1</v>
      </c>
    </row>
    <row r="980" spans="1:8" x14ac:dyDescent="0.3">
      <c r="A980" s="2">
        <v>44785</v>
      </c>
      <c r="B980" s="2" t="str">
        <f>TEXT(AutoPomodoro[[#This Row],[DATE]],"mmmm")</f>
        <v>August</v>
      </c>
      <c r="C980" s="2" t="str">
        <f>TEXT(AutoPomodoro[[#This Row],[DATE]],"yyyy")</f>
        <v>2022</v>
      </c>
      <c r="D980" s="8">
        <v>0.73958333333333337</v>
      </c>
      <c r="E980" s="8">
        <v>0.75694444444444453</v>
      </c>
      <c r="F980" s="3">
        <f t="shared" si="79"/>
        <v>1.736111111111116E-2</v>
      </c>
      <c r="G980" t="s">
        <v>16</v>
      </c>
      <c r="H980" t="s">
        <v>1</v>
      </c>
    </row>
    <row r="981" spans="1:8" x14ac:dyDescent="0.3">
      <c r="A981" s="2">
        <v>44785</v>
      </c>
      <c r="B981" s="2" t="str">
        <f>TEXT(AutoPomodoro[[#This Row],[DATE]],"mmmm")</f>
        <v>August</v>
      </c>
      <c r="C981" s="2" t="str">
        <f>TEXT(AutoPomodoro[[#This Row],[DATE]],"yyyy")</f>
        <v>2022</v>
      </c>
      <c r="D981" s="8">
        <v>0.77638888888888891</v>
      </c>
      <c r="E981" s="8">
        <v>0.78263888888888899</v>
      </c>
      <c r="F981" s="3">
        <f t="shared" si="79"/>
        <v>6.2500000000000888E-3</v>
      </c>
      <c r="G981" t="s">
        <v>16</v>
      </c>
      <c r="H981" t="s">
        <v>1</v>
      </c>
    </row>
    <row r="982" spans="1:8" x14ac:dyDescent="0.3">
      <c r="A982" s="2">
        <v>44785</v>
      </c>
      <c r="B982" s="2" t="str">
        <f>TEXT(AutoPomodoro[[#This Row],[DATE]],"mmmm")</f>
        <v>August</v>
      </c>
      <c r="C982" s="2" t="str">
        <f>TEXT(AutoPomodoro[[#This Row],[DATE]],"yyyy")</f>
        <v>2022</v>
      </c>
      <c r="D982" s="8">
        <v>0.78333333333333333</v>
      </c>
      <c r="E982" s="8">
        <v>0.84166666666666667</v>
      </c>
      <c r="F982" s="3">
        <f t="shared" si="79"/>
        <v>5.8333333333333348E-2</v>
      </c>
      <c r="G982" t="s">
        <v>20</v>
      </c>
      <c r="H982" t="s">
        <v>1</v>
      </c>
    </row>
    <row r="983" spans="1:8" x14ac:dyDescent="0.3">
      <c r="A983" s="2">
        <v>44785</v>
      </c>
      <c r="B983" s="2" t="str">
        <f>TEXT(AutoPomodoro[[#This Row],[DATE]],"mmmm")</f>
        <v>August</v>
      </c>
      <c r="C983" s="2" t="str">
        <f>TEXT(AutoPomodoro[[#This Row],[DATE]],"yyyy")</f>
        <v>2022</v>
      </c>
      <c r="D983" s="8">
        <v>0.85486111111111107</v>
      </c>
      <c r="E983" s="8">
        <v>0.91527777777777775</v>
      </c>
      <c r="F983" s="3">
        <f t="shared" si="79"/>
        <v>6.0416666666666674E-2</v>
      </c>
      <c r="G983" t="s">
        <v>20</v>
      </c>
      <c r="H983" t="s">
        <v>1</v>
      </c>
    </row>
    <row r="984" spans="1:8" x14ac:dyDescent="0.3">
      <c r="A984" s="2">
        <v>44785</v>
      </c>
      <c r="B984" s="2" t="str">
        <f>TEXT(AutoPomodoro[[#This Row],[DATE]],"mmmm")</f>
        <v>August</v>
      </c>
      <c r="C984" s="2" t="str">
        <f>TEXT(AutoPomodoro[[#This Row],[DATE]],"yyyy")</f>
        <v>2022</v>
      </c>
      <c r="D984" s="8">
        <v>0.92361111111111116</v>
      </c>
      <c r="E984" s="8">
        <v>0.94791666666666663</v>
      </c>
      <c r="F984" s="3">
        <f t="shared" si="79"/>
        <v>2.4305555555555469E-2</v>
      </c>
      <c r="G984" t="s">
        <v>20</v>
      </c>
      <c r="H984" t="s">
        <v>1</v>
      </c>
    </row>
    <row r="985" spans="1:8" x14ac:dyDescent="0.3">
      <c r="A985" s="2">
        <v>44786</v>
      </c>
      <c r="B985" s="2" t="str">
        <f>TEXT(AutoPomodoro[[#This Row],[DATE]],"mmmm")</f>
        <v>August</v>
      </c>
      <c r="C985" s="2" t="str">
        <f>TEXT(AutoPomodoro[[#This Row],[DATE]],"yyyy")</f>
        <v>2022</v>
      </c>
      <c r="D985" s="8">
        <v>0.68055555555555547</v>
      </c>
      <c r="E985" s="8">
        <v>0.6875</v>
      </c>
      <c r="F985" s="3">
        <f t="shared" si="79"/>
        <v>6.9444444444445308E-3</v>
      </c>
      <c r="G985" t="s">
        <v>0</v>
      </c>
      <c r="H985" t="s">
        <v>1</v>
      </c>
    </row>
    <row r="986" spans="1:8" x14ac:dyDescent="0.3">
      <c r="A986" s="2">
        <v>44786</v>
      </c>
      <c r="B986" s="2" t="str">
        <f>TEXT(AutoPomodoro[[#This Row],[DATE]],"mmmm")</f>
        <v>August</v>
      </c>
      <c r="C986" s="2" t="str">
        <f>TEXT(AutoPomodoro[[#This Row],[DATE]],"yyyy")</f>
        <v>2022</v>
      </c>
      <c r="D986" s="8">
        <v>0.68958333333333333</v>
      </c>
      <c r="E986" s="8">
        <v>0.70000000000000007</v>
      </c>
      <c r="F986" s="3">
        <f t="shared" si="79"/>
        <v>1.0416666666666741E-2</v>
      </c>
      <c r="G986" t="s">
        <v>17</v>
      </c>
      <c r="H986" t="s">
        <v>1</v>
      </c>
    </row>
    <row r="987" spans="1:8" x14ac:dyDescent="0.3">
      <c r="A987" s="2">
        <v>44786</v>
      </c>
      <c r="B987" s="2" t="str">
        <f>TEXT(AutoPomodoro[[#This Row],[DATE]],"mmmm")</f>
        <v>August</v>
      </c>
      <c r="C987" s="2" t="str">
        <f>TEXT(AutoPomodoro[[#This Row],[DATE]],"yyyy")</f>
        <v>2022</v>
      </c>
      <c r="D987" s="8">
        <v>0.70208333333333339</v>
      </c>
      <c r="E987" s="8">
        <f>D987+$T$15</f>
        <v>0.71944444444444455</v>
      </c>
      <c r="F987" s="3">
        <f t="shared" si="79"/>
        <v>1.736111111111116E-2</v>
      </c>
      <c r="G987" t="s">
        <v>16</v>
      </c>
      <c r="H987" t="s">
        <v>1</v>
      </c>
    </row>
    <row r="988" spans="1:8" x14ac:dyDescent="0.3">
      <c r="A988" s="2">
        <v>44786</v>
      </c>
      <c r="B988" s="2" t="str">
        <f>TEXT(AutoPomodoro[[#This Row],[DATE]],"mmmm")</f>
        <v>August</v>
      </c>
      <c r="C988" s="2" t="str">
        <f>TEXT(AutoPomodoro[[#This Row],[DATE]],"yyyy")</f>
        <v>2022</v>
      </c>
      <c r="D988" s="8">
        <f>E987+$T$16</f>
        <v>0.72291666666666676</v>
      </c>
      <c r="E988" s="8">
        <f>D988+$T$15</f>
        <v>0.74027777777777792</v>
      </c>
      <c r="F988" s="3">
        <f t="shared" si="79"/>
        <v>1.736111111111116E-2</v>
      </c>
      <c r="G988" t="s">
        <v>16</v>
      </c>
      <c r="H988" t="s">
        <v>1</v>
      </c>
    </row>
    <row r="989" spans="1:8" x14ac:dyDescent="0.3">
      <c r="A989" s="2">
        <v>44786</v>
      </c>
      <c r="B989" s="2" t="str">
        <f>TEXT(AutoPomodoro[[#This Row],[DATE]],"mmmm")</f>
        <v>August</v>
      </c>
      <c r="C989" s="2" t="str">
        <f>TEXT(AutoPomodoro[[#This Row],[DATE]],"yyyy")</f>
        <v>2022</v>
      </c>
      <c r="D989" s="8">
        <f>E988+$T$16</f>
        <v>0.74375000000000013</v>
      </c>
      <c r="E989" s="8">
        <f>D989+$T$15</f>
        <v>0.76111111111111129</v>
      </c>
      <c r="F989" s="3">
        <f t="shared" si="79"/>
        <v>1.736111111111116E-2</v>
      </c>
      <c r="G989" t="s">
        <v>16</v>
      </c>
      <c r="H989" t="s">
        <v>1</v>
      </c>
    </row>
    <row r="990" spans="1:8" x14ac:dyDescent="0.3">
      <c r="A990" s="2">
        <v>44786</v>
      </c>
      <c r="B990" s="2" t="str">
        <f>TEXT(AutoPomodoro[[#This Row],[DATE]],"mmmm")</f>
        <v>August</v>
      </c>
      <c r="C990" s="2" t="str">
        <f>TEXT(AutoPomodoro[[#This Row],[DATE]],"yyyy")</f>
        <v>2022</v>
      </c>
      <c r="D990" s="8">
        <f>E989+$T$17</f>
        <v>0.76597222222222239</v>
      </c>
      <c r="E990" s="8">
        <f>D990+$T$15</f>
        <v>0.78333333333333355</v>
      </c>
      <c r="F990" s="3">
        <v>2.361111111111111E-2</v>
      </c>
      <c r="G990" t="s">
        <v>16</v>
      </c>
      <c r="H990" t="s">
        <v>1</v>
      </c>
    </row>
    <row r="991" spans="1:8" x14ac:dyDescent="0.3">
      <c r="A991" s="2">
        <v>44786</v>
      </c>
      <c r="B991" s="2" t="str">
        <f>TEXT(AutoPomodoro[[#This Row],[DATE]],"mmmm")</f>
        <v>August</v>
      </c>
      <c r="C991" s="2" t="str">
        <f>TEXT(AutoPomodoro[[#This Row],[DATE]],"yyyy")</f>
        <v>2022</v>
      </c>
      <c r="D991" s="8">
        <v>0.82430555555555562</v>
      </c>
      <c r="E991" s="8">
        <v>0.88402777777777775</v>
      </c>
      <c r="F991" s="3">
        <f t="shared" ref="F991:F997" si="80">E991-D991</f>
        <v>5.9722222222222121E-2</v>
      </c>
      <c r="G991" t="s">
        <v>20</v>
      </c>
      <c r="H991" t="s">
        <v>1</v>
      </c>
    </row>
    <row r="992" spans="1:8" x14ac:dyDescent="0.3">
      <c r="A992" s="2">
        <v>44787</v>
      </c>
      <c r="B992" s="2" t="str">
        <f>TEXT(AutoPomodoro[[#This Row],[DATE]],"mmmm")</f>
        <v>August</v>
      </c>
      <c r="C992" s="2" t="str">
        <f>TEXT(AutoPomodoro[[#This Row],[DATE]],"yyyy")</f>
        <v>2022</v>
      </c>
      <c r="D992" s="8">
        <v>0.7368055555555556</v>
      </c>
      <c r="E992" s="8">
        <v>0.76458333333333339</v>
      </c>
      <c r="F992" s="3">
        <f t="shared" si="80"/>
        <v>2.777777777777779E-2</v>
      </c>
      <c r="G992" t="s">
        <v>20</v>
      </c>
      <c r="H992" t="s">
        <v>1</v>
      </c>
    </row>
    <row r="993" spans="1:8" x14ac:dyDescent="0.3">
      <c r="A993" s="2">
        <v>44788</v>
      </c>
      <c r="B993" s="2" t="str">
        <f>TEXT(AutoPomodoro[[#This Row],[DATE]],"mmmm")</f>
        <v>August</v>
      </c>
      <c r="C993" s="2" t="str">
        <f>TEXT(AutoPomodoro[[#This Row],[DATE]],"yyyy")</f>
        <v>2022</v>
      </c>
      <c r="D993" s="8">
        <v>0.72430555555555554</v>
      </c>
      <c r="E993" s="8">
        <v>0.74097222222222225</v>
      </c>
      <c r="F993" s="3">
        <f t="shared" si="80"/>
        <v>1.6666666666666718E-2</v>
      </c>
      <c r="G993" t="s">
        <v>5</v>
      </c>
      <c r="H993" t="s">
        <v>1</v>
      </c>
    </row>
    <row r="994" spans="1:8" x14ac:dyDescent="0.3">
      <c r="A994" s="2">
        <v>44788</v>
      </c>
      <c r="B994" s="2" t="str">
        <f>TEXT(AutoPomodoro[[#This Row],[DATE]],"mmmm")</f>
        <v>August</v>
      </c>
      <c r="C994" s="2" t="str">
        <f>TEXT(AutoPomodoro[[#This Row],[DATE]],"yyyy")</f>
        <v>2022</v>
      </c>
      <c r="D994" s="8">
        <v>0.91666666666666663</v>
      </c>
      <c r="E994" s="8">
        <v>0.96111111111111114</v>
      </c>
      <c r="F994" s="3">
        <f t="shared" si="80"/>
        <v>4.4444444444444509E-2</v>
      </c>
      <c r="G994" t="s">
        <v>20</v>
      </c>
      <c r="H994" t="s">
        <v>1</v>
      </c>
    </row>
    <row r="995" spans="1:8" x14ac:dyDescent="0.3">
      <c r="A995" s="2">
        <v>44788</v>
      </c>
      <c r="B995" s="2" t="str">
        <f>TEXT(AutoPomodoro[[#This Row],[DATE]],"mmmm")</f>
        <v>August</v>
      </c>
      <c r="C995" s="2" t="str">
        <f>TEXT(AutoPomodoro[[#This Row],[DATE]],"yyyy")</f>
        <v>2022</v>
      </c>
      <c r="D995" s="8">
        <v>0.96666666666666667</v>
      </c>
      <c r="E995" s="8">
        <v>1.0201388888888889</v>
      </c>
      <c r="F995" s="3">
        <f t="shared" si="80"/>
        <v>5.3472222222222254E-2</v>
      </c>
      <c r="G995" t="s">
        <v>20</v>
      </c>
      <c r="H995" t="s">
        <v>1</v>
      </c>
    </row>
    <row r="996" spans="1:8" x14ac:dyDescent="0.3">
      <c r="A996" s="2">
        <v>44789</v>
      </c>
      <c r="B996" s="2" t="str">
        <f>TEXT(AutoPomodoro[[#This Row],[DATE]],"mmmm")</f>
        <v>August</v>
      </c>
      <c r="C996" s="2" t="str">
        <f>TEXT(AutoPomodoro[[#This Row],[DATE]],"yyyy")</f>
        <v>2022</v>
      </c>
      <c r="D996" s="8">
        <v>0.56597222222222221</v>
      </c>
      <c r="E996" s="8">
        <v>0.59375</v>
      </c>
      <c r="F996" s="3">
        <f t="shared" si="80"/>
        <v>2.777777777777779E-2</v>
      </c>
      <c r="G996" t="s">
        <v>20</v>
      </c>
      <c r="H996" t="s">
        <v>1</v>
      </c>
    </row>
    <row r="997" spans="1:8" x14ac:dyDescent="0.3">
      <c r="A997" s="2">
        <v>44790</v>
      </c>
      <c r="B997" s="2" t="str">
        <f>TEXT(AutoPomodoro[[#This Row],[DATE]],"mmmm")</f>
        <v>August</v>
      </c>
      <c r="C997" s="2" t="str">
        <f>TEXT(AutoPomodoro[[#This Row],[DATE]],"yyyy")</f>
        <v>2022</v>
      </c>
      <c r="D997" s="8">
        <v>0.84375</v>
      </c>
      <c r="E997" s="8">
        <v>0.88263888888888886</v>
      </c>
      <c r="F997" s="3">
        <f t="shared" si="80"/>
        <v>3.8888888888888862E-2</v>
      </c>
      <c r="G997" t="s">
        <v>20</v>
      </c>
      <c r="H997" t="s">
        <v>1</v>
      </c>
    </row>
    <row r="998" spans="1:8" x14ac:dyDescent="0.3">
      <c r="A998" s="2">
        <v>44790</v>
      </c>
      <c r="B998" s="2" t="str">
        <f>TEXT(AutoPomodoro[[#This Row],[DATE]],"mmmm")</f>
        <v>August</v>
      </c>
      <c r="C998" s="2" t="str">
        <f>TEXT(AutoPomodoro[[#This Row],[DATE]],"yyyy")</f>
        <v>2022</v>
      </c>
      <c r="D998" s="8">
        <v>0.88402777777777775</v>
      </c>
      <c r="E998" s="8">
        <v>0.96458333333333324</v>
      </c>
      <c r="F998" s="3">
        <v>0.11388888888888889</v>
      </c>
      <c r="G998" t="s">
        <v>20</v>
      </c>
      <c r="H998" t="s">
        <v>1</v>
      </c>
    </row>
    <row r="999" spans="1:8" x14ac:dyDescent="0.3">
      <c r="A999" s="2">
        <v>44791</v>
      </c>
      <c r="B999" s="2" t="str">
        <f>TEXT(AutoPomodoro[[#This Row],[DATE]],"mmmm")</f>
        <v>August</v>
      </c>
      <c r="C999" s="2" t="str">
        <f>TEXT(AutoPomodoro[[#This Row],[DATE]],"yyyy")</f>
        <v>2022</v>
      </c>
      <c r="D999" s="8">
        <v>0.13541666666666666</v>
      </c>
      <c r="E999" s="8">
        <v>0.19375000000000001</v>
      </c>
      <c r="F999" s="3">
        <f>E999-D999</f>
        <v>5.8333333333333348E-2</v>
      </c>
      <c r="G999" t="s">
        <v>20</v>
      </c>
      <c r="H999" t="s">
        <v>1</v>
      </c>
    </row>
    <row r="1000" spans="1:8" x14ac:dyDescent="0.3">
      <c r="A1000" s="2">
        <v>44791</v>
      </c>
      <c r="B1000" s="2" t="str">
        <f>TEXT(AutoPomodoro[[#This Row],[DATE]],"mmmm")</f>
        <v>August</v>
      </c>
      <c r="C1000" s="2" t="str">
        <f>TEXT(AutoPomodoro[[#This Row],[DATE]],"yyyy")</f>
        <v>2022</v>
      </c>
      <c r="D1000" s="8">
        <v>0.78819444444444453</v>
      </c>
      <c r="E1000" s="8">
        <v>0.84583333333333333</v>
      </c>
      <c r="F1000" s="3">
        <f>E1000-D1000</f>
        <v>5.7638888888888795E-2</v>
      </c>
      <c r="G1000" t="s">
        <v>20</v>
      </c>
      <c r="H1000" t="s">
        <v>1</v>
      </c>
    </row>
    <row r="1001" spans="1:8" x14ac:dyDescent="0.3">
      <c r="A1001" s="2">
        <v>44791</v>
      </c>
      <c r="B1001" s="2" t="str">
        <f>TEXT(AutoPomodoro[[#This Row],[DATE]],"mmmm")</f>
        <v>August</v>
      </c>
      <c r="C1001" s="2" t="str">
        <f>TEXT(AutoPomodoro[[#This Row],[DATE]],"yyyy")</f>
        <v>2022</v>
      </c>
      <c r="D1001" s="8">
        <v>0.85277777777777775</v>
      </c>
      <c r="E1001" s="8">
        <v>0.86319444444444438</v>
      </c>
      <c r="F1001" s="3">
        <v>7.6388888888888895E-2</v>
      </c>
      <c r="G1001" t="s">
        <v>20</v>
      </c>
      <c r="H1001" t="s">
        <v>1</v>
      </c>
    </row>
    <row r="1002" spans="1:8" x14ac:dyDescent="0.3">
      <c r="A1002" s="2">
        <v>44804</v>
      </c>
      <c r="B1002" s="2" t="str">
        <f>TEXT(AutoPomodoro[[#This Row],[DATE]],"mmmm")</f>
        <v>August</v>
      </c>
      <c r="C1002" s="2" t="str">
        <f>TEXT(AutoPomodoro[[#This Row],[DATE]],"yyyy")</f>
        <v>2022</v>
      </c>
      <c r="D1002" s="8">
        <v>0.68958333333333333</v>
      </c>
      <c r="E1002" s="8">
        <v>0.71944444444444444</v>
      </c>
      <c r="F1002" s="3">
        <f t="shared" ref="F1002:F1013" si="81">E1002-D1002</f>
        <v>2.9861111111111116E-2</v>
      </c>
      <c r="G1002" t="s">
        <v>5</v>
      </c>
      <c r="H1002" t="s">
        <v>1</v>
      </c>
    </row>
    <row r="1003" spans="1:8" x14ac:dyDescent="0.3">
      <c r="A1003" s="2">
        <v>44804</v>
      </c>
      <c r="B1003" s="2" t="str">
        <f>TEXT(AutoPomodoro[[#This Row],[DATE]],"mmmm")</f>
        <v>August</v>
      </c>
      <c r="C1003" s="2" t="str">
        <f>TEXT(AutoPomodoro[[#This Row],[DATE]],"yyyy")</f>
        <v>2022</v>
      </c>
      <c r="D1003" s="8">
        <v>0.72638888888888886</v>
      </c>
      <c r="E1003" s="8">
        <v>0.78472222222222221</v>
      </c>
      <c r="F1003" s="3">
        <f t="shared" si="81"/>
        <v>5.8333333333333348E-2</v>
      </c>
      <c r="G1003" t="s">
        <v>5</v>
      </c>
      <c r="H1003" t="s">
        <v>1</v>
      </c>
    </row>
    <row r="1004" spans="1:8" x14ac:dyDescent="0.3">
      <c r="A1004" s="2">
        <v>44807</v>
      </c>
      <c r="B1004" s="2" t="str">
        <f>TEXT(AutoPomodoro[[#This Row],[DATE]],"mmmm")</f>
        <v>September</v>
      </c>
      <c r="C1004" s="2" t="str">
        <f>TEXT(AutoPomodoro[[#This Row],[DATE]],"yyyy")</f>
        <v>2022</v>
      </c>
      <c r="D1004" s="8">
        <v>0.71875</v>
      </c>
      <c r="E1004" s="8">
        <f>D1004+$T$15</f>
        <v>0.73611111111111116</v>
      </c>
      <c r="F1004" s="3">
        <f t="shared" si="81"/>
        <v>1.736111111111116E-2</v>
      </c>
      <c r="G1004" t="s">
        <v>5</v>
      </c>
      <c r="H1004" t="s">
        <v>1</v>
      </c>
    </row>
    <row r="1005" spans="1:8" x14ac:dyDescent="0.3">
      <c r="A1005" s="2">
        <v>44807</v>
      </c>
      <c r="B1005" s="2" t="str">
        <f>TEXT(AutoPomodoro[[#This Row],[DATE]],"mmmm")</f>
        <v>September</v>
      </c>
      <c r="C1005" s="2" t="str">
        <f>TEXT(AutoPomodoro[[#This Row],[DATE]],"yyyy")</f>
        <v>2022</v>
      </c>
      <c r="D1005" s="8">
        <f>E1004+$T$16</f>
        <v>0.73958333333333337</v>
      </c>
      <c r="E1005" s="8">
        <f>D1005+$T$15</f>
        <v>0.75694444444444453</v>
      </c>
      <c r="F1005" s="3">
        <f t="shared" si="81"/>
        <v>1.736111111111116E-2</v>
      </c>
      <c r="G1005" t="s">
        <v>17</v>
      </c>
      <c r="H1005" t="s">
        <v>1</v>
      </c>
    </row>
    <row r="1006" spans="1:8" x14ac:dyDescent="0.3">
      <c r="A1006" s="2">
        <v>44807</v>
      </c>
      <c r="B1006" s="2" t="str">
        <f>TEXT(AutoPomodoro[[#This Row],[DATE]],"mmmm")</f>
        <v>September</v>
      </c>
      <c r="C1006" s="2" t="str">
        <f>TEXT(AutoPomodoro[[#This Row],[DATE]],"yyyy")</f>
        <v>2022</v>
      </c>
      <c r="D1006" s="8">
        <f>E1005+$T$16</f>
        <v>0.76041666666666674</v>
      </c>
      <c r="E1006" s="8">
        <f>D1006+$T$15</f>
        <v>0.7777777777777779</v>
      </c>
      <c r="F1006" s="3">
        <f t="shared" si="81"/>
        <v>1.736111111111116E-2</v>
      </c>
      <c r="G1006" t="s">
        <v>16</v>
      </c>
      <c r="H1006" t="s">
        <v>1</v>
      </c>
    </row>
    <row r="1007" spans="1:8" x14ac:dyDescent="0.3">
      <c r="A1007" s="2">
        <v>44807</v>
      </c>
      <c r="B1007" s="2" t="str">
        <f>TEXT(AutoPomodoro[[#This Row],[DATE]],"mmmm")</f>
        <v>September</v>
      </c>
      <c r="C1007" s="2" t="str">
        <f>TEXT(AutoPomodoro[[#This Row],[DATE]],"yyyy")</f>
        <v>2022</v>
      </c>
      <c r="D1007" s="8">
        <f>E1006+$T$17</f>
        <v>0.78263888888888899</v>
      </c>
      <c r="E1007" s="8">
        <f>D1007+$T$15</f>
        <v>0.80000000000000016</v>
      </c>
      <c r="F1007" s="3">
        <f t="shared" si="81"/>
        <v>1.736111111111116E-2</v>
      </c>
      <c r="G1007" t="s">
        <v>16</v>
      </c>
      <c r="H1007" t="s">
        <v>1</v>
      </c>
    </row>
    <row r="1008" spans="1:8" x14ac:dyDescent="0.3">
      <c r="A1008" s="2">
        <v>44807</v>
      </c>
      <c r="B1008" s="2" t="str">
        <f>TEXT(AutoPomodoro[[#This Row],[DATE]],"mmmm")</f>
        <v>September</v>
      </c>
      <c r="C1008" s="2" t="str">
        <f>TEXT(AutoPomodoro[[#This Row],[DATE]],"yyyy")</f>
        <v>2022</v>
      </c>
      <c r="D1008" s="8">
        <v>0.9</v>
      </c>
      <c r="E1008" s="8">
        <v>0.90416666666666667</v>
      </c>
      <c r="F1008" s="3">
        <f t="shared" si="81"/>
        <v>4.1666666666666519E-3</v>
      </c>
      <c r="G1008" t="s">
        <v>16</v>
      </c>
      <c r="H1008" t="s">
        <v>1</v>
      </c>
    </row>
    <row r="1009" spans="1:8" x14ac:dyDescent="0.3">
      <c r="A1009" s="2">
        <v>44807</v>
      </c>
      <c r="B1009" s="2" t="str">
        <f>TEXT(AutoPomodoro[[#This Row],[DATE]],"mmmm")</f>
        <v>September</v>
      </c>
      <c r="C1009" s="2" t="str">
        <f>TEXT(AutoPomodoro[[#This Row],[DATE]],"yyyy")</f>
        <v>2022</v>
      </c>
      <c r="D1009" s="8">
        <v>0.94305555555555554</v>
      </c>
      <c r="E1009" s="8">
        <v>0.96319444444444446</v>
      </c>
      <c r="F1009" s="3">
        <f t="shared" si="81"/>
        <v>2.0138888888888928E-2</v>
      </c>
      <c r="G1009" t="s">
        <v>16</v>
      </c>
      <c r="H1009" t="s">
        <v>1</v>
      </c>
    </row>
    <row r="1010" spans="1:8" x14ac:dyDescent="0.3">
      <c r="A1010" s="2">
        <v>44807</v>
      </c>
      <c r="B1010" s="2" t="str">
        <f>TEXT(AutoPomodoro[[#This Row],[DATE]],"mmmm")</f>
        <v>September</v>
      </c>
      <c r="C1010" s="2" t="str">
        <f>TEXT(AutoPomodoro[[#This Row],[DATE]],"yyyy")</f>
        <v>2022</v>
      </c>
      <c r="D1010" s="8">
        <v>0.98125000000000007</v>
      </c>
      <c r="E1010" s="8">
        <v>1.0138888888888888</v>
      </c>
      <c r="F1010" s="3">
        <f t="shared" si="81"/>
        <v>3.2638888888888773E-2</v>
      </c>
      <c r="G1010" t="s">
        <v>20</v>
      </c>
      <c r="H1010" t="s">
        <v>1</v>
      </c>
    </row>
    <row r="1011" spans="1:8" x14ac:dyDescent="0.3">
      <c r="A1011" s="2">
        <v>44808</v>
      </c>
      <c r="B1011" s="2" t="str">
        <f>TEXT(AutoPomodoro[[#This Row],[DATE]],"mmmm")</f>
        <v>September</v>
      </c>
      <c r="C1011" s="2" t="str">
        <f>TEXT(AutoPomodoro[[#This Row],[DATE]],"yyyy")</f>
        <v>2022</v>
      </c>
      <c r="D1011" s="8">
        <v>0.63541666666666663</v>
      </c>
      <c r="E1011" s="8">
        <f>D1011+$T$15</f>
        <v>0.65277777777777779</v>
      </c>
      <c r="F1011" s="3">
        <f t="shared" si="81"/>
        <v>1.736111111111116E-2</v>
      </c>
      <c r="G1011" t="s">
        <v>5</v>
      </c>
      <c r="H1011" t="s">
        <v>1</v>
      </c>
    </row>
    <row r="1012" spans="1:8" x14ac:dyDescent="0.3">
      <c r="A1012" s="2">
        <v>44808</v>
      </c>
      <c r="B1012" s="2" t="str">
        <f>TEXT(AutoPomodoro[[#This Row],[DATE]],"mmmm")</f>
        <v>September</v>
      </c>
      <c r="C1012" s="2" t="str">
        <f>TEXT(AutoPomodoro[[#This Row],[DATE]],"yyyy")</f>
        <v>2022</v>
      </c>
      <c r="D1012" s="8">
        <f>E1011+$T$16</f>
        <v>0.65625</v>
      </c>
      <c r="E1012" s="8">
        <f>D1012+$T$15</f>
        <v>0.67361111111111116</v>
      </c>
      <c r="F1012" s="3">
        <f t="shared" si="81"/>
        <v>1.736111111111116E-2</v>
      </c>
      <c r="G1012" t="s">
        <v>5</v>
      </c>
      <c r="H1012" t="s">
        <v>1</v>
      </c>
    </row>
    <row r="1013" spans="1:8" x14ac:dyDescent="0.3">
      <c r="A1013" s="2">
        <v>44808</v>
      </c>
      <c r="B1013" s="2" t="str">
        <f>TEXT(AutoPomodoro[[#This Row],[DATE]],"mmmm")</f>
        <v>September</v>
      </c>
      <c r="C1013" s="2" t="str">
        <f>TEXT(AutoPomodoro[[#This Row],[DATE]],"yyyy")</f>
        <v>2022</v>
      </c>
      <c r="D1013" s="8">
        <f>E1012+$T$16</f>
        <v>0.67708333333333337</v>
      </c>
      <c r="E1013" s="8">
        <f>D1013+$T$15</f>
        <v>0.69444444444444453</v>
      </c>
      <c r="F1013" s="3">
        <f t="shared" si="81"/>
        <v>1.736111111111116E-2</v>
      </c>
      <c r="G1013" t="s">
        <v>16</v>
      </c>
      <c r="H1013" t="s">
        <v>1</v>
      </c>
    </row>
    <row r="1014" spans="1:8" x14ac:dyDescent="0.3">
      <c r="A1014" s="2">
        <v>44808</v>
      </c>
      <c r="B1014" s="2" t="str">
        <f>TEXT(AutoPomodoro[[#This Row],[DATE]],"mmmm")</f>
        <v>September</v>
      </c>
      <c r="C1014" s="2" t="str">
        <f>TEXT(AutoPomodoro[[#This Row],[DATE]],"yyyy")</f>
        <v>2022</v>
      </c>
      <c r="D1014" s="8">
        <f>E1013+$T$17</f>
        <v>0.69930555555555562</v>
      </c>
      <c r="E1014" s="8">
        <f>D1014+$T$15</f>
        <v>0.71666666666666679</v>
      </c>
      <c r="F1014" s="3">
        <v>1.8749999999999999E-2</v>
      </c>
      <c r="G1014" t="s">
        <v>16</v>
      </c>
      <c r="H1014" t="s">
        <v>1</v>
      </c>
    </row>
    <row r="1015" spans="1:8" x14ac:dyDescent="0.3">
      <c r="A1015" s="2">
        <v>44808</v>
      </c>
      <c r="B1015" s="2" t="str">
        <f>TEXT(AutoPomodoro[[#This Row],[DATE]],"mmmm")</f>
        <v>September</v>
      </c>
      <c r="C1015" s="2" t="str">
        <f>TEXT(AutoPomodoro[[#This Row],[DATE]],"yyyy")</f>
        <v>2022</v>
      </c>
      <c r="D1015" s="8">
        <v>0.71666666666666679</v>
      </c>
      <c r="E1015" s="8">
        <v>0.73749999999999993</v>
      </c>
      <c r="F1015" s="3">
        <v>2.0833333333333332E-2</v>
      </c>
      <c r="G1015" t="s">
        <v>21</v>
      </c>
      <c r="H1015" t="s">
        <v>1</v>
      </c>
    </row>
    <row r="1016" spans="1:8" x14ac:dyDescent="0.3">
      <c r="A1016" s="2">
        <v>44808</v>
      </c>
      <c r="B1016" s="2" t="str">
        <f>TEXT(AutoPomodoro[[#This Row],[DATE]],"mmmm")</f>
        <v>September</v>
      </c>
      <c r="C1016" s="2" t="str">
        <f>TEXT(AutoPomodoro[[#This Row],[DATE]],"yyyy")</f>
        <v>2022</v>
      </c>
      <c r="D1016" s="8">
        <v>0.73749999999999993</v>
      </c>
      <c r="E1016" s="8">
        <f>D1016+$T$15</f>
        <v>0.75486111111111109</v>
      </c>
      <c r="F1016" s="3">
        <f>E1016-D1016</f>
        <v>1.736111111111116E-2</v>
      </c>
      <c r="G1016" t="s">
        <v>16</v>
      </c>
      <c r="H1016" t="s">
        <v>1</v>
      </c>
    </row>
    <row r="1017" spans="1:8" x14ac:dyDescent="0.3">
      <c r="A1017" s="2">
        <v>44808</v>
      </c>
      <c r="B1017" s="2" t="str">
        <f>TEXT(AutoPomodoro[[#This Row],[DATE]],"mmmm")</f>
        <v>September</v>
      </c>
      <c r="C1017" s="2" t="str">
        <f>TEXT(AutoPomodoro[[#This Row],[DATE]],"yyyy")</f>
        <v>2022</v>
      </c>
      <c r="D1017" s="8">
        <f>E1016+$T$16</f>
        <v>0.7583333333333333</v>
      </c>
      <c r="E1017" s="8">
        <f>D1017+$T$15</f>
        <v>0.77569444444444446</v>
      </c>
      <c r="F1017" s="3">
        <f>E1017-D1017</f>
        <v>1.736111111111116E-2</v>
      </c>
      <c r="G1017" t="s">
        <v>16</v>
      </c>
      <c r="H1017" t="s">
        <v>1</v>
      </c>
    </row>
    <row r="1018" spans="1:8" x14ac:dyDescent="0.3">
      <c r="A1018" s="2">
        <v>44808</v>
      </c>
      <c r="B1018" s="2" t="str">
        <f>TEXT(AutoPomodoro[[#This Row],[DATE]],"mmmm")</f>
        <v>September</v>
      </c>
      <c r="C1018" s="2" t="str">
        <f>TEXT(AutoPomodoro[[#This Row],[DATE]],"yyyy")</f>
        <v>2022</v>
      </c>
      <c r="D1018" s="8">
        <f>E1017+$T$16</f>
        <v>0.77916666666666667</v>
      </c>
      <c r="E1018" s="8">
        <f>D1018+$T$15</f>
        <v>0.79652777777777783</v>
      </c>
      <c r="F1018" s="3">
        <v>1.8749999999999999E-2</v>
      </c>
      <c r="G1018" t="s">
        <v>16</v>
      </c>
      <c r="H1018" t="s">
        <v>1</v>
      </c>
    </row>
    <row r="1019" spans="1:8" x14ac:dyDescent="0.3">
      <c r="A1019" s="2">
        <v>44809</v>
      </c>
      <c r="B1019" s="2" t="str">
        <f>TEXT(AutoPomodoro[[#This Row],[DATE]],"mmmm")</f>
        <v>September</v>
      </c>
      <c r="C1019" s="2" t="str">
        <f>TEXT(AutoPomodoro[[#This Row],[DATE]],"yyyy")</f>
        <v>2022</v>
      </c>
      <c r="D1019" s="8">
        <v>0.95208333333333339</v>
      </c>
      <c r="E1019" s="8">
        <v>0.9590277777777777</v>
      </c>
      <c r="F1019" s="3">
        <f>E1019-D1019</f>
        <v>6.9444444444443088E-3</v>
      </c>
      <c r="G1019" t="s">
        <v>0</v>
      </c>
      <c r="H1019" t="s">
        <v>1</v>
      </c>
    </row>
    <row r="1020" spans="1:8" x14ac:dyDescent="0.3">
      <c r="A1020" s="2">
        <v>44809</v>
      </c>
      <c r="B1020" s="2" t="str">
        <f>TEXT(AutoPomodoro[[#This Row],[DATE]],"mmmm")</f>
        <v>September</v>
      </c>
      <c r="C1020" s="2" t="str">
        <f>TEXT(AutoPomodoro[[#This Row],[DATE]],"yyyy")</f>
        <v>2022</v>
      </c>
      <c r="D1020" s="8">
        <v>0.96111111111111114</v>
      </c>
      <c r="E1020" s="8">
        <f>D1020+$T$15</f>
        <v>0.9784722222222223</v>
      </c>
      <c r="F1020" s="3">
        <f>E1020-D1020</f>
        <v>1.736111111111116E-2</v>
      </c>
      <c r="G1020" t="s">
        <v>16</v>
      </c>
      <c r="H1020" t="s">
        <v>1</v>
      </c>
    </row>
    <row r="1021" spans="1:8" x14ac:dyDescent="0.3">
      <c r="A1021" s="2">
        <v>44809</v>
      </c>
      <c r="B1021" s="2" t="str">
        <f>TEXT(AutoPomodoro[[#This Row],[DATE]],"mmmm")</f>
        <v>September</v>
      </c>
      <c r="C1021" s="2" t="str">
        <f>TEXT(AutoPomodoro[[#This Row],[DATE]],"yyyy")</f>
        <v>2022</v>
      </c>
      <c r="D1021" s="8">
        <f>E1020+$T$16</f>
        <v>0.98194444444444451</v>
      </c>
      <c r="E1021" s="8">
        <f>D1021+$T$15</f>
        <v>0.99930555555555567</v>
      </c>
      <c r="F1021" s="3">
        <f>E1021-D1021</f>
        <v>1.736111111111116E-2</v>
      </c>
      <c r="G1021" t="s">
        <v>16</v>
      </c>
      <c r="H1021" t="s">
        <v>1</v>
      </c>
    </row>
    <row r="1022" spans="1:8" x14ac:dyDescent="0.3">
      <c r="A1022" s="2">
        <v>44809</v>
      </c>
      <c r="B1022" s="2" t="str">
        <f>TEXT(AutoPomodoro[[#This Row],[DATE]],"mmmm")</f>
        <v>September</v>
      </c>
      <c r="C1022" s="2" t="str">
        <f>TEXT(AutoPomodoro[[#This Row],[DATE]],"yyyy")</f>
        <v>2022</v>
      </c>
      <c r="D1022" s="8">
        <f>E1021+$T$16</f>
        <v>1.002777777777778</v>
      </c>
      <c r="E1022" s="8">
        <f>D1022+$T$15</f>
        <v>1.0201388888888892</v>
      </c>
      <c r="F1022" s="3">
        <v>6.9444444444444441E-3</v>
      </c>
      <c r="G1022" t="s">
        <v>16</v>
      </c>
      <c r="H1022" t="s">
        <v>1</v>
      </c>
    </row>
    <row r="1023" spans="1:8" x14ac:dyDescent="0.3">
      <c r="A1023" s="2">
        <v>44809</v>
      </c>
      <c r="B1023" s="2" t="str">
        <f>TEXT(AutoPomodoro[[#This Row],[DATE]],"mmmm")</f>
        <v>September</v>
      </c>
      <c r="C1023" s="2" t="str">
        <f>TEXT(AutoPomodoro[[#This Row],[DATE]],"yyyy")</f>
        <v>2022</v>
      </c>
      <c r="D1023" s="8">
        <f>E1022+$T$17</f>
        <v>1.0250000000000004</v>
      </c>
      <c r="E1023" s="8">
        <f>D1023+$T$15</f>
        <v>1.0423611111111115</v>
      </c>
      <c r="F1023" s="3">
        <f t="shared" ref="F1023:F1032" si="82">E1023-D1023</f>
        <v>1.736111111111116E-2</v>
      </c>
      <c r="G1023" t="s">
        <v>16</v>
      </c>
      <c r="H1023" t="s">
        <v>2</v>
      </c>
    </row>
    <row r="1024" spans="1:8" x14ac:dyDescent="0.3">
      <c r="A1024" s="2">
        <v>44810</v>
      </c>
      <c r="B1024" s="2" t="str">
        <f>TEXT(AutoPomodoro[[#This Row],[DATE]],"mmmm")</f>
        <v>September</v>
      </c>
      <c r="C1024" s="2" t="str">
        <f>TEXT(AutoPomodoro[[#This Row],[DATE]],"yyyy")</f>
        <v>2022</v>
      </c>
      <c r="D1024" s="8">
        <v>0.60069444444444442</v>
      </c>
      <c r="E1024" s="8">
        <v>0.66041666666666665</v>
      </c>
      <c r="F1024" s="3">
        <f t="shared" si="82"/>
        <v>5.9722222222222232E-2</v>
      </c>
      <c r="G1024" t="s">
        <v>20</v>
      </c>
      <c r="H1024" t="s">
        <v>1</v>
      </c>
    </row>
    <row r="1025" spans="1:8" x14ac:dyDescent="0.3">
      <c r="A1025" s="2">
        <v>44810</v>
      </c>
      <c r="B1025" s="2" t="str">
        <f>TEXT(AutoPomodoro[[#This Row],[DATE]],"mmmm")</f>
        <v>September</v>
      </c>
      <c r="C1025" s="2" t="str">
        <f>TEXT(AutoPomodoro[[#This Row],[DATE]],"yyyy")</f>
        <v>2022</v>
      </c>
      <c r="D1025" s="8">
        <v>0.67708333333333337</v>
      </c>
      <c r="E1025" s="8">
        <v>0.69166666666666676</v>
      </c>
      <c r="F1025" s="3">
        <f t="shared" si="82"/>
        <v>1.4583333333333393E-2</v>
      </c>
      <c r="G1025" t="s">
        <v>20</v>
      </c>
      <c r="H1025" t="s">
        <v>1</v>
      </c>
    </row>
    <row r="1026" spans="1:8" x14ac:dyDescent="0.3">
      <c r="A1026" s="2">
        <v>44810</v>
      </c>
      <c r="B1026" s="2" t="str">
        <f>TEXT(AutoPomodoro[[#This Row],[DATE]],"mmmm")</f>
        <v>September</v>
      </c>
      <c r="C1026" s="2" t="str">
        <f>TEXT(AutoPomodoro[[#This Row],[DATE]],"yyyy")</f>
        <v>2022</v>
      </c>
      <c r="D1026" s="8">
        <v>0.69930555555555562</v>
      </c>
      <c r="E1026" s="8">
        <v>0.70763888888888893</v>
      </c>
      <c r="F1026" s="3">
        <f t="shared" si="82"/>
        <v>8.3333333333333037E-3</v>
      </c>
      <c r="G1026" t="s">
        <v>20</v>
      </c>
      <c r="H1026" t="s">
        <v>1</v>
      </c>
    </row>
    <row r="1027" spans="1:8" x14ac:dyDescent="0.3">
      <c r="A1027" s="2">
        <v>44810</v>
      </c>
      <c r="B1027" s="2" t="str">
        <f>TEXT(AutoPomodoro[[#This Row],[DATE]],"mmmm")</f>
        <v>September</v>
      </c>
      <c r="C1027" s="2" t="str">
        <f>TEXT(AutoPomodoro[[#This Row],[DATE]],"yyyy")</f>
        <v>2022</v>
      </c>
      <c r="D1027" s="8">
        <v>0.7090277777777777</v>
      </c>
      <c r="E1027" s="8">
        <v>0.74375000000000002</v>
      </c>
      <c r="F1027" s="3">
        <f t="shared" si="82"/>
        <v>3.4722222222222321E-2</v>
      </c>
      <c r="G1027" t="s">
        <v>16</v>
      </c>
      <c r="H1027" t="s">
        <v>1</v>
      </c>
    </row>
    <row r="1028" spans="1:8" x14ac:dyDescent="0.3">
      <c r="A1028" s="2">
        <v>44811</v>
      </c>
      <c r="B1028" s="2" t="str">
        <f>TEXT(AutoPomodoro[[#This Row],[DATE]],"mmmm")</f>
        <v>September</v>
      </c>
      <c r="C1028" s="2" t="str">
        <f>TEXT(AutoPomodoro[[#This Row],[DATE]],"yyyy")</f>
        <v>2022</v>
      </c>
      <c r="D1028" s="8">
        <v>0.70138888888888884</v>
      </c>
      <c r="E1028" s="8">
        <v>0.72361111111111109</v>
      </c>
      <c r="F1028" s="3">
        <f t="shared" si="82"/>
        <v>2.2222222222222254E-2</v>
      </c>
      <c r="G1028" t="s">
        <v>20</v>
      </c>
      <c r="H1028" t="s">
        <v>1</v>
      </c>
    </row>
    <row r="1029" spans="1:8" x14ac:dyDescent="0.3">
      <c r="A1029" s="2">
        <v>44811</v>
      </c>
      <c r="B1029" s="2" t="str">
        <f>TEXT(AutoPomodoro[[#This Row],[DATE]],"mmmm")</f>
        <v>September</v>
      </c>
      <c r="C1029" s="2" t="str">
        <f>TEXT(AutoPomodoro[[#This Row],[DATE]],"yyyy")</f>
        <v>2022</v>
      </c>
      <c r="D1029" s="8">
        <v>0.72777777777777775</v>
      </c>
      <c r="E1029" s="8">
        <v>0.75</v>
      </c>
      <c r="F1029" s="3">
        <f t="shared" si="82"/>
        <v>2.2222222222222254E-2</v>
      </c>
      <c r="G1029" t="s">
        <v>20</v>
      </c>
      <c r="H1029" t="s">
        <v>1</v>
      </c>
    </row>
    <row r="1030" spans="1:8" x14ac:dyDescent="0.3">
      <c r="A1030" s="2">
        <v>44811</v>
      </c>
      <c r="B1030" s="2" t="str">
        <f>TEXT(AutoPomodoro[[#This Row],[DATE]],"mmmm")</f>
        <v>September</v>
      </c>
      <c r="C1030" s="2" t="str">
        <f>TEXT(AutoPomodoro[[#This Row],[DATE]],"yyyy")</f>
        <v>2022</v>
      </c>
      <c r="D1030" s="8">
        <v>0.75416666666666676</v>
      </c>
      <c r="E1030" s="8">
        <v>0.76388888888888884</v>
      </c>
      <c r="F1030" s="3">
        <f t="shared" si="82"/>
        <v>9.7222222222220767E-3</v>
      </c>
      <c r="G1030" t="s">
        <v>20</v>
      </c>
      <c r="H1030" t="s">
        <v>1</v>
      </c>
    </row>
    <row r="1031" spans="1:8" x14ac:dyDescent="0.3">
      <c r="A1031" s="2">
        <v>44811</v>
      </c>
      <c r="B1031" s="2" t="str">
        <f>TEXT(AutoPomodoro[[#This Row],[DATE]],"mmmm")</f>
        <v>September</v>
      </c>
      <c r="C1031" s="2" t="str">
        <f>TEXT(AutoPomodoro[[#This Row],[DATE]],"yyyy")</f>
        <v>2022</v>
      </c>
      <c r="D1031" s="8">
        <v>0.77361111111111114</v>
      </c>
      <c r="E1031" s="8">
        <v>0.80625000000000002</v>
      </c>
      <c r="F1031" s="3">
        <f t="shared" si="82"/>
        <v>3.2638888888888884E-2</v>
      </c>
      <c r="G1031" t="s">
        <v>20</v>
      </c>
      <c r="H1031" t="s">
        <v>1</v>
      </c>
    </row>
    <row r="1032" spans="1:8" x14ac:dyDescent="0.3">
      <c r="A1032" s="2">
        <v>44812</v>
      </c>
      <c r="B1032" s="2" t="str">
        <f>TEXT(AutoPomodoro[[#This Row],[DATE]],"mmmm")</f>
        <v>September</v>
      </c>
      <c r="C1032" s="2" t="str">
        <f>TEXT(AutoPomodoro[[#This Row],[DATE]],"yyyy")</f>
        <v>2022</v>
      </c>
      <c r="D1032" s="8">
        <v>0.55972222222222223</v>
      </c>
      <c r="E1032" s="8">
        <v>0.58680555555555558</v>
      </c>
      <c r="F1032" s="3">
        <f t="shared" si="82"/>
        <v>2.7083333333333348E-2</v>
      </c>
      <c r="G1032" t="s">
        <v>20</v>
      </c>
      <c r="H1032" t="s">
        <v>1</v>
      </c>
    </row>
    <row r="1033" spans="1:8" x14ac:dyDescent="0.3">
      <c r="A1033" s="2">
        <v>44812</v>
      </c>
      <c r="B1033" s="2" t="str">
        <f>TEXT(AutoPomodoro[[#This Row],[DATE]],"mmmm")</f>
        <v>September</v>
      </c>
      <c r="C1033" s="2" t="str">
        <f>TEXT(AutoPomodoro[[#This Row],[DATE]],"yyyy")</f>
        <v>2022</v>
      </c>
      <c r="D1033" s="8">
        <v>0.59027777777777779</v>
      </c>
      <c r="E1033" s="8">
        <v>0.63402777777777775</v>
      </c>
      <c r="F1033" s="3">
        <v>5.0694444444444452E-2</v>
      </c>
      <c r="G1033" t="s">
        <v>20</v>
      </c>
      <c r="H1033" t="s">
        <v>1</v>
      </c>
    </row>
    <row r="1034" spans="1:8" x14ac:dyDescent="0.3">
      <c r="A1034" s="2">
        <v>44812</v>
      </c>
      <c r="B1034" s="2" t="str">
        <f>TEXT(AutoPomodoro[[#This Row],[DATE]],"mmmm")</f>
        <v>September</v>
      </c>
      <c r="C1034" s="2" t="str">
        <f>TEXT(AutoPomodoro[[#This Row],[DATE]],"yyyy")</f>
        <v>2022</v>
      </c>
      <c r="D1034" s="8">
        <v>0.66527777777777775</v>
      </c>
      <c r="E1034" s="8">
        <v>0.67708333333333337</v>
      </c>
      <c r="F1034" s="3">
        <f>E1034-D1034</f>
        <v>1.1805555555555625E-2</v>
      </c>
      <c r="G1034" t="s">
        <v>20</v>
      </c>
      <c r="H1034" t="s">
        <v>1</v>
      </c>
    </row>
    <row r="1035" spans="1:8" x14ac:dyDescent="0.3">
      <c r="A1035" s="2">
        <v>44812</v>
      </c>
      <c r="B1035" s="2" t="str">
        <f>TEXT(AutoPomodoro[[#This Row],[DATE]],"mmmm")</f>
        <v>September</v>
      </c>
      <c r="C1035" s="2" t="str">
        <f>TEXT(AutoPomodoro[[#This Row],[DATE]],"yyyy")</f>
        <v>2022</v>
      </c>
      <c r="D1035" s="8">
        <v>0.71319444444444446</v>
      </c>
      <c r="E1035" s="8">
        <v>0.7270833333333333</v>
      </c>
      <c r="F1035" s="3">
        <v>5.2083333333333336E-2</v>
      </c>
      <c r="G1035" t="s">
        <v>20</v>
      </c>
      <c r="H1035" t="s">
        <v>1</v>
      </c>
    </row>
    <row r="1036" spans="1:8" x14ac:dyDescent="0.3">
      <c r="A1036" s="2">
        <v>44816</v>
      </c>
      <c r="B1036" s="2" t="str">
        <f>TEXT(AutoPomodoro[[#This Row],[DATE]],"mmmm")</f>
        <v>September</v>
      </c>
      <c r="C1036" s="2" t="str">
        <f>TEXT(AutoPomodoro[[#This Row],[DATE]],"yyyy")</f>
        <v>2022</v>
      </c>
      <c r="D1036" s="8">
        <v>0.46111111111111108</v>
      </c>
      <c r="E1036" s="8">
        <v>0.49444444444444446</v>
      </c>
      <c r="F1036" s="3">
        <f t="shared" ref="F1036:F1041" si="83">E1036-D1036</f>
        <v>3.3333333333333381E-2</v>
      </c>
      <c r="G1036" t="s">
        <v>5</v>
      </c>
      <c r="H1036" t="s">
        <v>1</v>
      </c>
    </row>
    <row r="1037" spans="1:8" x14ac:dyDescent="0.3">
      <c r="A1037" s="2">
        <v>44817</v>
      </c>
      <c r="B1037" s="2" t="str">
        <f>TEXT(AutoPomodoro[[#This Row],[DATE]],"mmmm")</f>
        <v>September</v>
      </c>
      <c r="C1037" s="2" t="str">
        <f>TEXT(AutoPomodoro[[#This Row],[DATE]],"yyyy")</f>
        <v>2022</v>
      </c>
      <c r="D1037" s="8">
        <v>0.50069444444444444</v>
      </c>
      <c r="E1037" s="8">
        <v>0.5229166666666667</v>
      </c>
      <c r="F1037" s="3">
        <f t="shared" si="83"/>
        <v>2.2222222222222254E-2</v>
      </c>
      <c r="G1037" t="s">
        <v>5</v>
      </c>
      <c r="H1037" t="s">
        <v>1</v>
      </c>
    </row>
    <row r="1038" spans="1:8" x14ac:dyDescent="0.3">
      <c r="A1038" s="2">
        <v>44817</v>
      </c>
      <c r="B1038" s="2" t="str">
        <f>TEXT(AutoPomodoro[[#This Row],[DATE]],"mmmm")</f>
        <v>September</v>
      </c>
      <c r="C1038" s="2" t="str">
        <f>TEXT(AutoPomodoro[[#This Row],[DATE]],"yyyy")</f>
        <v>2022</v>
      </c>
      <c r="D1038" s="8">
        <v>0.53125</v>
      </c>
      <c r="E1038" s="8">
        <v>0.53819444444444442</v>
      </c>
      <c r="F1038" s="3">
        <f t="shared" si="83"/>
        <v>6.9444444444444198E-3</v>
      </c>
      <c r="G1038" t="s">
        <v>0</v>
      </c>
      <c r="H1038" t="s">
        <v>1</v>
      </c>
    </row>
    <row r="1039" spans="1:8" x14ac:dyDescent="0.3">
      <c r="A1039" s="2">
        <v>44817</v>
      </c>
      <c r="B1039" s="2" t="str">
        <f>TEXT(AutoPomodoro[[#This Row],[DATE]],"mmmm")</f>
        <v>September</v>
      </c>
      <c r="C1039" s="2" t="str">
        <f>TEXT(AutoPomodoro[[#This Row],[DATE]],"yyyy")</f>
        <v>2022</v>
      </c>
      <c r="D1039" s="8">
        <v>0.54027777777777775</v>
      </c>
      <c r="E1039" s="8">
        <f>D1039+$T$15</f>
        <v>0.55763888888888891</v>
      </c>
      <c r="F1039" s="3">
        <f t="shared" si="83"/>
        <v>1.736111111111116E-2</v>
      </c>
      <c r="G1039" t="s">
        <v>5</v>
      </c>
      <c r="H1039" t="s">
        <v>1</v>
      </c>
    </row>
    <row r="1040" spans="1:8" x14ac:dyDescent="0.3">
      <c r="A1040" s="2">
        <v>44817</v>
      </c>
      <c r="B1040" s="2" t="str">
        <f>TEXT(AutoPomodoro[[#This Row],[DATE]],"mmmm")</f>
        <v>September</v>
      </c>
      <c r="C1040" s="2" t="str">
        <f>TEXT(AutoPomodoro[[#This Row],[DATE]],"yyyy")</f>
        <v>2022</v>
      </c>
      <c r="D1040" s="8">
        <f>E1039+$T$16</f>
        <v>0.56111111111111112</v>
      </c>
      <c r="E1040" s="8">
        <f>D1040+$T$15</f>
        <v>0.57847222222222228</v>
      </c>
      <c r="F1040" s="3">
        <f t="shared" si="83"/>
        <v>1.736111111111116E-2</v>
      </c>
      <c r="G1040" t="s">
        <v>5</v>
      </c>
      <c r="H1040" t="s">
        <v>1</v>
      </c>
    </row>
    <row r="1041" spans="1:8" x14ac:dyDescent="0.3">
      <c r="A1041" s="2">
        <v>44817</v>
      </c>
      <c r="B1041" s="2" t="str">
        <f>TEXT(AutoPomodoro[[#This Row],[DATE]],"mmmm")</f>
        <v>September</v>
      </c>
      <c r="C1041" s="2" t="str">
        <f>TEXT(AutoPomodoro[[#This Row],[DATE]],"yyyy")</f>
        <v>2022</v>
      </c>
      <c r="D1041" s="8">
        <f>E1040+$T$16</f>
        <v>0.58194444444444449</v>
      </c>
      <c r="E1041" s="8">
        <f>D1041+$T$15</f>
        <v>0.59930555555555565</v>
      </c>
      <c r="F1041" s="3">
        <f t="shared" si="83"/>
        <v>1.736111111111116E-2</v>
      </c>
      <c r="G1041" t="s">
        <v>5</v>
      </c>
      <c r="H1041" t="s">
        <v>1</v>
      </c>
    </row>
    <row r="1042" spans="1:8" x14ac:dyDescent="0.3">
      <c r="A1042" s="2">
        <v>44817</v>
      </c>
      <c r="B1042" s="2" t="str">
        <f>TEXT(AutoPomodoro[[#This Row],[DATE]],"mmmm")</f>
        <v>September</v>
      </c>
      <c r="C1042" s="2" t="str">
        <f>TEXT(AutoPomodoro[[#This Row],[DATE]],"yyyy")</f>
        <v>2022</v>
      </c>
      <c r="D1042" s="8">
        <f>E1041+$T$17</f>
        <v>0.60416666666666674</v>
      </c>
      <c r="E1042" s="8">
        <f>D1042+$T$15</f>
        <v>0.6215277777777779</v>
      </c>
      <c r="F1042" s="3">
        <v>3.0555555555555555E-2</v>
      </c>
      <c r="G1042" t="s">
        <v>5</v>
      </c>
      <c r="H1042" t="s">
        <v>1</v>
      </c>
    </row>
    <row r="1043" spans="1:8" x14ac:dyDescent="0.3">
      <c r="A1043" s="2">
        <v>44817</v>
      </c>
      <c r="B1043" s="2" t="str">
        <f>TEXT(AutoPomodoro[[#This Row],[DATE]],"mmmm")</f>
        <v>September</v>
      </c>
      <c r="C1043" s="2" t="str">
        <f>TEXT(AutoPomodoro[[#This Row],[DATE]],"yyyy")</f>
        <v>2022</v>
      </c>
      <c r="D1043" s="8">
        <v>0.63888888888888895</v>
      </c>
      <c r="E1043" s="8">
        <v>0.64583333333333337</v>
      </c>
      <c r="F1043" s="3">
        <f>E1043-D1043</f>
        <v>6.9444444444444198E-3</v>
      </c>
      <c r="G1043" t="s">
        <v>0</v>
      </c>
      <c r="H1043" t="s">
        <v>1</v>
      </c>
    </row>
    <row r="1044" spans="1:8" x14ac:dyDescent="0.3">
      <c r="A1044" s="2">
        <v>44817</v>
      </c>
      <c r="B1044" s="2" t="str">
        <f>TEXT(AutoPomodoro[[#This Row],[DATE]],"mmmm")</f>
        <v>September</v>
      </c>
      <c r="C1044" s="2" t="str">
        <f>TEXT(AutoPomodoro[[#This Row],[DATE]],"yyyy")</f>
        <v>2022</v>
      </c>
      <c r="D1044" s="8">
        <v>0.6479166666666667</v>
      </c>
      <c r="E1044" s="8">
        <f>D1044+$T$15</f>
        <v>0.66527777777777786</v>
      </c>
      <c r="F1044" s="3">
        <f>E1044-D1044</f>
        <v>1.736111111111116E-2</v>
      </c>
      <c r="G1044" t="s">
        <v>5</v>
      </c>
      <c r="H1044" t="s">
        <v>1</v>
      </c>
    </row>
    <row r="1045" spans="1:8" x14ac:dyDescent="0.3">
      <c r="A1045" s="2">
        <v>44817</v>
      </c>
      <c r="B1045" s="2" t="str">
        <f>TEXT(AutoPomodoro[[#This Row],[DATE]],"mmmm")</f>
        <v>September</v>
      </c>
      <c r="C1045" s="2" t="str">
        <f>TEXT(AutoPomodoro[[#This Row],[DATE]],"yyyy")</f>
        <v>2022</v>
      </c>
      <c r="D1045" s="8">
        <f>E1044+$T$16</f>
        <v>0.66875000000000007</v>
      </c>
      <c r="E1045" s="8">
        <f>D1045+$T$15</f>
        <v>0.68611111111111123</v>
      </c>
      <c r="F1045" s="3">
        <f>E1045-D1045</f>
        <v>1.736111111111116E-2</v>
      </c>
      <c r="G1045" t="s">
        <v>5</v>
      </c>
      <c r="H1045" t="s">
        <v>1</v>
      </c>
    </row>
    <row r="1046" spans="1:8" x14ac:dyDescent="0.3">
      <c r="A1046" s="2">
        <v>44817</v>
      </c>
      <c r="B1046" s="2" t="str">
        <f>TEXT(AutoPomodoro[[#This Row],[DATE]],"mmmm")</f>
        <v>September</v>
      </c>
      <c r="C1046" s="2" t="str">
        <f>TEXT(AutoPomodoro[[#This Row],[DATE]],"yyyy")</f>
        <v>2022</v>
      </c>
      <c r="D1046" s="8">
        <f>E1045+$T$16</f>
        <v>0.68958333333333344</v>
      </c>
      <c r="E1046" s="8">
        <f>D1046+$T$15</f>
        <v>0.7069444444444446</v>
      </c>
      <c r="F1046" s="3">
        <f>E1046-D1046</f>
        <v>1.736111111111116E-2</v>
      </c>
      <c r="G1046" t="s">
        <v>5</v>
      </c>
      <c r="H1046" t="s">
        <v>1</v>
      </c>
    </row>
    <row r="1047" spans="1:8" x14ac:dyDescent="0.3">
      <c r="A1047" s="2">
        <v>44817</v>
      </c>
      <c r="B1047" s="2" t="str">
        <f>TEXT(AutoPomodoro[[#This Row],[DATE]],"mmmm")</f>
        <v>September</v>
      </c>
      <c r="C1047" s="2" t="str">
        <f>TEXT(AutoPomodoro[[#This Row],[DATE]],"yyyy")</f>
        <v>2022</v>
      </c>
      <c r="D1047" s="8">
        <f>E1046+$T$17</f>
        <v>0.71180555555555569</v>
      </c>
      <c r="E1047" s="8">
        <f>D1047+$T$15</f>
        <v>0.72916666666666685</v>
      </c>
      <c r="F1047" s="3">
        <v>2.0833333333333332E-2</v>
      </c>
      <c r="G1047" t="s">
        <v>5</v>
      </c>
      <c r="H1047" t="s">
        <v>1</v>
      </c>
    </row>
    <row r="1048" spans="1:8" x14ac:dyDescent="0.3">
      <c r="A1048" s="2">
        <v>44817</v>
      </c>
      <c r="B1048" s="2" t="str">
        <f>TEXT(AutoPomodoro[[#This Row],[DATE]],"mmmm")</f>
        <v>September</v>
      </c>
      <c r="C1048" s="2" t="str">
        <f>TEXT(AutoPomodoro[[#This Row],[DATE]],"yyyy")</f>
        <v>2022</v>
      </c>
      <c r="D1048" s="8">
        <v>0.72916666666666685</v>
      </c>
      <c r="E1048" s="8">
        <v>0.75</v>
      </c>
      <c r="F1048" s="3">
        <v>2.0833333333333332E-2</v>
      </c>
      <c r="G1048" t="s">
        <v>21</v>
      </c>
      <c r="H1048" t="s">
        <v>1</v>
      </c>
    </row>
    <row r="1049" spans="1:8" x14ac:dyDescent="0.3">
      <c r="A1049" s="2">
        <v>44817</v>
      </c>
      <c r="B1049" s="2" t="str">
        <f>TEXT(AutoPomodoro[[#This Row],[DATE]],"mmmm")</f>
        <v>September</v>
      </c>
      <c r="C1049" s="2" t="str">
        <f>TEXT(AutoPomodoro[[#This Row],[DATE]],"yyyy")</f>
        <v>2022</v>
      </c>
      <c r="D1049" s="8">
        <v>0.75</v>
      </c>
      <c r="E1049" s="8">
        <f t="shared" ref="E1049:E1056" si="84">D1049+$T$15</f>
        <v>0.76736111111111116</v>
      </c>
      <c r="F1049" s="3">
        <f>E1049-D1049</f>
        <v>1.736111111111116E-2</v>
      </c>
      <c r="G1049" t="s">
        <v>5</v>
      </c>
      <c r="H1049" t="s">
        <v>2</v>
      </c>
    </row>
    <row r="1050" spans="1:8" x14ac:dyDescent="0.3">
      <c r="A1050" s="2">
        <v>44817</v>
      </c>
      <c r="B1050" s="2" t="str">
        <f>TEXT(AutoPomodoro[[#This Row],[DATE]],"mmmm")</f>
        <v>September</v>
      </c>
      <c r="C1050" s="2" t="str">
        <f>TEXT(AutoPomodoro[[#This Row],[DATE]],"yyyy")</f>
        <v>2022</v>
      </c>
      <c r="D1050" s="8">
        <f>E1049+$T$16</f>
        <v>0.77083333333333337</v>
      </c>
      <c r="E1050" s="8">
        <f t="shared" si="84"/>
        <v>0.78819444444444453</v>
      </c>
      <c r="F1050" s="3">
        <v>2.2222222222222223E-2</v>
      </c>
      <c r="G1050" t="s">
        <v>5</v>
      </c>
      <c r="H1050" t="s">
        <v>1</v>
      </c>
    </row>
    <row r="1051" spans="1:8" x14ac:dyDescent="0.3">
      <c r="A1051" s="2">
        <v>44817</v>
      </c>
      <c r="B1051" s="2" t="str">
        <f>TEXT(AutoPomodoro[[#This Row],[DATE]],"mmmm")</f>
        <v>September</v>
      </c>
      <c r="C1051" s="2" t="str">
        <f>TEXT(AutoPomodoro[[#This Row],[DATE]],"yyyy")</f>
        <v>2022</v>
      </c>
      <c r="D1051" s="8">
        <f>E1050+$T$16</f>
        <v>0.79166666666666674</v>
      </c>
      <c r="E1051" s="8">
        <f t="shared" si="84"/>
        <v>0.8090277777777779</v>
      </c>
      <c r="F1051" s="3">
        <f t="shared" ref="F1051:F1056" si="85">E1051-D1051</f>
        <v>1.736111111111116E-2</v>
      </c>
      <c r="G1051" t="s">
        <v>5</v>
      </c>
      <c r="H1051" t="s">
        <v>1</v>
      </c>
    </row>
    <row r="1052" spans="1:8" x14ac:dyDescent="0.3">
      <c r="A1052" s="2">
        <v>44817</v>
      </c>
      <c r="B1052" s="2" t="str">
        <f>TEXT(AutoPomodoro[[#This Row],[DATE]],"mmmm")</f>
        <v>September</v>
      </c>
      <c r="C1052" s="2" t="str">
        <f>TEXT(AutoPomodoro[[#This Row],[DATE]],"yyyy")</f>
        <v>2022</v>
      </c>
      <c r="D1052" s="8">
        <f>E1051+$T$17</f>
        <v>0.81388888888888899</v>
      </c>
      <c r="E1052" s="8">
        <f t="shared" si="84"/>
        <v>0.83125000000000016</v>
      </c>
      <c r="F1052" s="3">
        <f t="shared" si="85"/>
        <v>1.736111111111116E-2</v>
      </c>
      <c r="G1052" t="s">
        <v>5</v>
      </c>
      <c r="H1052" t="s">
        <v>1</v>
      </c>
    </row>
    <row r="1053" spans="1:8" x14ac:dyDescent="0.3">
      <c r="A1053" s="2">
        <v>44817</v>
      </c>
      <c r="B1053" s="2" t="str">
        <f>TEXT(AutoPomodoro[[#This Row],[DATE]],"mmmm")</f>
        <v>September</v>
      </c>
      <c r="C1053" s="2" t="str">
        <f>TEXT(AutoPomodoro[[#This Row],[DATE]],"yyyy")</f>
        <v>2022</v>
      </c>
      <c r="D1053" s="8">
        <v>0.86805555555555547</v>
      </c>
      <c r="E1053" s="8">
        <f t="shared" si="84"/>
        <v>0.88541666666666663</v>
      </c>
      <c r="F1053" s="3">
        <f t="shared" si="85"/>
        <v>1.736111111111116E-2</v>
      </c>
      <c r="G1053" t="s">
        <v>5</v>
      </c>
      <c r="H1053" t="s">
        <v>1</v>
      </c>
    </row>
    <row r="1054" spans="1:8" x14ac:dyDescent="0.3">
      <c r="A1054" s="2">
        <v>44817</v>
      </c>
      <c r="B1054" s="2" t="str">
        <f>TEXT(AutoPomodoro[[#This Row],[DATE]],"mmmm")</f>
        <v>September</v>
      </c>
      <c r="C1054" s="2" t="str">
        <f>TEXT(AutoPomodoro[[#This Row],[DATE]],"yyyy")</f>
        <v>2022</v>
      </c>
      <c r="D1054" s="8">
        <f>E1053+$T$16</f>
        <v>0.88888888888888884</v>
      </c>
      <c r="E1054" s="8">
        <f t="shared" si="84"/>
        <v>0.90625</v>
      </c>
      <c r="F1054" s="3">
        <f t="shared" si="85"/>
        <v>1.736111111111116E-2</v>
      </c>
      <c r="G1054" t="s">
        <v>5</v>
      </c>
      <c r="H1054" t="s">
        <v>1</v>
      </c>
    </row>
    <row r="1055" spans="1:8" x14ac:dyDescent="0.3">
      <c r="A1055" s="2">
        <v>44817</v>
      </c>
      <c r="B1055" s="2" t="str">
        <f>TEXT(AutoPomodoro[[#This Row],[DATE]],"mmmm")</f>
        <v>September</v>
      </c>
      <c r="C1055" s="2" t="str">
        <f>TEXT(AutoPomodoro[[#This Row],[DATE]],"yyyy")</f>
        <v>2022</v>
      </c>
      <c r="D1055" s="8">
        <f>E1054+$T$16</f>
        <v>0.90972222222222221</v>
      </c>
      <c r="E1055" s="8">
        <f t="shared" si="84"/>
        <v>0.92708333333333337</v>
      </c>
      <c r="F1055" s="3">
        <f t="shared" si="85"/>
        <v>1.736111111111116E-2</v>
      </c>
      <c r="G1055" t="s">
        <v>5</v>
      </c>
      <c r="H1055" t="s">
        <v>1</v>
      </c>
    </row>
    <row r="1056" spans="1:8" x14ac:dyDescent="0.3">
      <c r="A1056" s="2">
        <v>44817</v>
      </c>
      <c r="B1056" s="2" t="str">
        <f>TEXT(AutoPomodoro[[#This Row],[DATE]],"mmmm")</f>
        <v>September</v>
      </c>
      <c r="C1056" s="2" t="str">
        <f>TEXT(AutoPomodoro[[#This Row],[DATE]],"yyyy")</f>
        <v>2022</v>
      </c>
      <c r="D1056" s="8">
        <f>E1055+$T$17</f>
        <v>0.93194444444444446</v>
      </c>
      <c r="E1056" s="8">
        <f t="shared" si="84"/>
        <v>0.94930555555555562</v>
      </c>
      <c r="F1056" s="3">
        <f t="shared" si="85"/>
        <v>1.736111111111116E-2</v>
      </c>
      <c r="G1056" t="s">
        <v>5</v>
      </c>
      <c r="H1056" t="s">
        <v>1</v>
      </c>
    </row>
    <row r="1057" spans="1:8" x14ac:dyDescent="0.3">
      <c r="A1057" s="2">
        <v>44817</v>
      </c>
      <c r="B1057" s="2" t="str">
        <f>TEXT(AutoPomodoro[[#This Row],[DATE]],"mmmm")</f>
        <v>September</v>
      </c>
      <c r="C1057" s="2" t="str">
        <f>TEXT(AutoPomodoro[[#This Row],[DATE]],"yyyy")</f>
        <v>2022</v>
      </c>
      <c r="D1057" s="8">
        <v>0.94930555555555562</v>
      </c>
      <c r="E1057" s="8">
        <f>D1057+M</f>
        <v>0.95972222222222225</v>
      </c>
      <c r="F1057" s="3">
        <v>1.0416666666666666E-2</v>
      </c>
      <c r="G1057" t="s">
        <v>21</v>
      </c>
      <c r="H1057" t="s">
        <v>1</v>
      </c>
    </row>
    <row r="1058" spans="1:8" x14ac:dyDescent="0.3">
      <c r="A1058" s="2">
        <v>44817</v>
      </c>
      <c r="B1058" s="2" t="str">
        <f>TEXT(AutoPomodoro[[#This Row],[DATE]],"mmmm")</f>
        <v>September</v>
      </c>
      <c r="C1058" s="2" t="str">
        <f>TEXT(AutoPomodoro[[#This Row],[DATE]],"yyyy")</f>
        <v>2022</v>
      </c>
      <c r="D1058" s="8">
        <v>0.95972222222222225</v>
      </c>
      <c r="E1058" s="8">
        <f t="shared" ref="E1058:E1066" si="86">D1058+$T$15</f>
        <v>0.97708333333333341</v>
      </c>
      <c r="F1058" s="3">
        <f t="shared" ref="F1058:F1064" si="87">E1058-D1058</f>
        <v>1.736111111111116E-2</v>
      </c>
      <c r="G1058" t="s">
        <v>5</v>
      </c>
      <c r="H1058" t="s">
        <v>1</v>
      </c>
    </row>
    <row r="1059" spans="1:8" x14ac:dyDescent="0.3">
      <c r="A1059" s="2">
        <v>44817</v>
      </c>
      <c r="B1059" s="2" t="str">
        <f>TEXT(AutoPomodoro[[#This Row],[DATE]],"mmmm")</f>
        <v>September</v>
      </c>
      <c r="C1059" s="2" t="str">
        <f>TEXT(AutoPomodoro[[#This Row],[DATE]],"yyyy")</f>
        <v>2022</v>
      </c>
      <c r="D1059" s="8">
        <f>E1058+$T$16</f>
        <v>0.98055555555555562</v>
      </c>
      <c r="E1059" s="8">
        <f t="shared" si="86"/>
        <v>0.99791666666666679</v>
      </c>
      <c r="F1059" s="3">
        <f t="shared" si="87"/>
        <v>1.736111111111116E-2</v>
      </c>
      <c r="G1059" t="s">
        <v>5</v>
      </c>
      <c r="H1059" t="s">
        <v>1</v>
      </c>
    </row>
    <row r="1060" spans="1:8" x14ac:dyDescent="0.3">
      <c r="A1060" s="2">
        <v>44817</v>
      </c>
      <c r="B1060" s="2" t="str">
        <f>TEXT(AutoPomodoro[[#This Row],[DATE]],"mmmm")</f>
        <v>September</v>
      </c>
      <c r="C1060" s="2" t="str">
        <f>TEXT(AutoPomodoro[[#This Row],[DATE]],"yyyy")</f>
        <v>2022</v>
      </c>
      <c r="D1060" s="8">
        <f>E1059+$T$16</f>
        <v>1.0013888888888891</v>
      </c>
      <c r="E1060" s="8">
        <f t="shared" si="86"/>
        <v>1.0187500000000003</v>
      </c>
      <c r="F1060" s="3">
        <f t="shared" si="87"/>
        <v>1.736111111111116E-2</v>
      </c>
      <c r="G1060" t="s">
        <v>5</v>
      </c>
      <c r="H1060" t="s">
        <v>1</v>
      </c>
    </row>
    <row r="1061" spans="1:8" x14ac:dyDescent="0.3">
      <c r="A1061" s="2">
        <v>44817</v>
      </c>
      <c r="B1061" s="2" t="str">
        <f>TEXT(AutoPomodoro[[#This Row],[DATE]],"mmmm")</f>
        <v>September</v>
      </c>
      <c r="C1061" s="2" t="str">
        <f>TEXT(AutoPomodoro[[#This Row],[DATE]],"yyyy")</f>
        <v>2022</v>
      </c>
      <c r="D1061" s="8">
        <f>E1060+$T$17</f>
        <v>1.0236111111111115</v>
      </c>
      <c r="E1061" s="8">
        <f t="shared" si="86"/>
        <v>1.0409722222222226</v>
      </c>
      <c r="F1061" s="3">
        <f t="shared" si="87"/>
        <v>1.736111111111116E-2</v>
      </c>
      <c r="G1061" t="s">
        <v>5</v>
      </c>
      <c r="H1061" t="s">
        <v>1</v>
      </c>
    </row>
    <row r="1062" spans="1:8" x14ac:dyDescent="0.3">
      <c r="A1062" s="2">
        <v>44818</v>
      </c>
      <c r="B1062" s="2" t="str">
        <f>TEXT(AutoPomodoro[[#This Row],[DATE]],"mmmm")</f>
        <v>September</v>
      </c>
      <c r="C1062" s="2" t="str">
        <f>TEXT(AutoPomodoro[[#This Row],[DATE]],"yyyy")</f>
        <v>2022</v>
      </c>
      <c r="D1062" s="8">
        <v>5.9027777777777783E-2</v>
      </c>
      <c r="E1062" s="8">
        <f t="shared" si="86"/>
        <v>7.6388888888888895E-2</v>
      </c>
      <c r="F1062" s="3">
        <f t="shared" si="87"/>
        <v>1.7361111111111112E-2</v>
      </c>
      <c r="G1062" t="s">
        <v>5</v>
      </c>
      <c r="H1062" t="s">
        <v>1</v>
      </c>
    </row>
    <row r="1063" spans="1:8" x14ac:dyDescent="0.3">
      <c r="A1063" s="2">
        <v>44818</v>
      </c>
      <c r="B1063" s="2" t="str">
        <f>TEXT(AutoPomodoro[[#This Row],[DATE]],"mmmm")</f>
        <v>September</v>
      </c>
      <c r="C1063" s="2" t="str">
        <f>TEXT(AutoPomodoro[[#This Row],[DATE]],"yyyy")</f>
        <v>2022</v>
      </c>
      <c r="D1063" s="8">
        <f>E1062+$T$16</f>
        <v>7.9861111111111119E-2</v>
      </c>
      <c r="E1063" s="8">
        <f t="shared" si="86"/>
        <v>9.7222222222222238E-2</v>
      </c>
      <c r="F1063" s="3">
        <f t="shared" si="87"/>
        <v>1.7361111111111119E-2</v>
      </c>
      <c r="G1063" t="s">
        <v>5</v>
      </c>
      <c r="H1063" t="s">
        <v>1</v>
      </c>
    </row>
    <row r="1064" spans="1:8" x14ac:dyDescent="0.3">
      <c r="A1064" s="2">
        <v>44818</v>
      </c>
      <c r="B1064" s="2" t="str">
        <f>TEXT(AutoPomodoro[[#This Row],[DATE]],"mmmm")</f>
        <v>September</v>
      </c>
      <c r="C1064" s="2" t="str">
        <f>TEXT(AutoPomodoro[[#This Row],[DATE]],"yyyy")</f>
        <v>2022</v>
      </c>
      <c r="D1064" s="8">
        <f>E1063+$T$16</f>
        <v>0.10069444444444446</v>
      </c>
      <c r="E1064" s="8">
        <f t="shared" si="86"/>
        <v>0.11805555555555558</v>
      </c>
      <c r="F1064" s="3">
        <f t="shared" si="87"/>
        <v>1.7361111111111119E-2</v>
      </c>
      <c r="G1064" t="s">
        <v>5</v>
      </c>
      <c r="H1064" t="s">
        <v>1</v>
      </c>
    </row>
    <row r="1065" spans="1:8" x14ac:dyDescent="0.3">
      <c r="A1065" s="2">
        <v>44818</v>
      </c>
      <c r="B1065" s="2" t="str">
        <f>TEXT(AutoPomodoro[[#This Row],[DATE]],"mmmm")</f>
        <v>September</v>
      </c>
      <c r="C1065" s="2" t="str">
        <f>TEXT(AutoPomodoro[[#This Row],[DATE]],"yyyy")</f>
        <v>2022</v>
      </c>
      <c r="D1065" s="8">
        <f>E1064+$T$17</f>
        <v>0.12291666666666669</v>
      </c>
      <c r="E1065" s="8">
        <f t="shared" si="86"/>
        <v>0.14027777777777781</v>
      </c>
      <c r="F1065" s="3">
        <v>2.5694444444444447E-2</v>
      </c>
      <c r="G1065" t="s">
        <v>5</v>
      </c>
      <c r="H1065" t="s">
        <v>1</v>
      </c>
    </row>
    <row r="1066" spans="1:8" x14ac:dyDescent="0.3">
      <c r="A1066" s="2">
        <v>44818</v>
      </c>
      <c r="B1066" s="2" t="str">
        <f>TEXT(AutoPomodoro[[#This Row],[DATE]],"mmmm")</f>
        <v>September</v>
      </c>
      <c r="C1066" s="2" t="str">
        <f>TEXT(AutoPomodoro[[#This Row],[DATE]],"yyyy")</f>
        <v>2022</v>
      </c>
      <c r="D1066" s="8">
        <v>0.1451388888888889</v>
      </c>
      <c r="E1066" s="8">
        <f t="shared" si="86"/>
        <v>0.16250000000000001</v>
      </c>
      <c r="F1066" s="3">
        <f t="shared" ref="F1066:F1071" si="88">E1066-D1066</f>
        <v>1.7361111111111105E-2</v>
      </c>
      <c r="G1066" t="s">
        <v>5</v>
      </c>
      <c r="H1066" t="s">
        <v>2</v>
      </c>
    </row>
    <row r="1067" spans="1:8" x14ac:dyDescent="0.3">
      <c r="A1067" s="2">
        <v>44819</v>
      </c>
      <c r="B1067" s="2" t="str">
        <f>TEXT(AutoPomodoro[[#This Row],[DATE]],"mmmm")</f>
        <v>September</v>
      </c>
      <c r="C1067" s="2" t="str">
        <f>TEXT(AutoPomodoro[[#This Row],[DATE]],"yyyy")</f>
        <v>2022</v>
      </c>
      <c r="D1067" s="8">
        <v>0.1111111111111111</v>
      </c>
      <c r="E1067" s="8">
        <v>0.20138888888888887</v>
      </c>
      <c r="F1067" s="3">
        <f t="shared" si="88"/>
        <v>9.0277777777777762E-2</v>
      </c>
      <c r="G1067" t="s">
        <v>20</v>
      </c>
      <c r="H1067" t="s">
        <v>1</v>
      </c>
    </row>
    <row r="1068" spans="1:8" x14ac:dyDescent="0.3">
      <c r="A1068" s="2">
        <v>44819</v>
      </c>
      <c r="B1068" s="2" t="str">
        <f>TEXT(AutoPomodoro[[#This Row],[DATE]],"mmmm")</f>
        <v>September</v>
      </c>
      <c r="C1068" s="2" t="str">
        <f>TEXT(AutoPomodoro[[#This Row],[DATE]],"yyyy")</f>
        <v>2022</v>
      </c>
      <c r="D1068" s="8">
        <v>0.59027777777777779</v>
      </c>
      <c r="E1068" s="8">
        <v>0.60972222222222217</v>
      </c>
      <c r="F1068" s="3">
        <f t="shared" si="88"/>
        <v>1.9444444444444375E-2</v>
      </c>
      <c r="G1068" t="s">
        <v>20</v>
      </c>
      <c r="H1068" t="s">
        <v>1</v>
      </c>
    </row>
    <row r="1069" spans="1:8" x14ac:dyDescent="0.3">
      <c r="A1069" s="2">
        <v>44819</v>
      </c>
      <c r="B1069" s="2" t="str">
        <f>TEXT(AutoPomodoro[[#This Row],[DATE]],"mmmm")</f>
        <v>September</v>
      </c>
      <c r="C1069" s="2" t="str">
        <f>TEXT(AutoPomodoro[[#This Row],[DATE]],"yyyy")</f>
        <v>2022</v>
      </c>
      <c r="D1069" s="8">
        <v>0.63541666666666663</v>
      </c>
      <c r="E1069" s="8">
        <v>0.70208333333333339</v>
      </c>
      <c r="F1069" s="3">
        <f t="shared" si="88"/>
        <v>6.6666666666666763E-2</v>
      </c>
      <c r="G1069" t="s">
        <v>20</v>
      </c>
      <c r="H1069" t="s">
        <v>1</v>
      </c>
    </row>
    <row r="1070" spans="1:8" x14ac:dyDescent="0.3">
      <c r="A1070" s="2">
        <v>44819</v>
      </c>
      <c r="B1070" s="2" t="str">
        <f>TEXT(AutoPomodoro[[#This Row],[DATE]],"mmmm")</f>
        <v>September</v>
      </c>
      <c r="C1070" s="2" t="str">
        <f>TEXT(AutoPomodoro[[#This Row],[DATE]],"yyyy")</f>
        <v>2022</v>
      </c>
      <c r="D1070" s="8">
        <v>0.72222222222222221</v>
      </c>
      <c r="E1070" s="8">
        <v>0.73263888888888884</v>
      </c>
      <c r="F1070" s="3">
        <f t="shared" si="88"/>
        <v>1.041666666666663E-2</v>
      </c>
      <c r="G1070" t="s">
        <v>20</v>
      </c>
      <c r="H1070" t="s">
        <v>1</v>
      </c>
    </row>
    <row r="1071" spans="1:8" x14ac:dyDescent="0.3">
      <c r="A1071" s="2">
        <v>44823</v>
      </c>
      <c r="B1071" s="2" t="str">
        <f>TEXT(AutoPomodoro[[#This Row],[DATE]],"mmmm")</f>
        <v>September</v>
      </c>
      <c r="C1071" s="2" t="str">
        <f>TEXT(AutoPomodoro[[#This Row],[DATE]],"yyyy")</f>
        <v>2022</v>
      </c>
      <c r="D1071" s="8">
        <v>0.72152777777777777</v>
      </c>
      <c r="E1071" s="8">
        <v>0.84375</v>
      </c>
      <c r="F1071" s="3">
        <f t="shared" si="88"/>
        <v>0.12222222222222223</v>
      </c>
      <c r="G1071" t="s">
        <v>20</v>
      </c>
      <c r="H1071" t="s">
        <v>1</v>
      </c>
    </row>
    <row r="1072" spans="1:8" x14ac:dyDescent="0.3">
      <c r="A1072" s="2">
        <v>44823</v>
      </c>
      <c r="B1072" s="2" t="str">
        <f>TEXT(AutoPomodoro[[#This Row],[DATE]],"mmmm")</f>
        <v>September</v>
      </c>
      <c r="C1072" s="2" t="str">
        <f>TEXT(AutoPomodoro[[#This Row],[DATE]],"yyyy")</f>
        <v>2022</v>
      </c>
      <c r="D1072" s="8"/>
      <c r="E1072" s="8">
        <f>D1072+$T$15</f>
        <v>1.7361111111111112E-2</v>
      </c>
      <c r="F1072" s="3">
        <v>4.1666666666666664E-2</v>
      </c>
      <c r="G1072" t="s">
        <v>20</v>
      </c>
      <c r="H1072" t="s">
        <v>1</v>
      </c>
    </row>
    <row r="1073" spans="1:8" x14ac:dyDescent="0.3">
      <c r="A1073" s="2">
        <v>44824</v>
      </c>
      <c r="B1073" s="2" t="str">
        <f>TEXT(AutoPomodoro[[#This Row],[DATE]],"mmmm")</f>
        <v>September</v>
      </c>
      <c r="C1073" s="2" t="str">
        <f>TEXT(AutoPomodoro[[#This Row],[DATE]],"yyyy")</f>
        <v>2022</v>
      </c>
      <c r="D1073" s="8">
        <v>0</v>
      </c>
      <c r="E1073" s="8">
        <v>6.25E-2</v>
      </c>
      <c r="F1073" s="3">
        <f>E1073-D1073</f>
        <v>6.25E-2</v>
      </c>
      <c r="G1073" t="s">
        <v>20</v>
      </c>
      <c r="H1073" t="s">
        <v>1</v>
      </c>
    </row>
    <row r="1074" spans="1:8" x14ac:dyDescent="0.3">
      <c r="A1074" s="2">
        <v>44824</v>
      </c>
      <c r="B1074" s="2" t="str">
        <f>TEXT(AutoPomodoro[[#This Row],[DATE]],"mmmm")</f>
        <v>September</v>
      </c>
      <c r="C1074" s="2" t="str">
        <f>TEXT(AutoPomodoro[[#This Row],[DATE]],"yyyy")</f>
        <v>2022</v>
      </c>
      <c r="D1074" s="8">
        <v>0.69444444444444453</v>
      </c>
      <c r="E1074" s="8">
        <f t="shared" ref="E1074:E1079" si="89">D1074+$T$15</f>
        <v>0.71180555555555569</v>
      </c>
      <c r="F1074" s="3">
        <f>E1074-D1074</f>
        <v>1.736111111111116E-2</v>
      </c>
      <c r="G1074" t="s">
        <v>20</v>
      </c>
      <c r="H1074" t="s">
        <v>1</v>
      </c>
    </row>
    <row r="1075" spans="1:8" x14ac:dyDescent="0.3">
      <c r="A1075" s="2">
        <v>44825</v>
      </c>
      <c r="B1075" s="2" t="str">
        <f>TEXT(AutoPomodoro[[#This Row],[DATE]],"mmmm")</f>
        <v>September</v>
      </c>
      <c r="C1075" s="2" t="str">
        <f>TEXT(AutoPomodoro[[#This Row],[DATE]],"yyyy")</f>
        <v>2022</v>
      </c>
      <c r="D1075" s="8">
        <f>E1074+$T$16</f>
        <v>0.7152777777777779</v>
      </c>
      <c r="E1075" s="8">
        <f t="shared" si="89"/>
        <v>0.73263888888888906</v>
      </c>
      <c r="F1075" s="3">
        <f>E1075-D1075</f>
        <v>1.736111111111116E-2</v>
      </c>
      <c r="G1075" t="s">
        <v>20</v>
      </c>
      <c r="H1075" t="s">
        <v>1</v>
      </c>
    </row>
    <row r="1076" spans="1:8" x14ac:dyDescent="0.3">
      <c r="A1076" s="2">
        <v>44825</v>
      </c>
      <c r="B1076" s="2" t="str">
        <f>TEXT(AutoPomodoro[[#This Row],[DATE]],"mmmm")</f>
        <v>September</v>
      </c>
      <c r="C1076" s="2" t="str">
        <f>TEXT(AutoPomodoro[[#This Row],[DATE]],"yyyy")</f>
        <v>2022</v>
      </c>
      <c r="D1076" s="8">
        <f>E1075+$T$16</f>
        <v>0.73611111111111127</v>
      </c>
      <c r="E1076" s="8">
        <f t="shared" si="89"/>
        <v>0.75347222222222243</v>
      </c>
      <c r="F1076" s="3">
        <f>E1076-D1076</f>
        <v>1.736111111111116E-2</v>
      </c>
      <c r="G1076" t="s">
        <v>20</v>
      </c>
      <c r="H1076" t="s">
        <v>1</v>
      </c>
    </row>
    <row r="1077" spans="1:8" x14ac:dyDescent="0.3">
      <c r="A1077" s="2">
        <v>44825</v>
      </c>
      <c r="B1077" s="2" t="str">
        <f>TEXT(AutoPomodoro[[#This Row],[DATE]],"mmmm")</f>
        <v>September</v>
      </c>
      <c r="C1077" s="2" t="str">
        <f>TEXT(AutoPomodoro[[#This Row],[DATE]],"yyyy")</f>
        <v>2022</v>
      </c>
      <c r="D1077" s="8">
        <f>E1076+$T$17</f>
        <v>0.75833333333333353</v>
      </c>
      <c r="E1077" s="8">
        <f t="shared" si="89"/>
        <v>0.77569444444444469</v>
      </c>
      <c r="F1077" s="3">
        <f>E1077-D1077</f>
        <v>1.736111111111116E-2</v>
      </c>
      <c r="G1077" t="s">
        <v>16</v>
      </c>
      <c r="H1077" t="s">
        <v>1</v>
      </c>
    </row>
    <row r="1078" spans="1:8" x14ac:dyDescent="0.3">
      <c r="A1078" s="2">
        <v>44825</v>
      </c>
      <c r="B1078" s="2" t="str">
        <f>TEXT(AutoPomodoro[[#This Row],[DATE]],"mmmm")</f>
        <v>September</v>
      </c>
      <c r="C1078" s="2" t="str">
        <f>TEXT(AutoPomodoro[[#This Row],[DATE]],"yyyy")</f>
        <v>2022</v>
      </c>
      <c r="D1078" s="8">
        <f>E1077+$T$16</f>
        <v>0.7791666666666669</v>
      </c>
      <c r="E1078" s="8">
        <f t="shared" si="89"/>
        <v>0.79652777777777806</v>
      </c>
      <c r="F1078" s="3">
        <v>6.9444444444444441E-3</v>
      </c>
      <c r="G1078" t="s">
        <v>16</v>
      </c>
      <c r="H1078" t="s">
        <v>1</v>
      </c>
    </row>
    <row r="1079" spans="1:8" x14ac:dyDescent="0.3">
      <c r="A1079" s="2">
        <v>44825</v>
      </c>
      <c r="B1079" s="2" t="str">
        <f>TEXT(AutoPomodoro[[#This Row],[DATE]],"mmmm")</f>
        <v>September</v>
      </c>
      <c r="C1079" s="2" t="str">
        <f>TEXT(AutoPomodoro[[#This Row],[DATE]],"yyyy")</f>
        <v>2022</v>
      </c>
      <c r="D1079" s="8">
        <f>E1078+$T$17</f>
        <v>0.80138888888888915</v>
      </c>
      <c r="E1079" s="8">
        <f t="shared" si="89"/>
        <v>0.81875000000000031</v>
      </c>
      <c r="F1079" s="3">
        <f>E1079-D1079</f>
        <v>1.736111111111116E-2</v>
      </c>
      <c r="G1079" t="s">
        <v>20</v>
      </c>
      <c r="H1079" t="s">
        <v>2</v>
      </c>
    </row>
    <row r="1080" spans="1:8" x14ac:dyDescent="0.3">
      <c r="A1080" s="2">
        <v>44826</v>
      </c>
      <c r="B1080" s="2" t="str">
        <f>TEXT(AutoPomodoro[[#This Row],[DATE]],"mmmm")</f>
        <v>September</v>
      </c>
      <c r="C1080" s="2" t="str">
        <f>TEXT(AutoPomodoro[[#This Row],[DATE]],"yyyy")</f>
        <v>2022</v>
      </c>
      <c r="D1080" s="8">
        <v>0.57847222222222217</v>
      </c>
      <c r="E1080" s="8">
        <v>0.62222222222222223</v>
      </c>
      <c r="F1080" s="3">
        <f>E1080-D1080</f>
        <v>4.3750000000000067E-2</v>
      </c>
      <c r="G1080" t="s">
        <v>16</v>
      </c>
      <c r="H1080" t="s">
        <v>1</v>
      </c>
    </row>
    <row r="1081" spans="1:8" x14ac:dyDescent="0.3">
      <c r="A1081" s="2">
        <v>44826</v>
      </c>
      <c r="B1081" s="2" t="str">
        <f>TEXT(AutoPomodoro[[#This Row],[DATE]],"mmmm")</f>
        <v>September</v>
      </c>
      <c r="C1081" s="2" t="str">
        <f>TEXT(AutoPomodoro[[#This Row],[DATE]],"yyyy")</f>
        <v>2022</v>
      </c>
      <c r="D1081" s="8">
        <v>0.63124999999999998</v>
      </c>
      <c r="E1081" s="8">
        <v>0.67986111111111114</v>
      </c>
      <c r="F1081" s="3">
        <f>E1081-D1081</f>
        <v>4.861111111111116E-2</v>
      </c>
      <c r="G1081" t="s">
        <v>16</v>
      </c>
      <c r="H1081" t="s">
        <v>1</v>
      </c>
    </row>
    <row r="1082" spans="1:8" x14ac:dyDescent="0.3">
      <c r="A1082" s="2">
        <v>44826</v>
      </c>
      <c r="B1082" s="2" t="str">
        <f>TEXT(AutoPomodoro[[#This Row],[DATE]],"mmmm")</f>
        <v>September</v>
      </c>
      <c r="C1082" s="2" t="str">
        <f>TEXT(AutoPomodoro[[#This Row],[DATE]],"yyyy")</f>
        <v>2022</v>
      </c>
      <c r="D1082" s="8">
        <v>0.68541666666666667</v>
      </c>
      <c r="E1082" s="8">
        <v>0.70416666666666661</v>
      </c>
      <c r="F1082" s="3">
        <v>1.8749999999999999E-2</v>
      </c>
      <c r="G1082" t="s">
        <v>16</v>
      </c>
      <c r="H1082" t="s">
        <v>1</v>
      </c>
    </row>
    <row r="1083" spans="1:8" x14ac:dyDescent="0.3">
      <c r="A1083" s="2">
        <v>44826</v>
      </c>
      <c r="B1083" s="2" t="str">
        <f>TEXT(AutoPomodoro[[#This Row],[DATE]],"mmmm")</f>
        <v>September</v>
      </c>
      <c r="C1083" s="2" t="str">
        <f>TEXT(AutoPomodoro[[#This Row],[DATE]],"yyyy")</f>
        <v>2022</v>
      </c>
      <c r="D1083" s="8">
        <v>0.70833333333333337</v>
      </c>
      <c r="E1083" s="8">
        <v>0.73958333333333337</v>
      </c>
      <c r="F1083" s="3">
        <f t="shared" ref="F1083:F1090" si="90">E1083-D1083</f>
        <v>3.125E-2</v>
      </c>
      <c r="G1083" t="s">
        <v>20</v>
      </c>
      <c r="H1083" t="s">
        <v>1</v>
      </c>
    </row>
    <row r="1084" spans="1:8" x14ac:dyDescent="0.3">
      <c r="A1084" s="2">
        <v>44826</v>
      </c>
      <c r="B1084" s="2" t="str">
        <f>TEXT(AutoPomodoro[[#This Row],[DATE]],"mmmm")</f>
        <v>September</v>
      </c>
      <c r="C1084" s="2" t="str">
        <f>TEXT(AutoPomodoro[[#This Row],[DATE]],"yyyy")</f>
        <v>2022</v>
      </c>
      <c r="D1084" s="8">
        <v>0.74583333333333324</v>
      </c>
      <c r="E1084" s="8">
        <v>0.77777777777777779</v>
      </c>
      <c r="F1084" s="3">
        <f t="shared" si="90"/>
        <v>3.1944444444444553E-2</v>
      </c>
      <c r="G1084" t="s">
        <v>20</v>
      </c>
      <c r="H1084" t="s">
        <v>1</v>
      </c>
    </row>
    <row r="1085" spans="1:8" x14ac:dyDescent="0.3">
      <c r="A1085" s="2">
        <v>44829</v>
      </c>
      <c r="B1085" s="2" t="str">
        <f>TEXT(AutoPomodoro[[#This Row],[DATE]],"mmmm")</f>
        <v>September</v>
      </c>
      <c r="C1085" s="2" t="str">
        <f>TEXT(AutoPomodoro[[#This Row],[DATE]],"yyyy")</f>
        <v>2022</v>
      </c>
      <c r="D1085" s="8">
        <v>0.74791666666666667</v>
      </c>
      <c r="E1085" s="8">
        <v>0.7895833333333333</v>
      </c>
      <c r="F1085" s="3">
        <f t="shared" si="90"/>
        <v>4.166666666666663E-2</v>
      </c>
      <c r="G1085" t="s">
        <v>16</v>
      </c>
      <c r="H1085" t="s">
        <v>1</v>
      </c>
    </row>
    <row r="1086" spans="1:8" x14ac:dyDescent="0.3">
      <c r="A1086" s="2">
        <v>44830</v>
      </c>
      <c r="B1086" s="2" t="str">
        <f>TEXT(AutoPomodoro[[#This Row],[DATE]],"mmmm")</f>
        <v>September</v>
      </c>
      <c r="C1086" s="2" t="str">
        <f>TEXT(AutoPomodoro[[#This Row],[DATE]],"yyyy")</f>
        <v>2022</v>
      </c>
      <c r="D1086" s="8">
        <v>0.625</v>
      </c>
      <c r="E1086" s="8">
        <v>0.65902777777777777</v>
      </c>
      <c r="F1086" s="3">
        <f t="shared" si="90"/>
        <v>3.4027777777777768E-2</v>
      </c>
      <c r="G1086" t="s">
        <v>20</v>
      </c>
      <c r="H1086" t="s">
        <v>1</v>
      </c>
    </row>
    <row r="1087" spans="1:8" x14ac:dyDescent="0.3">
      <c r="A1087" s="2">
        <v>44830</v>
      </c>
      <c r="B1087" s="2" t="str">
        <f>TEXT(AutoPomodoro[[#This Row],[DATE]],"mmmm")</f>
        <v>September</v>
      </c>
      <c r="C1087" s="2" t="str">
        <f>TEXT(AutoPomodoro[[#This Row],[DATE]],"yyyy")</f>
        <v>2022</v>
      </c>
      <c r="D1087" s="8">
        <v>0.67361111111111116</v>
      </c>
      <c r="E1087" s="8">
        <v>0.78125</v>
      </c>
      <c r="F1087" s="3">
        <f t="shared" si="90"/>
        <v>0.10763888888888884</v>
      </c>
      <c r="G1087" t="s">
        <v>20</v>
      </c>
      <c r="H1087" t="s">
        <v>1</v>
      </c>
    </row>
    <row r="1088" spans="1:8" x14ac:dyDescent="0.3">
      <c r="A1088" s="2">
        <v>44831</v>
      </c>
      <c r="B1088" s="2" t="str">
        <f>TEXT(AutoPomodoro[[#This Row],[DATE]],"mmmm")</f>
        <v>September</v>
      </c>
      <c r="C1088" s="2" t="str">
        <f>TEXT(AutoPomodoro[[#This Row],[DATE]],"yyyy")</f>
        <v>2022</v>
      </c>
      <c r="D1088" s="8">
        <v>0.54166666666666663</v>
      </c>
      <c r="E1088" s="8">
        <f>D1088+$T$15</f>
        <v>0.55902777777777779</v>
      </c>
      <c r="F1088" s="3">
        <f t="shared" si="90"/>
        <v>1.736111111111116E-2</v>
      </c>
      <c r="G1088" t="s">
        <v>20</v>
      </c>
      <c r="H1088" t="s">
        <v>1</v>
      </c>
    </row>
    <row r="1089" spans="1:8" x14ac:dyDescent="0.3">
      <c r="A1089" s="2">
        <v>44831</v>
      </c>
      <c r="B1089" s="2" t="str">
        <f>TEXT(AutoPomodoro[[#This Row],[DATE]],"mmmm")</f>
        <v>September</v>
      </c>
      <c r="C1089" s="2" t="str">
        <f>TEXT(AutoPomodoro[[#This Row],[DATE]],"yyyy")</f>
        <v>2022</v>
      </c>
      <c r="D1089" s="8">
        <f>E1088+$T$16</f>
        <v>0.5625</v>
      </c>
      <c r="E1089" s="8">
        <f>D1089+$T$15</f>
        <v>0.57986111111111116</v>
      </c>
      <c r="F1089" s="3">
        <f t="shared" si="90"/>
        <v>1.736111111111116E-2</v>
      </c>
      <c r="G1089" t="s">
        <v>16</v>
      </c>
      <c r="H1089" t="s">
        <v>1</v>
      </c>
    </row>
    <row r="1090" spans="1:8" x14ac:dyDescent="0.3">
      <c r="A1090" s="2">
        <v>44831</v>
      </c>
      <c r="B1090" s="2" t="str">
        <f>TEXT(AutoPomodoro[[#This Row],[DATE]],"mmmm")</f>
        <v>September</v>
      </c>
      <c r="C1090" s="2" t="str">
        <f>TEXT(AutoPomodoro[[#This Row],[DATE]],"yyyy")</f>
        <v>2022</v>
      </c>
      <c r="D1090" s="8">
        <f>E1089+$T$16</f>
        <v>0.58333333333333337</v>
      </c>
      <c r="E1090" s="8">
        <f>D1090+$T$15</f>
        <v>0.60069444444444453</v>
      </c>
      <c r="F1090" s="3">
        <f t="shared" si="90"/>
        <v>1.736111111111116E-2</v>
      </c>
      <c r="G1090" t="s">
        <v>16</v>
      </c>
      <c r="H1090" t="s">
        <v>1</v>
      </c>
    </row>
    <row r="1091" spans="1:8" x14ac:dyDescent="0.3">
      <c r="A1091" s="2">
        <v>44831</v>
      </c>
      <c r="B1091" s="2" t="str">
        <f>TEXT(AutoPomodoro[[#This Row],[DATE]],"mmmm")</f>
        <v>September</v>
      </c>
      <c r="C1091" s="2" t="str">
        <f>TEXT(AutoPomodoro[[#This Row],[DATE]],"yyyy")</f>
        <v>2022</v>
      </c>
      <c r="D1091" s="8">
        <f>E1090+$T$17</f>
        <v>0.60555555555555562</v>
      </c>
      <c r="E1091" s="8">
        <f>D1091+$T$15</f>
        <v>0.62291666666666679</v>
      </c>
      <c r="F1091" s="3">
        <v>1.9444444444444445E-2</v>
      </c>
      <c r="G1091" t="s">
        <v>16</v>
      </c>
      <c r="H1091" t="s">
        <v>1</v>
      </c>
    </row>
    <row r="1092" spans="1:8" x14ac:dyDescent="0.3">
      <c r="A1092" s="2">
        <v>44831</v>
      </c>
      <c r="B1092" s="2" t="str">
        <f>TEXT(AutoPomodoro[[#This Row],[DATE]],"mmmm")</f>
        <v>September</v>
      </c>
      <c r="C1092" s="2" t="str">
        <f>TEXT(AutoPomodoro[[#This Row],[DATE]],"yyyy")</f>
        <v>2022</v>
      </c>
      <c r="D1092" s="8">
        <v>0.62777777777777777</v>
      </c>
      <c r="E1092" s="8">
        <v>0.64513888888888882</v>
      </c>
      <c r="F1092" s="3">
        <v>1.7361111111111112E-2</v>
      </c>
      <c r="G1092" t="s">
        <v>20</v>
      </c>
      <c r="H1092" t="s">
        <v>2</v>
      </c>
    </row>
    <row r="1093" spans="1:8" x14ac:dyDescent="0.3">
      <c r="A1093" s="2">
        <v>44831</v>
      </c>
      <c r="B1093" s="2" t="str">
        <f>TEXT(AutoPomodoro[[#This Row],[DATE]],"mmmm")</f>
        <v>September</v>
      </c>
      <c r="C1093" s="2" t="str">
        <f>TEXT(AutoPomodoro[[#This Row],[DATE]],"yyyy")</f>
        <v>2022</v>
      </c>
      <c r="D1093" s="8">
        <v>0.87847222222222221</v>
      </c>
      <c r="E1093" s="8">
        <f>D1093+$T$15</f>
        <v>0.89583333333333337</v>
      </c>
      <c r="F1093" s="3">
        <f>E1093-D1093</f>
        <v>1.736111111111116E-2</v>
      </c>
      <c r="G1093" t="s">
        <v>16</v>
      </c>
      <c r="H1093" t="s">
        <v>1</v>
      </c>
    </row>
    <row r="1094" spans="1:8" x14ac:dyDescent="0.3">
      <c r="A1094" s="2">
        <v>44831</v>
      </c>
      <c r="B1094" s="2" t="str">
        <f>TEXT(AutoPomodoro[[#This Row],[DATE]],"mmmm")</f>
        <v>September</v>
      </c>
      <c r="C1094" s="2" t="str">
        <f>TEXT(AutoPomodoro[[#This Row],[DATE]],"yyyy")</f>
        <v>2022</v>
      </c>
      <c r="D1094" s="8">
        <f>E1093+$T$16</f>
        <v>0.89930555555555558</v>
      </c>
      <c r="E1094" s="8">
        <f>D1094+$T$15</f>
        <v>0.91666666666666674</v>
      </c>
      <c r="F1094" s="3">
        <f>E1094-D1094</f>
        <v>1.736111111111116E-2</v>
      </c>
      <c r="G1094" t="s">
        <v>16</v>
      </c>
      <c r="H1094" t="s">
        <v>1</v>
      </c>
    </row>
    <row r="1095" spans="1:8" x14ac:dyDescent="0.3">
      <c r="A1095" s="2">
        <v>44831</v>
      </c>
      <c r="B1095" s="2" t="str">
        <f>TEXT(AutoPomodoro[[#This Row],[DATE]],"mmmm")</f>
        <v>September</v>
      </c>
      <c r="C1095" s="2" t="str">
        <f>TEXT(AutoPomodoro[[#This Row],[DATE]],"yyyy")</f>
        <v>2022</v>
      </c>
      <c r="D1095" s="8">
        <f>E1094+$T$16</f>
        <v>0.92013888888888895</v>
      </c>
      <c r="E1095" s="8">
        <f>D1095+$T$15</f>
        <v>0.93750000000000011</v>
      </c>
      <c r="F1095" s="3">
        <v>4.3055555555555562E-2</v>
      </c>
      <c r="G1095" t="s">
        <v>16</v>
      </c>
      <c r="H1095" t="s">
        <v>1</v>
      </c>
    </row>
    <row r="1096" spans="1:8" x14ac:dyDescent="0.3">
      <c r="A1096" s="2">
        <v>44833</v>
      </c>
      <c r="B1096" s="2" t="str">
        <f>TEXT(AutoPomodoro[[#This Row],[DATE]],"mmmm")</f>
        <v>September</v>
      </c>
      <c r="C1096" s="2" t="str">
        <f>TEXT(AutoPomodoro[[#This Row],[DATE]],"yyyy")</f>
        <v>2022</v>
      </c>
      <c r="D1096" s="8">
        <v>0.64583333333333337</v>
      </c>
      <c r="E1096" s="8">
        <v>0.67708333333333337</v>
      </c>
      <c r="F1096" s="3">
        <f t="shared" ref="F1096:F1105" si="91">E1096-D1096</f>
        <v>3.125E-2</v>
      </c>
      <c r="G1096" t="s">
        <v>20</v>
      </c>
      <c r="H1096" t="s">
        <v>1</v>
      </c>
    </row>
    <row r="1097" spans="1:8" x14ac:dyDescent="0.3">
      <c r="A1097" s="2">
        <v>44833</v>
      </c>
      <c r="B1097" s="2" t="str">
        <f>TEXT(AutoPomodoro[[#This Row],[DATE]],"mmmm")</f>
        <v>September</v>
      </c>
      <c r="C1097" s="2" t="str">
        <f>TEXT(AutoPomodoro[[#This Row],[DATE]],"yyyy")</f>
        <v>2022</v>
      </c>
      <c r="D1097" s="8">
        <v>0.6875</v>
      </c>
      <c r="E1097" s="8">
        <v>0.78888888888888886</v>
      </c>
      <c r="F1097" s="3">
        <f t="shared" si="91"/>
        <v>0.10138888888888886</v>
      </c>
      <c r="G1097" t="s">
        <v>20</v>
      </c>
      <c r="H1097" t="s">
        <v>1</v>
      </c>
    </row>
    <row r="1098" spans="1:8" x14ac:dyDescent="0.3">
      <c r="A1098" s="2">
        <v>44833</v>
      </c>
      <c r="B1098" s="2" t="str">
        <f>TEXT(AutoPomodoro[[#This Row],[DATE]],"mmmm")</f>
        <v>September</v>
      </c>
      <c r="C1098" s="2" t="str">
        <f>TEXT(AutoPomodoro[[#This Row],[DATE]],"yyyy")</f>
        <v>2022</v>
      </c>
      <c r="D1098" s="8">
        <v>0.95138888888888884</v>
      </c>
      <c r="E1098" s="8">
        <v>0.97986111111111107</v>
      </c>
      <c r="F1098" s="3">
        <f t="shared" si="91"/>
        <v>2.8472222222222232E-2</v>
      </c>
      <c r="G1098" t="s">
        <v>16</v>
      </c>
      <c r="H1098" t="s">
        <v>1</v>
      </c>
    </row>
    <row r="1099" spans="1:8" x14ac:dyDescent="0.3">
      <c r="A1099" s="2">
        <v>44833</v>
      </c>
      <c r="B1099" s="2" t="str">
        <f>TEXT(AutoPomodoro[[#This Row],[DATE]],"mmmm")</f>
        <v>September</v>
      </c>
      <c r="C1099" s="2" t="str">
        <f>TEXT(AutoPomodoro[[#This Row],[DATE]],"yyyy")</f>
        <v>2022</v>
      </c>
      <c r="D1099" s="8">
        <v>0.98402777777777783</v>
      </c>
      <c r="E1099" s="8">
        <v>1.0027777777777778</v>
      </c>
      <c r="F1099" s="3">
        <f t="shared" si="91"/>
        <v>1.8749999999999933E-2</v>
      </c>
      <c r="G1099" t="s">
        <v>16</v>
      </c>
      <c r="H1099" t="s">
        <v>1</v>
      </c>
    </row>
    <row r="1100" spans="1:8" x14ac:dyDescent="0.3">
      <c r="A1100" s="2">
        <v>44834</v>
      </c>
      <c r="B1100" s="2" t="str">
        <f>TEXT(AutoPomodoro[[#This Row],[DATE]],"mmmm")</f>
        <v>September</v>
      </c>
      <c r="C1100" s="2" t="str">
        <f>TEXT(AutoPomodoro[[#This Row],[DATE]],"yyyy")</f>
        <v>2022</v>
      </c>
      <c r="D1100" s="8">
        <v>2.9166666666666664E-2</v>
      </c>
      <c r="E1100" s="8">
        <v>4.7916666666666663E-2</v>
      </c>
      <c r="F1100" s="3">
        <f t="shared" si="91"/>
        <v>1.8749999999999999E-2</v>
      </c>
      <c r="G1100" t="s">
        <v>16</v>
      </c>
      <c r="H1100" t="s">
        <v>1</v>
      </c>
    </row>
    <row r="1101" spans="1:8" x14ac:dyDescent="0.3">
      <c r="A1101" s="2">
        <v>44834</v>
      </c>
      <c r="B1101" s="2" t="str">
        <f>TEXT(AutoPomodoro[[#This Row],[DATE]],"mmmm")</f>
        <v>September</v>
      </c>
      <c r="C1101" s="2" t="str">
        <f>TEXT(AutoPomodoro[[#This Row],[DATE]],"yyyy")</f>
        <v>2022</v>
      </c>
      <c r="D1101" s="8">
        <v>5.0694444444444452E-2</v>
      </c>
      <c r="E1101" s="8">
        <v>6.0416666666666667E-2</v>
      </c>
      <c r="F1101" s="3">
        <f t="shared" si="91"/>
        <v>9.7222222222222154E-3</v>
      </c>
      <c r="G1101" t="s">
        <v>16</v>
      </c>
      <c r="H1101" t="s">
        <v>1</v>
      </c>
    </row>
    <row r="1102" spans="1:8" x14ac:dyDescent="0.3">
      <c r="A1102" s="2">
        <v>44834</v>
      </c>
      <c r="B1102" s="2" t="str">
        <f>TEXT(AutoPomodoro[[#This Row],[DATE]],"mmmm")</f>
        <v>September</v>
      </c>
      <c r="C1102" s="2" t="str">
        <f>TEXT(AutoPomodoro[[#This Row],[DATE]],"yyyy")</f>
        <v>2022</v>
      </c>
      <c r="D1102" s="8">
        <v>0.72291666666666676</v>
      </c>
      <c r="E1102" s="8">
        <v>0.76041666666666663</v>
      </c>
      <c r="F1102" s="3">
        <f t="shared" si="91"/>
        <v>3.7499999999999867E-2</v>
      </c>
      <c r="G1102" t="s">
        <v>16</v>
      </c>
      <c r="H1102" t="s">
        <v>1</v>
      </c>
    </row>
    <row r="1103" spans="1:8" x14ac:dyDescent="0.3">
      <c r="A1103" s="2">
        <v>44838</v>
      </c>
      <c r="B1103" s="2" t="str">
        <f>TEXT(AutoPomodoro[[#This Row],[DATE]],"mmmm")</f>
        <v>October</v>
      </c>
      <c r="C1103" s="2" t="str">
        <f>TEXT(AutoPomodoro[[#This Row],[DATE]],"yyyy")</f>
        <v>2022</v>
      </c>
      <c r="D1103" s="8">
        <v>0.63402777777777775</v>
      </c>
      <c r="E1103" s="8">
        <v>0.66249999999999998</v>
      </c>
      <c r="F1103" s="3">
        <f t="shared" si="91"/>
        <v>2.8472222222222232E-2</v>
      </c>
      <c r="G1103" t="s">
        <v>20</v>
      </c>
      <c r="H1103" t="s">
        <v>1</v>
      </c>
    </row>
    <row r="1104" spans="1:8" x14ac:dyDescent="0.3">
      <c r="A1104" s="2">
        <v>44838</v>
      </c>
      <c r="B1104" s="2" t="str">
        <f>TEXT(AutoPomodoro[[#This Row],[DATE]],"mmmm")</f>
        <v>October</v>
      </c>
      <c r="C1104" s="2" t="str">
        <f>TEXT(AutoPomodoro[[#This Row],[DATE]],"yyyy")</f>
        <v>2022</v>
      </c>
      <c r="D1104" s="8">
        <v>0.69444444444444453</v>
      </c>
      <c r="E1104" s="8">
        <v>0.72916666666666663</v>
      </c>
      <c r="F1104" s="3">
        <f t="shared" si="91"/>
        <v>3.4722222222222099E-2</v>
      </c>
      <c r="G1104" t="s">
        <v>20</v>
      </c>
      <c r="H1104" t="s">
        <v>1</v>
      </c>
    </row>
    <row r="1105" spans="1:8" x14ac:dyDescent="0.3">
      <c r="A1105" s="2">
        <v>44838</v>
      </c>
      <c r="B1105" s="2" t="str">
        <f>TEXT(AutoPomodoro[[#This Row],[DATE]],"mmmm")</f>
        <v>October</v>
      </c>
      <c r="C1105" s="2" t="str">
        <f>TEXT(AutoPomodoro[[#This Row],[DATE]],"yyyy")</f>
        <v>2022</v>
      </c>
      <c r="D1105" s="8">
        <v>0.75</v>
      </c>
      <c r="E1105" s="8">
        <v>0.79166666666666663</v>
      </c>
      <c r="F1105" s="3">
        <f t="shared" si="91"/>
        <v>4.166666666666663E-2</v>
      </c>
      <c r="G1105" t="s">
        <v>20</v>
      </c>
      <c r="H1105" t="s">
        <v>1</v>
      </c>
    </row>
    <row r="1106" spans="1:8" x14ac:dyDescent="0.3">
      <c r="A1106" s="2">
        <v>44839</v>
      </c>
      <c r="B1106" s="2" t="str">
        <f>TEXT(AutoPomodoro[[#This Row],[DATE]],"mmmm")</f>
        <v>October</v>
      </c>
      <c r="C1106" s="2" t="str">
        <f>TEXT(AutoPomodoro[[#This Row],[DATE]],"yyyy")</f>
        <v>2022</v>
      </c>
      <c r="D1106" s="8">
        <v>0.61111111111111105</v>
      </c>
      <c r="E1106" s="8">
        <v>0.62152777777777779</v>
      </c>
      <c r="F1106" s="3">
        <v>1.9444444444444445E-2</v>
      </c>
      <c r="G1106" t="s">
        <v>0</v>
      </c>
      <c r="H1106" t="s">
        <v>1</v>
      </c>
    </row>
    <row r="1107" spans="1:8" x14ac:dyDescent="0.3">
      <c r="A1107" s="2">
        <v>44839</v>
      </c>
      <c r="B1107" s="2" t="str">
        <f>TEXT(AutoPomodoro[[#This Row],[DATE]],"mmmm")</f>
        <v>October</v>
      </c>
      <c r="C1107" s="2" t="str">
        <f>TEXT(AutoPomodoro[[#This Row],[DATE]],"yyyy")</f>
        <v>2022</v>
      </c>
      <c r="D1107" s="8">
        <v>0.62361111111111112</v>
      </c>
      <c r="E1107" s="8">
        <f>D1107+$T$15</f>
        <v>0.64097222222222228</v>
      </c>
      <c r="F1107" s="3">
        <v>1.0416666666666666E-2</v>
      </c>
      <c r="G1107" t="s">
        <v>16</v>
      </c>
      <c r="H1107" t="s">
        <v>1</v>
      </c>
    </row>
    <row r="1108" spans="1:8" x14ac:dyDescent="0.3">
      <c r="A1108" s="2">
        <v>44839</v>
      </c>
      <c r="B1108" s="2" t="str">
        <f>TEXT(AutoPomodoro[[#This Row],[DATE]],"mmmm")</f>
        <v>October</v>
      </c>
      <c r="C1108" s="2" t="str">
        <f>TEXT(AutoPomodoro[[#This Row],[DATE]],"yyyy")</f>
        <v>2022</v>
      </c>
      <c r="D1108" s="8">
        <f>E1107+$T$16</f>
        <v>0.64444444444444449</v>
      </c>
      <c r="E1108" s="8">
        <f>D1108+$T$15</f>
        <v>0.66180555555555565</v>
      </c>
      <c r="F1108" s="3">
        <f>E1108-D1108</f>
        <v>1.736111111111116E-2</v>
      </c>
      <c r="G1108" t="s">
        <v>16</v>
      </c>
      <c r="H1108" t="s">
        <v>1</v>
      </c>
    </row>
    <row r="1109" spans="1:8" x14ac:dyDescent="0.3">
      <c r="A1109" s="2">
        <v>44839</v>
      </c>
      <c r="B1109" s="2" t="str">
        <f>TEXT(AutoPomodoro[[#This Row],[DATE]],"mmmm")</f>
        <v>October</v>
      </c>
      <c r="C1109" s="2" t="str">
        <f>TEXT(AutoPomodoro[[#This Row],[DATE]],"yyyy")</f>
        <v>2022</v>
      </c>
      <c r="D1109" s="8">
        <f>E1108+$T$16</f>
        <v>0.66527777777777786</v>
      </c>
      <c r="E1109" s="8">
        <f>D1109+$T$15</f>
        <v>0.68263888888888902</v>
      </c>
      <c r="F1109" s="3">
        <f>E1109-D1109</f>
        <v>1.736111111111116E-2</v>
      </c>
      <c r="G1109" t="s">
        <v>16</v>
      </c>
      <c r="H1109" t="s">
        <v>1</v>
      </c>
    </row>
    <row r="1110" spans="1:8" x14ac:dyDescent="0.3">
      <c r="A1110" s="2">
        <v>44839</v>
      </c>
      <c r="B1110" s="2" t="str">
        <f>TEXT(AutoPomodoro[[#This Row],[DATE]],"mmmm")</f>
        <v>October</v>
      </c>
      <c r="C1110" s="2" t="str">
        <f>TEXT(AutoPomodoro[[#This Row],[DATE]],"yyyy")</f>
        <v>2022</v>
      </c>
      <c r="D1110" s="8">
        <f>E1109+$T$17</f>
        <v>0.68750000000000011</v>
      </c>
      <c r="E1110" s="8">
        <f>D1110+$T$15</f>
        <v>0.70486111111111127</v>
      </c>
      <c r="F1110" s="3">
        <f>E1110-D1110</f>
        <v>1.736111111111116E-2</v>
      </c>
      <c r="G1110" t="s">
        <v>16</v>
      </c>
      <c r="H1110" t="s">
        <v>1</v>
      </c>
    </row>
    <row r="1111" spans="1:8" x14ac:dyDescent="0.3">
      <c r="A1111" s="2">
        <v>44839</v>
      </c>
      <c r="B1111" s="2" t="str">
        <f>TEXT(AutoPomodoro[[#This Row],[DATE]],"mmmm")</f>
        <v>October</v>
      </c>
      <c r="C1111" s="2" t="str">
        <f>TEXT(AutoPomodoro[[#This Row],[DATE]],"yyyy")</f>
        <v>2022</v>
      </c>
      <c r="D1111" s="8">
        <v>0.70972222222222225</v>
      </c>
      <c r="E1111" s="8">
        <v>0.7270833333333333</v>
      </c>
      <c r="F1111" s="3">
        <v>3.888888888888889E-2</v>
      </c>
      <c r="G1111" t="s">
        <v>16</v>
      </c>
      <c r="H1111" t="s">
        <v>1</v>
      </c>
    </row>
    <row r="1112" spans="1:8" x14ac:dyDescent="0.3">
      <c r="A1112" s="2">
        <v>44840</v>
      </c>
      <c r="B1112" s="2" t="str">
        <f>TEXT(AutoPomodoro[[#This Row],[DATE]],"mmmm")</f>
        <v>October</v>
      </c>
      <c r="C1112" s="2" t="str">
        <f>TEXT(AutoPomodoro[[#This Row],[DATE]],"yyyy")</f>
        <v>2022</v>
      </c>
      <c r="D1112" s="8">
        <v>0.46527777777777773</v>
      </c>
      <c r="E1112" s="8">
        <v>0.47847222222222219</v>
      </c>
      <c r="F1112" s="3">
        <f t="shared" ref="F1112:F1122" si="92">E1112-D1112</f>
        <v>1.3194444444444453E-2</v>
      </c>
      <c r="G1112" t="s">
        <v>16</v>
      </c>
      <c r="H1112" t="s">
        <v>1</v>
      </c>
    </row>
    <row r="1113" spans="1:8" x14ac:dyDescent="0.3">
      <c r="A1113" s="2">
        <v>44840</v>
      </c>
      <c r="B1113" s="2" t="str">
        <f>TEXT(AutoPomodoro[[#This Row],[DATE]],"mmmm")</f>
        <v>October</v>
      </c>
      <c r="C1113" s="2" t="str">
        <f>TEXT(AutoPomodoro[[#This Row],[DATE]],"yyyy")</f>
        <v>2022</v>
      </c>
      <c r="D1113" s="8">
        <v>0.4916666666666667</v>
      </c>
      <c r="E1113" s="8">
        <v>0.60069444444444442</v>
      </c>
      <c r="F1113" s="3">
        <f t="shared" si="92"/>
        <v>0.10902777777777772</v>
      </c>
      <c r="G1113" t="s">
        <v>16</v>
      </c>
      <c r="H1113" t="s">
        <v>1</v>
      </c>
    </row>
    <row r="1114" spans="1:8" x14ac:dyDescent="0.3">
      <c r="A1114" s="2">
        <v>44840</v>
      </c>
      <c r="B1114" s="2" t="str">
        <f>TEXT(AutoPomodoro[[#This Row],[DATE]],"mmmm")</f>
        <v>October</v>
      </c>
      <c r="C1114" s="2" t="str">
        <f>TEXT(AutoPomodoro[[#This Row],[DATE]],"yyyy")</f>
        <v>2022</v>
      </c>
      <c r="D1114" s="8">
        <v>0.625</v>
      </c>
      <c r="E1114" s="8">
        <v>0.66666666666666663</v>
      </c>
      <c r="F1114" s="3">
        <f t="shared" si="92"/>
        <v>4.166666666666663E-2</v>
      </c>
      <c r="G1114" t="s">
        <v>16</v>
      </c>
      <c r="H1114" t="s">
        <v>1</v>
      </c>
    </row>
    <row r="1115" spans="1:8" x14ac:dyDescent="0.3">
      <c r="A1115" s="2">
        <v>44840</v>
      </c>
      <c r="B1115" s="2" t="str">
        <f>TEXT(AutoPomodoro[[#This Row],[DATE]],"mmmm")</f>
        <v>October</v>
      </c>
      <c r="C1115" s="2" t="str">
        <f>TEXT(AutoPomodoro[[#This Row],[DATE]],"yyyy")</f>
        <v>2022</v>
      </c>
      <c r="D1115" s="8">
        <v>0.68333333333333324</v>
      </c>
      <c r="E1115" s="8">
        <v>0.70138888888888884</v>
      </c>
      <c r="F1115" s="3">
        <f t="shared" si="92"/>
        <v>1.8055555555555602E-2</v>
      </c>
      <c r="G1115" t="s">
        <v>20</v>
      </c>
      <c r="H1115" t="s">
        <v>1</v>
      </c>
    </row>
    <row r="1116" spans="1:8" x14ac:dyDescent="0.3">
      <c r="A1116" s="2">
        <v>44840</v>
      </c>
      <c r="B1116" s="2" t="str">
        <f>TEXT(AutoPomodoro[[#This Row],[DATE]],"mmmm")</f>
        <v>October</v>
      </c>
      <c r="C1116" s="2" t="str">
        <f>TEXT(AutoPomodoro[[#This Row],[DATE]],"yyyy")</f>
        <v>2022</v>
      </c>
      <c r="D1116" s="8">
        <v>0.72569444444444453</v>
      </c>
      <c r="E1116" s="8">
        <v>0.74791666666666667</v>
      </c>
      <c r="F1116" s="3">
        <f t="shared" si="92"/>
        <v>2.2222222222222143E-2</v>
      </c>
      <c r="G1116" t="s">
        <v>20</v>
      </c>
      <c r="H1116" t="s">
        <v>1</v>
      </c>
    </row>
    <row r="1117" spans="1:8" x14ac:dyDescent="0.3">
      <c r="A1117" s="2">
        <v>44847</v>
      </c>
      <c r="B1117" s="2" t="str">
        <f>TEXT(AutoPomodoro[[#This Row],[DATE]],"mmmm")</f>
        <v>October</v>
      </c>
      <c r="C1117" s="2" t="str">
        <f>TEXT(AutoPomodoro[[#This Row],[DATE]],"yyyy")</f>
        <v>2022</v>
      </c>
      <c r="D1117" s="8">
        <v>0.60069444444444442</v>
      </c>
      <c r="E1117" s="8">
        <v>0.69791666666666663</v>
      </c>
      <c r="F1117" s="3">
        <f t="shared" si="92"/>
        <v>9.722222222222221E-2</v>
      </c>
      <c r="G1117" t="s">
        <v>20</v>
      </c>
      <c r="H1117" t="s">
        <v>1</v>
      </c>
    </row>
    <row r="1118" spans="1:8" x14ac:dyDescent="0.3">
      <c r="A1118" s="2">
        <v>44848</v>
      </c>
      <c r="B1118" s="2" t="str">
        <f>TEXT(AutoPomodoro[[#This Row],[DATE]],"mmmm")</f>
        <v>October</v>
      </c>
      <c r="C1118" s="2" t="str">
        <f>TEXT(AutoPomodoro[[#This Row],[DATE]],"yyyy")</f>
        <v>2022</v>
      </c>
      <c r="D1118" s="8">
        <v>0.61875000000000002</v>
      </c>
      <c r="E1118" s="8">
        <v>0.67222222222222217</v>
      </c>
      <c r="F1118" s="3">
        <f t="shared" si="92"/>
        <v>5.3472222222222143E-2</v>
      </c>
      <c r="G1118" t="s">
        <v>16</v>
      </c>
      <c r="H1118" t="s">
        <v>1</v>
      </c>
    </row>
    <row r="1119" spans="1:8" x14ac:dyDescent="0.3">
      <c r="A1119" s="2">
        <v>44850</v>
      </c>
      <c r="B1119" s="2" t="str">
        <f>TEXT(AutoPomodoro[[#This Row],[DATE]],"mmmm")</f>
        <v>October</v>
      </c>
      <c r="C1119" s="2" t="str">
        <f>TEXT(AutoPomodoro[[#This Row],[DATE]],"yyyy")</f>
        <v>2022</v>
      </c>
      <c r="D1119" s="8">
        <v>0.73611111111111116</v>
      </c>
      <c r="E1119" s="8">
        <v>0.77361111111111114</v>
      </c>
      <c r="F1119" s="3">
        <f t="shared" si="92"/>
        <v>3.7499999999999978E-2</v>
      </c>
      <c r="G1119" t="s">
        <v>16</v>
      </c>
      <c r="H1119" t="s">
        <v>1</v>
      </c>
    </row>
    <row r="1120" spans="1:8" x14ac:dyDescent="0.3">
      <c r="A1120" s="2">
        <v>44850</v>
      </c>
      <c r="B1120" s="2" t="str">
        <f>TEXT(AutoPomodoro[[#This Row],[DATE]],"mmmm")</f>
        <v>October</v>
      </c>
      <c r="C1120" s="2" t="str">
        <f>TEXT(AutoPomodoro[[#This Row],[DATE]],"yyyy")</f>
        <v>2022</v>
      </c>
      <c r="D1120" s="8">
        <v>0.78055555555555556</v>
      </c>
      <c r="E1120" s="8">
        <v>0.80347222222222225</v>
      </c>
      <c r="F1120" s="3">
        <f t="shared" si="92"/>
        <v>2.2916666666666696E-2</v>
      </c>
      <c r="G1120" t="s">
        <v>16</v>
      </c>
      <c r="H1120" t="s">
        <v>1</v>
      </c>
    </row>
    <row r="1121" spans="1:8" x14ac:dyDescent="0.3">
      <c r="A1121" s="2">
        <v>44851</v>
      </c>
      <c r="B1121" s="2" t="str">
        <f>TEXT(AutoPomodoro[[#This Row],[DATE]],"mmmm")</f>
        <v>October</v>
      </c>
      <c r="C1121" s="2" t="str">
        <f>TEXT(AutoPomodoro[[#This Row],[DATE]],"yyyy")</f>
        <v>2022</v>
      </c>
      <c r="D1121" s="8">
        <v>0.87847222222222221</v>
      </c>
      <c r="E1121" s="8">
        <v>0.90972222222222221</v>
      </c>
      <c r="F1121" s="3">
        <f t="shared" si="92"/>
        <v>3.125E-2</v>
      </c>
      <c r="G1121" t="s">
        <v>16</v>
      </c>
      <c r="H1121" t="s">
        <v>1</v>
      </c>
    </row>
    <row r="1122" spans="1:8" x14ac:dyDescent="0.3">
      <c r="A1122" s="2">
        <v>44852</v>
      </c>
      <c r="B1122" s="2" t="str">
        <f>TEXT(AutoPomodoro[[#This Row],[DATE]],"mmmm")</f>
        <v>October</v>
      </c>
      <c r="C1122" s="2" t="str">
        <f>TEXT(AutoPomodoro[[#This Row],[DATE]],"yyyy")</f>
        <v>2022</v>
      </c>
      <c r="D1122" s="8">
        <v>0.9375</v>
      </c>
      <c r="E1122" s="8">
        <v>0.95486111111111116</v>
      </c>
      <c r="F1122" s="3">
        <f t="shared" si="92"/>
        <v>1.736111111111116E-2</v>
      </c>
      <c r="G1122" t="s">
        <v>16</v>
      </c>
      <c r="H1122" t="s">
        <v>1</v>
      </c>
    </row>
    <row r="1123" spans="1:8" x14ac:dyDescent="0.3">
      <c r="A1123" s="2">
        <v>44852</v>
      </c>
      <c r="B1123" s="2" t="str">
        <f>TEXT(AutoPomodoro[[#This Row],[DATE]],"mmmm")</f>
        <v>October</v>
      </c>
      <c r="C1123" s="2" t="str">
        <f>TEXT(AutoPomodoro[[#This Row],[DATE]],"yyyy")</f>
        <v>2022</v>
      </c>
      <c r="D1123" s="8">
        <v>0.95833333333333337</v>
      </c>
      <c r="E1123" s="8">
        <v>0.97569444444444453</v>
      </c>
      <c r="F1123" s="3">
        <v>1.8055555555555557E-2</v>
      </c>
      <c r="G1123" t="s">
        <v>16</v>
      </c>
      <c r="H1123" t="s">
        <v>1</v>
      </c>
    </row>
    <row r="1124" spans="1:8" x14ac:dyDescent="0.3">
      <c r="A1124" s="2">
        <v>44853</v>
      </c>
      <c r="B1124" s="2" t="str">
        <f>TEXT(AutoPomodoro[[#This Row],[DATE]],"mmmm")</f>
        <v>October</v>
      </c>
      <c r="C1124" s="2" t="str">
        <f>TEXT(AutoPomodoro[[#This Row],[DATE]],"yyyy")</f>
        <v>2022</v>
      </c>
      <c r="D1124" s="8">
        <v>0.60416666666666663</v>
      </c>
      <c r="E1124" s="8">
        <f>D1124+$T$15</f>
        <v>0.62152777777777779</v>
      </c>
      <c r="F1124" s="3">
        <f>E1124-D1124</f>
        <v>1.736111111111116E-2</v>
      </c>
      <c r="G1124" t="s">
        <v>16</v>
      </c>
      <c r="H1124" t="s">
        <v>1</v>
      </c>
    </row>
    <row r="1125" spans="1:8" x14ac:dyDescent="0.3">
      <c r="A1125" s="2">
        <v>44853</v>
      </c>
      <c r="B1125" s="2" t="str">
        <f>TEXT(AutoPomodoro[[#This Row],[DATE]],"mmmm")</f>
        <v>October</v>
      </c>
      <c r="C1125" s="2" t="str">
        <f>TEXT(AutoPomodoro[[#This Row],[DATE]],"yyyy")</f>
        <v>2022</v>
      </c>
      <c r="D1125" s="8">
        <f>E1124+$T$16</f>
        <v>0.625</v>
      </c>
      <c r="E1125" s="8">
        <f>D1125+$T$15</f>
        <v>0.64236111111111116</v>
      </c>
      <c r="F1125" s="3">
        <f>E1125-D1125</f>
        <v>1.736111111111116E-2</v>
      </c>
      <c r="G1125" t="s">
        <v>16</v>
      </c>
      <c r="H1125" t="s">
        <v>1</v>
      </c>
    </row>
    <row r="1126" spans="1:8" x14ac:dyDescent="0.3">
      <c r="A1126" s="2">
        <v>44853</v>
      </c>
      <c r="B1126" s="2" t="str">
        <f>TEXT(AutoPomodoro[[#This Row],[DATE]],"mmmm")</f>
        <v>October</v>
      </c>
      <c r="C1126" s="2" t="str">
        <f>TEXT(AutoPomodoro[[#This Row],[DATE]],"yyyy")</f>
        <v>2022</v>
      </c>
      <c r="D1126" s="8">
        <f>E1125+$T$16</f>
        <v>0.64583333333333337</v>
      </c>
      <c r="E1126" s="8">
        <f>D1126+$T$15</f>
        <v>0.66319444444444453</v>
      </c>
      <c r="F1126" s="3">
        <f>E1126-D1126</f>
        <v>1.736111111111116E-2</v>
      </c>
      <c r="G1126" t="s">
        <v>16</v>
      </c>
      <c r="H1126" t="s">
        <v>1</v>
      </c>
    </row>
    <row r="1127" spans="1:8" x14ac:dyDescent="0.3">
      <c r="A1127" s="2">
        <v>44853</v>
      </c>
      <c r="B1127" s="2" t="str">
        <f>TEXT(AutoPomodoro[[#This Row],[DATE]],"mmmm")</f>
        <v>October</v>
      </c>
      <c r="C1127" s="2" t="str">
        <f>TEXT(AutoPomodoro[[#This Row],[DATE]],"yyyy")</f>
        <v>2022</v>
      </c>
      <c r="D1127" s="8">
        <f>E1126+$T$17</f>
        <v>0.66805555555555562</v>
      </c>
      <c r="E1127" s="8">
        <f>D1127+$T$15</f>
        <v>0.68541666666666679</v>
      </c>
      <c r="F1127" s="3">
        <v>1.3194444444444444E-2</v>
      </c>
      <c r="G1127" t="s">
        <v>16</v>
      </c>
      <c r="H1127" t="s">
        <v>1</v>
      </c>
    </row>
    <row r="1128" spans="1:8" x14ac:dyDescent="0.3">
      <c r="A1128" s="2">
        <v>44853</v>
      </c>
      <c r="B1128" s="2" t="str">
        <f>TEXT(AutoPomodoro[[#This Row],[DATE]],"mmmm")</f>
        <v>October</v>
      </c>
      <c r="C1128" s="2" t="str">
        <f>TEXT(AutoPomodoro[[#This Row],[DATE]],"yyyy")</f>
        <v>2022</v>
      </c>
      <c r="D1128" s="8">
        <v>0.68541666666666679</v>
      </c>
      <c r="E1128" s="8">
        <f>D1128+M</f>
        <v>0.69583333333333341</v>
      </c>
      <c r="F1128" s="3">
        <v>5.5555555555555558E-3</v>
      </c>
      <c r="G1128" t="s">
        <v>21</v>
      </c>
      <c r="H1128" t="s">
        <v>1</v>
      </c>
    </row>
    <row r="1129" spans="1:8" x14ac:dyDescent="0.3">
      <c r="A1129" s="2">
        <v>44853</v>
      </c>
      <c r="B1129" s="2" t="str">
        <f>TEXT(AutoPomodoro[[#This Row],[DATE]],"mmmm")</f>
        <v>October</v>
      </c>
      <c r="C1129" s="2" t="str">
        <f>TEXT(AutoPomodoro[[#This Row],[DATE]],"yyyy")</f>
        <v>2022</v>
      </c>
      <c r="D1129" s="8">
        <v>0.69583333333333341</v>
      </c>
      <c r="E1129" s="8">
        <f>D1129+$T$15</f>
        <v>0.71319444444444458</v>
      </c>
      <c r="F1129" s="3">
        <f>E1129-D1129</f>
        <v>1.736111111111116E-2</v>
      </c>
      <c r="G1129" t="s">
        <v>16</v>
      </c>
      <c r="H1129" t="s">
        <v>1</v>
      </c>
    </row>
    <row r="1130" spans="1:8" x14ac:dyDescent="0.3">
      <c r="A1130" s="2">
        <v>44853</v>
      </c>
      <c r="B1130" s="2" t="str">
        <f>TEXT(AutoPomodoro[[#This Row],[DATE]],"mmmm")</f>
        <v>October</v>
      </c>
      <c r="C1130" s="2" t="str">
        <f>TEXT(AutoPomodoro[[#This Row],[DATE]],"yyyy")</f>
        <v>2022</v>
      </c>
      <c r="D1130" s="8">
        <f>E1129+$T$16</f>
        <v>0.71666666666666679</v>
      </c>
      <c r="E1130" s="8">
        <f>D1130+$T$15</f>
        <v>0.73402777777777795</v>
      </c>
      <c r="F1130" s="3">
        <v>7.6388888888888886E-3</v>
      </c>
      <c r="G1130" t="s">
        <v>16</v>
      </c>
      <c r="H1130" t="s">
        <v>1</v>
      </c>
    </row>
    <row r="1131" spans="1:8" x14ac:dyDescent="0.3">
      <c r="A1131" s="2">
        <v>44854</v>
      </c>
      <c r="B1131" s="2" t="str">
        <f>TEXT(AutoPomodoro[[#This Row],[DATE]],"mmmm")</f>
        <v>October</v>
      </c>
      <c r="C1131" s="2" t="str">
        <f>TEXT(AutoPomodoro[[#This Row],[DATE]],"yyyy")</f>
        <v>2022</v>
      </c>
      <c r="D1131" s="8">
        <v>0.44791666666666669</v>
      </c>
      <c r="E1131" s="8">
        <v>0.4861111111111111</v>
      </c>
      <c r="F1131" s="3">
        <f t="shared" ref="F1131:F1136" si="93">E1131-D1131</f>
        <v>3.819444444444442E-2</v>
      </c>
      <c r="G1131" t="s">
        <v>16</v>
      </c>
      <c r="H1131" t="s">
        <v>1</v>
      </c>
    </row>
    <row r="1132" spans="1:8" x14ac:dyDescent="0.3">
      <c r="A1132" s="2">
        <v>44854</v>
      </c>
      <c r="B1132" s="2" t="str">
        <f>TEXT(AutoPomodoro[[#This Row],[DATE]],"mmmm")</f>
        <v>October</v>
      </c>
      <c r="C1132" s="2" t="str">
        <f>TEXT(AutoPomodoro[[#This Row],[DATE]],"yyyy")</f>
        <v>2022</v>
      </c>
      <c r="D1132" s="8">
        <v>0.5</v>
      </c>
      <c r="E1132" s="8">
        <v>0.51250000000000007</v>
      </c>
      <c r="F1132" s="3">
        <f t="shared" si="93"/>
        <v>1.2500000000000067E-2</v>
      </c>
      <c r="G1132" t="s">
        <v>16</v>
      </c>
      <c r="H1132" t="s">
        <v>1</v>
      </c>
    </row>
    <row r="1133" spans="1:8" x14ac:dyDescent="0.3">
      <c r="A1133" s="2">
        <v>44854</v>
      </c>
      <c r="B1133" s="2" t="str">
        <f>TEXT(AutoPomodoro[[#This Row],[DATE]],"mmmm")</f>
        <v>October</v>
      </c>
      <c r="C1133" s="2" t="str">
        <f>TEXT(AutoPomodoro[[#This Row],[DATE]],"yyyy")</f>
        <v>2022</v>
      </c>
      <c r="D1133" s="8">
        <v>0.52222222222222225</v>
      </c>
      <c r="E1133" s="8">
        <v>0.55555555555555558</v>
      </c>
      <c r="F1133" s="3">
        <f t="shared" si="93"/>
        <v>3.3333333333333326E-2</v>
      </c>
      <c r="G1133" t="s">
        <v>16</v>
      </c>
      <c r="H1133" t="s">
        <v>1</v>
      </c>
    </row>
    <row r="1134" spans="1:8" x14ac:dyDescent="0.3">
      <c r="A1134" s="2">
        <v>44854</v>
      </c>
      <c r="B1134" s="2" t="str">
        <f>TEXT(AutoPomodoro[[#This Row],[DATE]],"mmmm")</f>
        <v>October</v>
      </c>
      <c r="C1134" s="2" t="str">
        <f>TEXT(AutoPomodoro[[#This Row],[DATE]],"yyyy")</f>
        <v>2022</v>
      </c>
      <c r="D1134" s="8">
        <v>0.56597222222222221</v>
      </c>
      <c r="E1134" s="8">
        <v>0.59375</v>
      </c>
      <c r="F1134" s="3">
        <f t="shared" si="93"/>
        <v>2.777777777777779E-2</v>
      </c>
      <c r="G1134" t="s">
        <v>16</v>
      </c>
      <c r="H1134" t="s">
        <v>1</v>
      </c>
    </row>
    <row r="1135" spans="1:8" x14ac:dyDescent="0.3">
      <c r="A1135" s="2">
        <v>44854</v>
      </c>
      <c r="B1135" s="2" t="str">
        <f>TEXT(AutoPomodoro[[#This Row],[DATE]],"mmmm")</f>
        <v>October</v>
      </c>
      <c r="C1135" s="2" t="str">
        <f>TEXT(AutoPomodoro[[#This Row],[DATE]],"yyyy")</f>
        <v>2022</v>
      </c>
      <c r="D1135" s="8">
        <v>0.60138888888888886</v>
      </c>
      <c r="E1135" s="8">
        <v>0.64444444444444449</v>
      </c>
      <c r="F1135" s="3">
        <f t="shared" si="93"/>
        <v>4.3055555555555625E-2</v>
      </c>
      <c r="G1135" t="s">
        <v>16</v>
      </c>
      <c r="H1135" t="s">
        <v>1</v>
      </c>
    </row>
    <row r="1136" spans="1:8" x14ac:dyDescent="0.3">
      <c r="A1136" s="2">
        <v>44854</v>
      </c>
      <c r="B1136" s="2" t="str">
        <f>TEXT(AutoPomodoro[[#This Row],[DATE]],"mmmm")</f>
        <v>October</v>
      </c>
      <c r="C1136" s="2" t="str">
        <f>TEXT(AutoPomodoro[[#This Row],[DATE]],"yyyy")</f>
        <v>2022</v>
      </c>
      <c r="D1136" s="8">
        <v>0.73611111111111116</v>
      </c>
      <c r="E1136" s="8">
        <f>D1136+$T$15</f>
        <v>0.75347222222222232</v>
      </c>
      <c r="F1136" s="3">
        <f t="shared" si="93"/>
        <v>1.736111111111116E-2</v>
      </c>
      <c r="G1136" t="s">
        <v>16</v>
      </c>
      <c r="H1136" t="s">
        <v>1</v>
      </c>
    </row>
    <row r="1137" spans="1:8" x14ac:dyDescent="0.3">
      <c r="A1137" s="2">
        <v>44854</v>
      </c>
      <c r="B1137" s="2" t="str">
        <f>TEXT(AutoPomodoro[[#This Row],[DATE]],"mmmm")</f>
        <v>October</v>
      </c>
      <c r="C1137" s="2" t="str">
        <f>TEXT(AutoPomodoro[[#This Row],[DATE]],"yyyy")</f>
        <v>2022</v>
      </c>
      <c r="D1137" s="8">
        <f>E1136+$T$16</f>
        <v>0.75694444444444453</v>
      </c>
      <c r="E1137" s="8">
        <f>D1137+$T$15</f>
        <v>0.77430555555555569</v>
      </c>
      <c r="F1137" s="3">
        <v>1.8749999999999999E-2</v>
      </c>
      <c r="G1137" t="s">
        <v>16</v>
      </c>
      <c r="H1137" t="s">
        <v>1</v>
      </c>
    </row>
    <row r="1138" spans="1:8" x14ac:dyDescent="0.3">
      <c r="A1138" s="2">
        <v>44854</v>
      </c>
      <c r="B1138" s="2" t="str">
        <f>TEXT(AutoPomodoro[[#This Row],[DATE]],"mmmm")</f>
        <v>October</v>
      </c>
      <c r="C1138" s="2" t="str">
        <f>TEXT(AutoPomodoro[[#This Row],[DATE]],"yyyy")</f>
        <v>2022</v>
      </c>
      <c r="D1138" s="8">
        <f>E1137+$T$16</f>
        <v>0.7777777777777779</v>
      </c>
      <c r="E1138" s="8">
        <f>D1138+$T$15</f>
        <v>0.79513888888888906</v>
      </c>
      <c r="F1138" s="3">
        <f>E1138-D1138</f>
        <v>1.736111111111116E-2</v>
      </c>
      <c r="G1138" t="s">
        <v>16</v>
      </c>
      <c r="H1138" t="s">
        <v>1</v>
      </c>
    </row>
    <row r="1139" spans="1:8" x14ac:dyDescent="0.3">
      <c r="A1139" s="2">
        <v>44858</v>
      </c>
      <c r="B1139" s="2" t="str">
        <f>TEXT(AutoPomodoro[[#This Row],[DATE]],"mmmm")</f>
        <v>October</v>
      </c>
      <c r="C1139" s="2" t="str">
        <f>TEXT(AutoPomodoro[[#This Row],[DATE]],"yyyy")</f>
        <v>2022</v>
      </c>
      <c r="D1139" s="8">
        <v>1.1805555555555555E-2</v>
      </c>
      <c r="E1139" s="8">
        <v>2.7777777777777776E-2</v>
      </c>
      <c r="F1139" s="3">
        <f>E1139-D1139</f>
        <v>1.5972222222222221E-2</v>
      </c>
      <c r="G1139" t="s">
        <v>16</v>
      </c>
      <c r="H1139" t="s">
        <v>1</v>
      </c>
    </row>
    <row r="1140" spans="1:8" x14ac:dyDescent="0.3">
      <c r="A1140" s="2">
        <v>44858</v>
      </c>
      <c r="B1140" s="2" t="str">
        <f>TEXT(AutoPomodoro[[#This Row],[DATE]],"mmmm")</f>
        <v>October</v>
      </c>
      <c r="C1140" s="2" t="str">
        <f>TEXT(AutoPomodoro[[#This Row],[DATE]],"yyyy")</f>
        <v>2022</v>
      </c>
      <c r="D1140" s="8">
        <v>0.50347222222222221</v>
      </c>
      <c r="E1140" s="8">
        <v>0.5395833333333333</v>
      </c>
      <c r="F1140" s="3">
        <f>E1140-D1140</f>
        <v>3.6111111111111094E-2</v>
      </c>
      <c r="G1140" t="s">
        <v>16</v>
      </c>
      <c r="H1140" t="s">
        <v>1</v>
      </c>
    </row>
    <row r="1141" spans="1:8" x14ac:dyDescent="0.3">
      <c r="A1141" s="2">
        <v>44858</v>
      </c>
      <c r="B1141" s="2" t="str">
        <f>TEXT(AutoPomodoro[[#This Row],[DATE]],"mmmm")</f>
        <v>October</v>
      </c>
      <c r="C1141" s="2" t="str">
        <f>TEXT(AutoPomodoro[[#This Row],[DATE]],"yyyy")</f>
        <v>2022</v>
      </c>
      <c r="D1141" s="8">
        <v>0.54513888888888895</v>
      </c>
      <c r="E1141" s="8">
        <v>0.55208333333333337</v>
      </c>
      <c r="F1141" s="3">
        <v>1.0416666666666666E-2</v>
      </c>
      <c r="G1141" t="s">
        <v>16</v>
      </c>
      <c r="H1141" t="s">
        <v>1</v>
      </c>
    </row>
    <row r="1142" spans="1:8" x14ac:dyDescent="0.3">
      <c r="A1142" s="2">
        <v>44858</v>
      </c>
      <c r="B1142" s="2" t="str">
        <f>TEXT(AutoPomodoro[[#This Row],[DATE]],"mmmm")</f>
        <v>October</v>
      </c>
      <c r="C1142" s="2" t="str">
        <f>TEXT(AutoPomodoro[[#This Row],[DATE]],"yyyy")</f>
        <v>2022</v>
      </c>
      <c r="D1142" s="8">
        <v>0.71527777777777779</v>
      </c>
      <c r="E1142" s="8">
        <v>0.72569444444444453</v>
      </c>
      <c r="F1142" s="3">
        <f t="shared" ref="F1142:F1166" si="94">E1142-D1142</f>
        <v>1.0416666666666741E-2</v>
      </c>
      <c r="G1142" t="s">
        <v>16</v>
      </c>
      <c r="H1142" t="s">
        <v>1</v>
      </c>
    </row>
    <row r="1143" spans="1:8" x14ac:dyDescent="0.3">
      <c r="A1143" s="2">
        <v>44859</v>
      </c>
      <c r="B1143" s="2" t="str">
        <f>TEXT(AutoPomodoro[[#This Row],[DATE]],"mmmm")</f>
        <v>October</v>
      </c>
      <c r="C1143" s="2" t="str">
        <f>TEXT(AutoPomodoro[[#This Row],[DATE]],"yyyy")</f>
        <v>2022</v>
      </c>
      <c r="D1143" s="8">
        <v>0.55208333333333337</v>
      </c>
      <c r="E1143" s="8">
        <v>0.55972222222222223</v>
      </c>
      <c r="F1143" s="3">
        <f t="shared" si="94"/>
        <v>7.6388888888888618E-3</v>
      </c>
      <c r="G1143" t="s">
        <v>0</v>
      </c>
      <c r="H1143" t="s">
        <v>1</v>
      </c>
    </row>
    <row r="1144" spans="1:8" x14ac:dyDescent="0.3">
      <c r="A1144" s="2">
        <v>44859</v>
      </c>
      <c r="B1144" s="2" t="str">
        <f>TEXT(AutoPomodoro[[#This Row],[DATE]],"mmmm")</f>
        <v>October</v>
      </c>
      <c r="C1144" s="2" t="str">
        <f>TEXT(AutoPomodoro[[#This Row],[DATE]],"yyyy")</f>
        <v>2022</v>
      </c>
      <c r="D1144" s="8">
        <v>0.65277777777777779</v>
      </c>
      <c r="E1144" s="8">
        <f t="shared" ref="E1144:E1149" si="95">D1144+$T$15</f>
        <v>0.67013888888888895</v>
      </c>
      <c r="F1144" s="3">
        <f t="shared" si="94"/>
        <v>1.736111111111116E-2</v>
      </c>
      <c r="G1144" t="s">
        <v>16</v>
      </c>
      <c r="H1144" t="s">
        <v>1</v>
      </c>
    </row>
    <row r="1145" spans="1:8" x14ac:dyDescent="0.3">
      <c r="A1145" s="2">
        <v>44859</v>
      </c>
      <c r="B1145" s="2" t="str">
        <f>TEXT(AutoPomodoro[[#This Row],[DATE]],"mmmm")</f>
        <v>October</v>
      </c>
      <c r="C1145" s="2" t="str">
        <f>TEXT(AutoPomodoro[[#This Row],[DATE]],"yyyy")</f>
        <v>2022</v>
      </c>
      <c r="D1145" s="8">
        <f>E1144+$T$16</f>
        <v>0.67361111111111116</v>
      </c>
      <c r="E1145" s="8">
        <f t="shared" si="95"/>
        <v>0.69097222222222232</v>
      </c>
      <c r="F1145" s="3">
        <f t="shared" si="94"/>
        <v>1.736111111111116E-2</v>
      </c>
      <c r="G1145" t="s">
        <v>16</v>
      </c>
      <c r="H1145" t="s">
        <v>1</v>
      </c>
    </row>
    <row r="1146" spans="1:8" x14ac:dyDescent="0.3">
      <c r="A1146" s="2">
        <v>44859</v>
      </c>
      <c r="B1146" s="2" t="str">
        <f>TEXT(AutoPomodoro[[#This Row],[DATE]],"mmmm")</f>
        <v>October</v>
      </c>
      <c r="C1146" s="2" t="str">
        <f>TEXT(AutoPomodoro[[#This Row],[DATE]],"yyyy")</f>
        <v>2022</v>
      </c>
      <c r="D1146" s="8">
        <f>E1145+$T$16</f>
        <v>0.69444444444444453</v>
      </c>
      <c r="E1146" s="8">
        <f t="shared" si="95"/>
        <v>0.71180555555555569</v>
      </c>
      <c r="F1146" s="3">
        <f t="shared" si="94"/>
        <v>1.736111111111116E-2</v>
      </c>
      <c r="G1146" t="s">
        <v>16</v>
      </c>
      <c r="H1146" t="s">
        <v>1</v>
      </c>
    </row>
    <row r="1147" spans="1:8" x14ac:dyDescent="0.3">
      <c r="A1147" s="2">
        <v>44859</v>
      </c>
      <c r="B1147" s="2" t="str">
        <f>TEXT(AutoPomodoro[[#This Row],[DATE]],"mmmm")</f>
        <v>October</v>
      </c>
      <c r="C1147" s="2" t="str">
        <f>TEXT(AutoPomodoro[[#This Row],[DATE]],"yyyy")</f>
        <v>2022</v>
      </c>
      <c r="D1147" s="8">
        <f>E1146+$T$17</f>
        <v>0.71666666666666679</v>
      </c>
      <c r="E1147" s="8">
        <f t="shared" si="95"/>
        <v>0.73402777777777795</v>
      </c>
      <c r="F1147" s="3">
        <f t="shared" si="94"/>
        <v>1.736111111111116E-2</v>
      </c>
      <c r="G1147" t="s">
        <v>16</v>
      </c>
      <c r="H1147" t="s">
        <v>1</v>
      </c>
    </row>
    <row r="1148" spans="1:8" x14ac:dyDescent="0.3">
      <c r="A1148" s="2">
        <v>44859</v>
      </c>
      <c r="B1148" s="2" t="str">
        <f>TEXT(AutoPomodoro[[#This Row],[DATE]],"mmmm")</f>
        <v>October</v>
      </c>
      <c r="C1148" s="2" t="str">
        <f>TEXT(AutoPomodoro[[#This Row],[DATE]],"yyyy")</f>
        <v>2022</v>
      </c>
      <c r="D1148" s="8">
        <v>0.76041666666666663</v>
      </c>
      <c r="E1148" s="8">
        <f t="shared" si="95"/>
        <v>0.77777777777777779</v>
      </c>
      <c r="F1148" s="3">
        <f t="shared" si="94"/>
        <v>1.736111111111116E-2</v>
      </c>
      <c r="G1148" t="s">
        <v>16</v>
      </c>
      <c r="H1148" t="s">
        <v>1</v>
      </c>
    </row>
    <row r="1149" spans="1:8" x14ac:dyDescent="0.3">
      <c r="A1149" s="2">
        <v>44859</v>
      </c>
      <c r="B1149" s="2" t="str">
        <f>TEXT(AutoPomodoro[[#This Row],[DATE]],"mmmm")</f>
        <v>October</v>
      </c>
      <c r="C1149" s="2" t="str">
        <f>TEXT(AutoPomodoro[[#This Row],[DATE]],"yyyy")</f>
        <v>2022</v>
      </c>
      <c r="D1149" s="8">
        <f>E1148+$T$16</f>
        <v>0.78125</v>
      </c>
      <c r="E1149" s="8">
        <f t="shared" si="95"/>
        <v>0.79861111111111116</v>
      </c>
      <c r="F1149" s="3">
        <f t="shared" si="94"/>
        <v>1.736111111111116E-2</v>
      </c>
      <c r="G1149" t="s">
        <v>16</v>
      </c>
      <c r="H1149" t="s">
        <v>1</v>
      </c>
    </row>
    <row r="1150" spans="1:8" x14ac:dyDescent="0.3">
      <c r="A1150" s="2">
        <v>44855</v>
      </c>
      <c r="B1150" s="2" t="str">
        <f>TEXT(AutoPomodoro[[#This Row],[DATE]],"mmmm")</f>
        <v>October</v>
      </c>
      <c r="C1150" s="2" t="str">
        <f>TEXT(AutoPomodoro[[#This Row],[DATE]],"yyyy")</f>
        <v>2022</v>
      </c>
      <c r="D1150" s="8">
        <v>0.64583333333333337</v>
      </c>
      <c r="E1150" s="8">
        <f>D1150+'STUDY LOG'!$T$15</f>
        <v>0.66319444444444453</v>
      </c>
      <c r="F1150" s="3">
        <f t="shared" si="94"/>
        <v>1.736111111111116E-2</v>
      </c>
      <c r="G1150" t="s">
        <v>16</v>
      </c>
      <c r="H1150" t="s">
        <v>1</v>
      </c>
    </row>
    <row r="1151" spans="1:8" x14ac:dyDescent="0.3">
      <c r="A1151" s="2">
        <v>44855</v>
      </c>
      <c r="B1151" s="2" t="str">
        <f>TEXT(AutoPomodoro[[#This Row],[DATE]],"mmmm")</f>
        <v>October</v>
      </c>
      <c r="C1151" s="2" t="str">
        <f>TEXT(AutoPomodoro[[#This Row],[DATE]],"yyyy")</f>
        <v>2022</v>
      </c>
      <c r="D1151" s="8">
        <f>E1150+'STUDY LOG'!$T$16</f>
        <v>0.66666666666666674</v>
      </c>
      <c r="E1151" s="8">
        <f>D1151+'STUDY LOG'!$T$15</f>
        <v>0.6840277777777779</v>
      </c>
      <c r="F1151" s="3">
        <f t="shared" si="94"/>
        <v>1.736111111111116E-2</v>
      </c>
      <c r="G1151" t="s">
        <v>16</v>
      </c>
      <c r="H1151" t="s">
        <v>1</v>
      </c>
    </row>
    <row r="1152" spans="1:8" x14ac:dyDescent="0.3">
      <c r="A1152" s="2">
        <v>44855</v>
      </c>
      <c r="B1152" s="2" t="str">
        <f>TEXT(AutoPomodoro[[#This Row],[DATE]],"mmmm")</f>
        <v>October</v>
      </c>
      <c r="C1152" s="2" t="str">
        <f>TEXT(AutoPomodoro[[#This Row],[DATE]],"yyyy")</f>
        <v>2022</v>
      </c>
      <c r="D1152" s="8">
        <f>E1151+'STUDY LOG'!$T$16</f>
        <v>0.68750000000000011</v>
      </c>
      <c r="E1152" s="8">
        <f>D1152+'STUDY LOG'!$T$15</f>
        <v>0.70486111111111127</v>
      </c>
      <c r="F1152" s="3">
        <f t="shared" si="94"/>
        <v>1.736111111111116E-2</v>
      </c>
      <c r="G1152" t="s">
        <v>16</v>
      </c>
      <c r="H1152" t="s">
        <v>1</v>
      </c>
    </row>
    <row r="1153" spans="1:8" x14ac:dyDescent="0.3">
      <c r="A1153" s="2">
        <v>44860</v>
      </c>
      <c r="B1153" s="2" t="str">
        <f>TEXT(AutoPomodoro[[#This Row],[DATE]],"mmmm")</f>
        <v>October</v>
      </c>
      <c r="C1153" s="2" t="str">
        <f>TEXT(AutoPomodoro[[#This Row],[DATE]],"yyyy")</f>
        <v>2022</v>
      </c>
      <c r="D1153" s="8">
        <v>0.49305555555555558</v>
      </c>
      <c r="E1153" s="8">
        <v>0.5131944444444444</v>
      </c>
      <c r="F1153" s="3">
        <f t="shared" si="94"/>
        <v>2.0138888888888817E-2</v>
      </c>
      <c r="G1153" t="s">
        <v>16</v>
      </c>
      <c r="H1153" t="s">
        <v>1</v>
      </c>
    </row>
    <row r="1154" spans="1:8" x14ac:dyDescent="0.3">
      <c r="A1154" s="2">
        <v>44860</v>
      </c>
      <c r="B1154" s="2" t="str">
        <f>TEXT(AutoPomodoro[[#This Row],[DATE]],"mmmm")</f>
        <v>October</v>
      </c>
      <c r="C1154" s="2" t="str">
        <f>TEXT(AutoPomodoro[[#This Row],[DATE]],"yyyy")</f>
        <v>2022</v>
      </c>
      <c r="D1154" s="8">
        <v>0.51527777777777783</v>
      </c>
      <c r="E1154" s="8">
        <v>0.54166666666666663</v>
      </c>
      <c r="F1154" s="3">
        <f t="shared" si="94"/>
        <v>2.6388888888888795E-2</v>
      </c>
      <c r="G1154" t="s">
        <v>16</v>
      </c>
      <c r="H1154" t="s">
        <v>1</v>
      </c>
    </row>
    <row r="1155" spans="1:8" x14ac:dyDescent="0.3">
      <c r="A1155" s="2">
        <v>44860</v>
      </c>
      <c r="B1155" s="2" t="str">
        <f>TEXT(AutoPomodoro[[#This Row],[DATE]],"mmmm")</f>
        <v>October</v>
      </c>
      <c r="C1155" s="2" t="str">
        <f>TEXT(AutoPomodoro[[#This Row],[DATE]],"yyyy")</f>
        <v>2022</v>
      </c>
      <c r="D1155" s="8">
        <v>0.55347222222222225</v>
      </c>
      <c r="E1155" s="8">
        <v>0.58194444444444449</v>
      </c>
      <c r="F1155" s="3">
        <f t="shared" si="94"/>
        <v>2.8472222222222232E-2</v>
      </c>
      <c r="G1155" t="s">
        <v>16</v>
      </c>
      <c r="H1155" t="s">
        <v>1</v>
      </c>
    </row>
    <row r="1156" spans="1:8" x14ac:dyDescent="0.3">
      <c r="A1156" s="2">
        <v>44860</v>
      </c>
      <c r="B1156" s="2" t="str">
        <f>TEXT(AutoPomodoro[[#This Row],[DATE]],"mmmm")</f>
        <v>October</v>
      </c>
      <c r="C1156" s="2" t="str">
        <f>TEXT(AutoPomodoro[[#This Row],[DATE]],"yyyy")</f>
        <v>2022</v>
      </c>
      <c r="D1156" s="8">
        <v>0.61805555555555558</v>
      </c>
      <c r="E1156" s="8">
        <v>0.63263888888888886</v>
      </c>
      <c r="F1156" s="3">
        <f t="shared" si="94"/>
        <v>1.4583333333333282E-2</v>
      </c>
      <c r="G1156" t="s">
        <v>16</v>
      </c>
      <c r="H1156" t="s">
        <v>1</v>
      </c>
    </row>
    <row r="1157" spans="1:8" x14ac:dyDescent="0.3">
      <c r="A1157" s="2">
        <v>44860</v>
      </c>
      <c r="B1157" s="2" t="str">
        <f>TEXT(AutoPomodoro[[#This Row],[DATE]],"mmmm")</f>
        <v>October</v>
      </c>
      <c r="C1157" s="2" t="str">
        <f>TEXT(AutoPomodoro[[#This Row],[DATE]],"yyyy")</f>
        <v>2022</v>
      </c>
      <c r="D1157" s="8">
        <v>0.65069444444444446</v>
      </c>
      <c r="E1157" s="8">
        <v>0.68125000000000002</v>
      </c>
      <c r="F1157" s="3">
        <f t="shared" si="94"/>
        <v>3.0555555555555558E-2</v>
      </c>
      <c r="G1157" t="s">
        <v>16</v>
      </c>
      <c r="H1157" t="s">
        <v>1</v>
      </c>
    </row>
    <row r="1158" spans="1:8" x14ac:dyDescent="0.3">
      <c r="A1158" s="2">
        <v>44860</v>
      </c>
      <c r="B1158" s="2" t="str">
        <f>TEXT(AutoPomodoro[[#This Row],[DATE]],"mmmm")</f>
        <v>October</v>
      </c>
      <c r="C1158" s="2" t="str">
        <f>TEXT(AutoPomodoro[[#This Row],[DATE]],"yyyy")</f>
        <v>2022</v>
      </c>
      <c r="D1158" s="8">
        <v>0.95138888888888884</v>
      </c>
      <c r="E1158" s="8">
        <v>1.0256944444444445</v>
      </c>
      <c r="F1158" s="3">
        <f t="shared" si="94"/>
        <v>7.4305555555555625E-2</v>
      </c>
      <c r="G1158" t="s">
        <v>16</v>
      </c>
      <c r="H1158" t="s">
        <v>1</v>
      </c>
    </row>
    <row r="1159" spans="1:8" x14ac:dyDescent="0.3">
      <c r="A1159" s="2">
        <v>44861</v>
      </c>
      <c r="B1159" s="2" t="str">
        <f>TEXT(AutoPomodoro[[#This Row],[DATE]],"mmmm")</f>
        <v>October</v>
      </c>
      <c r="C1159" s="2" t="str">
        <f>TEXT(AutoPomodoro[[#This Row],[DATE]],"yyyy")</f>
        <v>2022</v>
      </c>
      <c r="D1159" s="8">
        <v>0.44236111111111115</v>
      </c>
      <c r="E1159" s="8">
        <v>0.47222222222222227</v>
      </c>
      <c r="F1159" s="3">
        <f t="shared" si="94"/>
        <v>2.9861111111111116E-2</v>
      </c>
      <c r="G1159" t="s">
        <v>16</v>
      </c>
      <c r="H1159" t="s">
        <v>1</v>
      </c>
    </row>
    <row r="1160" spans="1:8" x14ac:dyDescent="0.3">
      <c r="A1160" s="2">
        <v>44861</v>
      </c>
      <c r="B1160" s="2" t="str">
        <f>TEXT(AutoPomodoro[[#This Row],[DATE]],"mmmm")</f>
        <v>October</v>
      </c>
      <c r="C1160" s="2" t="str">
        <f>TEXT(AutoPomodoro[[#This Row],[DATE]],"yyyy")</f>
        <v>2022</v>
      </c>
      <c r="D1160" s="8">
        <v>0.4826388888888889</v>
      </c>
      <c r="E1160" s="8">
        <v>0.51597222222222217</v>
      </c>
      <c r="F1160" s="3">
        <f t="shared" si="94"/>
        <v>3.333333333333327E-2</v>
      </c>
      <c r="G1160" t="s">
        <v>16</v>
      </c>
      <c r="H1160" t="s">
        <v>1</v>
      </c>
    </row>
    <row r="1161" spans="1:8" x14ac:dyDescent="0.3">
      <c r="A1161" s="2">
        <v>44861</v>
      </c>
      <c r="B1161" s="2" t="str">
        <f>TEXT(AutoPomodoro[[#This Row],[DATE]],"mmmm")</f>
        <v>October</v>
      </c>
      <c r="C1161" s="2" t="str">
        <f>TEXT(AutoPomodoro[[#This Row],[DATE]],"yyyy")</f>
        <v>2022</v>
      </c>
      <c r="D1161" s="8">
        <v>0.52083333333333337</v>
      </c>
      <c r="E1161" s="8">
        <v>0.55902777777777779</v>
      </c>
      <c r="F1161" s="3">
        <f t="shared" si="94"/>
        <v>3.819444444444442E-2</v>
      </c>
      <c r="G1161" t="s">
        <v>16</v>
      </c>
      <c r="H1161" t="s">
        <v>1</v>
      </c>
    </row>
    <row r="1162" spans="1:8" x14ac:dyDescent="0.3">
      <c r="A1162" s="2">
        <v>44861</v>
      </c>
      <c r="B1162" s="2" t="str">
        <f>TEXT(AutoPomodoro[[#This Row],[DATE]],"mmmm")</f>
        <v>October</v>
      </c>
      <c r="C1162" s="2" t="str">
        <f>TEXT(AutoPomodoro[[#This Row],[DATE]],"yyyy")</f>
        <v>2022</v>
      </c>
      <c r="D1162" s="8">
        <v>0.57361111111111118</v>
      </c>
      <c r="E1162" s="8">
        <v>0.59166666666666667</v>
      </c>
      <c r="F1162" s="3">
        <f t="shared" si="94"/>
        <v>1.8055555555555491E-2</v>
      </c>
      <c r="G1162" t="s">
        <v>16</v>
      </c>
      <c r="H1162" t="s">
        <v>1</v>
      </c>
    </row>
    <row r="1163" spans="1:8" x14ac:dyDescent="0.3">
      <c r="A1163" s="2">
        <v>44861</v>
      </c>
      <c r="B1163" s="2" t="str">
        <f>TEXT(AutoPomodoro[[#This Row],[DATE]],"mmmm")</f>
        <v>October</v>
      </c>
      <c r="C1163" s="2" t="str">
        <f>TEXT(AutoPomodoro[[#This Row],[DATE]],"yyyy")</f>
        <v>2022</v>
      </c>
      <c r="D1163" s="8">
        <v>0.96527777777777779</v>
      </c>
      <c r="E1163" s="8">
        <v>1.0229166666666667</v>
      </c>
      <c r="F1163" s="3">
        <f t="shared" si="94"/>
        <v>5.7638888888888906E-2</v>
      </c>
      <c r="G1163" t="s">
        <v>16</v>
      </c>
      <c r="H1163" t="s">
        <v>1</v>
      </c>
    </row>
    <row r="1164" spans="1:8" x14ac:dyDescent="0.3">
      <c r="A1164" s="2">
        <v>44862</v>
      </c>
      <c r="B1164" s="2" t="str">
        <f>TEXT(AutoPomodoro[[#This Row],[DATE]],"mmmm")</f>
        <v>October</v>
      </c>
      <c r="C1164" s="2" t="str">
        <f>TEXT(AutoPomodoro[[#This Row],[DATE]],"yyyy")</f>
        <v>2022</v>
      </c>
      <c r="D1164" s="8">
        <v>0.44861111111111113</v>
      </c>
      <c r="E1164" s="8">
        <v>0.49583333333333335</v>
      </c>
      <c r="F1164" s="3">
        <f t="shared" si="94"/>
        <v>4.7222222222222221E-2</v>
      </c>
      <c r="G1164" t="s">
        <v>16</v>
      </c>
      <c r="H1164" t="s">
        <v>1</v>
      </c>
    </row>
    <row r="1165" spans="1:8" x14ac:dyDescent="0.3">
      <c r="A1165" s="2">
        <v>44862</v>
      </c>
      <c r="B1165" s="2" t="str">
        <f>TEXT(AutoPomodoro[[#This Row],[DATE]],"mmmm")</f>
        <v>October</v>
      </c>
      <c r="C1165" s="2" t="str">
        <f>TEXT(AutoPomodoro[[#This Row],[DATE]],"yyyy")</f>
        <v>2022</v>
      </c>
      <c r="D1165" s="8">
        <v>0.69444444444444453</v>
      </c>
      <c r="E1165" s="8">
        <v>0.70138888888888884</v>
      </c>
      <c r="F1165" s="3">
        <f t="shared" si="94"/>
        <v>6.9444444444443088E-3</v>
      </c>
      <c r="G1165" t="s">
        <v>0</v>
      </c>
      <c r="H1165" t="s">
        <v>1</v>
      </c>
    </row>
    <row r="1166" spans="1:8" x14ac:dyDescent="0.3">
      <c r="A1166" s="2">
        <v>44862</v>
      </c>
      <c r="B1166" s="2" t="str">
        <f>TEXT(AutoPomodoro[[#This Row],[DATE]],"mmmm")</f>
        <v>October</v>
      </c>
      <c r="C1166" s="2" t="str">
        <f>TEXT(AutoPomodoro[[#This Row],[DATE]],"yyyy")</f>
        <v>2022</v>
      </c>
      <c r="D1166" s="8">
        <v>0.70277777777777783</v>
      </c>
      <c r="E1166" s="8">
        <v>0.71319444444444446</v>
      </c>
      <c r="F1166" s="3">
        <f t="shared" si="94"/>
        <v>1.041666666666663E-2</v>
      </c>
      <c r="G1166" t="s">
        <v>17</v>
      </c>
      <c r="H1166" t="s">
        <v>1</v>
      </c>
    </row>
    <row r="1167" spans="1:8" x14ac:dyDescent="0.3">
      <c r="A1167" s="2">
        <v>44862</v>
      </c>
      <c r="B1167" s="2" t="str">
        <f>TEXT(AutoPomodoro[[#This Row],[DATE]],"mmmm")</f>
        <v>October</v>
      </c>
      <c r="C1167" s="2" t="str">
        <f>TEXT(AutoPomodoro[[#This Row],[DATE]],"yyyy")</f>
        <v>2022</v>
      </c>
      <c r="D1167" s="8">
        <v>0.71527777777777779</v>
      </c>
      <c r="E1167" s="8">
        <f>D1167+$T$15</f>
        <v>0.73263888888888895</v>
      </c>
      <c r="F1167" s="3">
        <v>1.1805555555555555E-2</v>
      </c>
      <c r="G1167" t="s">
        <v>16</v>
      </c>
      <c r="H1167" t="s">
        <v>1</v>
      </c>
    </row>
    <row r="1168" spans="1:8" x14ac:dyDescent="0.3">
      <c r="A1168" s="2">
        <v>44863</v>
      </c>
      <c r="B1168" s="2" t="str">
        <f>TEXT(AutoPomodoro[[#This Row],[DATE]],"mmmm")</f>
        <v>October</v>
      </c>
      <c r="C1168" s="2" t="str">
        <f>TEXT(AutoPomodoro[[#This Row],[DATE]],"yyyy")</f>
        <v>2022</v>
      </c>
      <c r="D1168" s="8">
        <v>0.69305555555555554</v>
      </c>
      <c r="E1168" s="8">
        <v>0.7006944444444444</v>
      </c>
      <c r="F1168" s="3">
        <f t="shared" ref="F1168:F1175" si="96">E1168-D1168</f>
        <v>7.6388888888888618E-3</v>
      </c>
      <c r="G1168" t="s">
        <v>16</v>
      </c>
      <c r="H1168" t="s">
        <v>1</v>
      </c>
    </row>
    <row r="1169" spans="1:8" x14ac:dyDescent="0.3">
      <c r="A1169" s="2">
        <v>44863</v>
      </c>
      <c r="B1169" s="2" t="str">
        <f>TEXT(AutoPomodoro[[#This Row],[DATE]],"mmmm")</f>
        <v>October</v>
      </c>
      <c r="C1169" s="2" t="str">
        <f>TEXT(AutoPomodoro[[#This Row],[DATE]],"yyyy")</f>
        <v>2022</v>
      </c>
      <c r="D1169" s="8">
        <v>0.70833333333333337</v>
      </c>
      <c r="E1169" s="8">
        <v>0.71875</v>
      </c>
      <c r="F1169" s="3">
        <f t="shared" si="96"/>
        <v>1.041666666666663E-2</v>
      </c>
      <c r="G1169" t="s">
        <v>16</v>
      </c>
      <c r="H1169" t="s">
        <v>1</v>
      </c>
    </row>
    <row r="1170" spans="1:8" x14ac:dyDescent="0.3">
      <c r="A1170" s="2">
        <v>44863</v>
      </c>
      <c r="B1170" s="2" t="str">
        <f>TEXT(AutoPomodoro[[#This Row],[DATE]],"mmmm")</f>
        <v>October</v>
      </c>
      <c r="C1170" s="2" t="str">
        <f>TEXT(AutoPomodoro[[#This Row],[DATE]],"yyyy")</f>
        <v>2022</v>
      </c>
      <c r="D1170" s="8">
        <v>0.72569444444444453</v>
      </c>
      <c r="E1170" s="8">
        <v>0.77013888888888893</v>
      </c>
      <c r="F1170" s="3">
        <f t="shared" si="96"/>
        <v>4.4444444444444398E-2</v>
      </c>
      <c r="G1170" t="s">
        <v>16</v>
      </c>
      <c r="H1170" t="s">
        <v>1</v>
      </c>
    </row>
    <row r="1171" spans="1:8" x14ac:dyDescent="0.3">
      <c r="A1171" s="2">
        <v>44863</v>
      </c>
      <c r="B1171" s="2" t="str">
        <f>TEXT(AutoPomodoro[[#This Row],[DATE]],"mmmm")</f>
        <v>October</v>
      </c>
      <c r="C1171" s="2" t="str">
        <f>TEXT(AutoPomodoro[[#This Row],[DATE]],"yyyy")</f>
        <v>2022</v>
      </c>
      <c r="D1171" s="8">
        <v>0.78472222222222221</v>
      </c>
      <c r="E1171" s="8">
        <v>0.82986111111111116</v>
      </c>
      <c r="F1171" s="3">
        <f t="shared" si="96"/>
        <v>4.5138888888888951E-2</v>
      </c>
      <c r="G1171" t="s">
        <v>16</v>
      </c>
      <c r="H1171" t="s">
        <v>1</v>
      </c>
    </row>
    <row r="1172" spans="1:8" x14ac:dyDescent="0.3">
      <c r="A1172" s="2">
        <v>44863</v>
      </c>
      <c r="B1172" s="2" t="str">
        <f>TEXT(AutoPomodoro[[#This Row],[DATE]],"mmmm")</f>
        <v>October</v>
      </c>
      <c r="C1172" s="2" t="str">
        <f>TEXT(AutoPomodoro[[#This Row],[DATE]],"yyyy")</f>
        <v>2022</v>
      </c>
      <c r="D1172" s="8">
        <v>0.85416666666666663</v>
      </c>
      <c r="E1172" s="8">
        <v>0.92986111111111114</v>
      </c>
      <c r="F1172" s="3">
        <f t="shared" si="96"/>
        <v>7.5694444444444509E-2</v>
      </c>
      <c r="G1172" t="s">
        <v>16</v>
      </c>
      <c r="H1172" t="s">
        <v>1</v>
      </c>
    </row>
    <row r="1173" spans="1:8" x14ac:dyDescent="0.3">
      <c r="A1173" s="2">
        <v>44866</v>
      </c>
      <c r="B1173" s="2" t="str">
        <f>TEXT(AutoPomodoro[[#This Row],[DATE]],"mmmm")</f>
        <v>November</v>
      </c>
      <c r="C1173" s="2" t="str">
        <f>TEXT(AutoPomodoro[[#This Row],[DATE]],"yyyy")</f>
        <v>2022</v>
      </c>
      <c r="D1173" s="8">
        <v>0.3923611111111111</v>
      </c>
      <c r="E1173" s="8">
        <f>D1173+$T$15</f>
        <v>0.40972222222222221</v>
      </c>
      <c r="F1173" s="3">
        <f t="shared" si="96"/>
        <v>1.7361111111111105E-2</v>
      </c>
      <c r="G1173" t="s">
        <v>0</v>
      </c>
      <c r="H1173" t="s">
        <v>1</v>
      </c>
    </row>
    <row r="1174" spans="1:8" x14ac:dyDescent="0.3">
      <c r="A1174" s="2">
        <v>44866</v>
      </c>
      <c r="B1174" s="2" t="str">
        <f>TEXT(AutoPomodoro[[#This Row],[DATE]],"mmmm")</f>
        <v>November</v>
      </c>
      <c r="C1174" s="2" t="str">
        <f>TEXT(AutoPomodoro[[#This Row],[DATE]],"yyyy")</f>
        <v>2022</v>
      </c>
      <c r="D1174" s="8">
        <f>E1173+$T$16</f>
        <v>0.41319444444444442</v>
      </c>
      <c r="E1174" s="8">
        <f>D1174+$T$15</f>
        <v>0.43055555555555552</v>
      </c>
      <c r="F1174" s="3">
        <f t="shared" si="96"/>
        <v>1.7361111111111105E-2</v>
      </c>
      <c r="G1174" t="s">
        <v>17</v>
      </c>
      <c r="H1174" t="s">
        <v>2</v>
      </c>
    </row>
    <row r="1175" spans="1:8" x14ac:dyDescent="0.3">
      <c r="A1175" s="2">
        <v>44866</v>
      </c>
      <c r="B1175" s="2" t="str">
        <f>TEXT(AutoPomodoro[[#This Row],[DATE]],"mmmm")</f>
        <v>November</v>
      </c>
      <c r="C1175" s="2" t="str">
        <f>TEXT(AutoPomodoro[[#This Row],[DATE]],"yyyy")</f>
        <v>2022</v>
      </c>
      <c r="D1175" s="8">
        <f>E1174+$T$16</f>
        <v>0.43402777777777773</v>
      </c>
      <c r="E1175" s="8">
        <f>D1175+$T$15</f>
        <v>0.45138888888888884</v>
      </c>
      <c r="F1175" s="3">
        <f t="shared" si="96"/>
        <v>1.7361111111111105E-2</v>
      </c>
      <c r="G1175" t="s">
        <v>16</v>
      </c>
      <c r="H1175" t="s">
        <v>2</v>
      </c>
    </row>
    <row r="1176" spans="1:8" x14ac:dyDescent="0.3">
      <c r="A1176" s="2">
        <v>44866</v>
      </c>
      <c r="B1176" s="2" t="str">
        <f>TEXT(AutoPomodoro[[#This Row],[DATE]],"mmmm")</f>
        <v>November</v>
      </c>
      <c r="C1176" s="2" t="str">
        <f>TEXT(AutoPomodoro[[#This Row],[DATE]],"yyyy")</f>
        <v>2022</v>
      </c>
      <c r="D1176" s="8">
        <f>E1175+$T$17</f>
        <v>0.45624999999999993</v>
      </c>
      <c r="E1176" s="8">
        <f>D1176+$T$15</f>
        <v>0.47361111111111104</v>
      </c>
      <c r="F1176" s="3">
        <v>1.8749999999999999E-2</v>
      </c>
      <c r="G1176" t="s">
        <v>16</v>
      </c>
      <c r="H1176" t="s">
        <v>1</v>
      </c>
    </row>
    <row r="1177" spans="1:8" x14ac:dyDescent="0.3">
      <c r="A1177" s="2">
        <v>44866</v>
      </c>
      <c r="B1177" s="2" t="str">
        <f>TEXT(AutoPomodoro[[#This Row],[DATE]],"mmmm")</f>
        <v>November</v>
      </c>
      <c r="C1177" s="2" t="str">
        <f>TEXT(AutoPomodoro[[#This Row],[DATE]],"yyyy")</f>
        <v>2022</v>
      </c>
      <c r="D1177" s="8">
        <v>0.47361111111111104</v>
      </c>
      <c r="E1177" s="8">
        <f>D1177+M</f>
        <v>0.48402777777777772</v>
      </c>
      <c r="F1177" s="3">
        <v>1.0416666666666666E-2</v>
      </c>
      <c r="G1177" t="s">
        <v>21</v>
      </c>
      <c r="H1177" t="s">
        <v>2</v>
      </c>
    </row>
    <row r="1178" spans="1:8" x14ac:dyDescent="0.3">
      <c r="A1178" s="2">
        <v>44866</v>
      </c>
      <c r="B1178" s="2" t="str">
        <f>TEXT(AutoPomodoro[[#This Row],[DATE]],"mmmm")</f>
        <v>November</v>
      </c>
      <c r="C1178" s="2" t="str">
        <f>TEXT(AutoPomodoro[[#This Row],[DATE]],"yyyy")</f>
        <v>2022</v>
      </c>
      <c r="D1178" s="8">
        <v>0.48402777777777772</v>
      </c>
      <c r="E1178" s="8">
        <f>D1178+$T$15</f>
        <v>0.50138888888888888</v>
      </c>
      <c r="F1178" s="3">
        <f t="shared" ref="F1178:F1192" si="97">E1178-D1178</f>
        <v>1.736111111111116E-2</v>
      </c>
      <c r="G1178" t="s">
        <v>16</v>
      </c>
      <c r="H1178" t="s">
        <v>1</v>
      </c>
    </row>
    <row r="1179" spans="1:8" x14ac:dyDescent="0.3">
      <c r="A1179" s="2">
        <v>44866</v>
      </c>
      <c r="B1179" s="2" t="str">
        <f>TEXT(AutoPomodoro[[#This Row],[DATE]],"mmmm")</f>
        <v>November</v>
      </c>
      <c r="C1179" s="2" t="str">
        <f>TEXT(AutoPomodoro[[#This Row],[DATE]],"yyyy")</f>
        <v>2022</v>
      </c>
      <c r="D1179" s="8">
        <f>E1178+$T$16</f>
        <v>0.50486111111111109</v>
      </c>
      <c r="E1179" s="8">
        <f>D1179+$T$15</f>
        <v>0.52222222222222225</v>
      </c>
      <c r="F1179" s="3">
        <f t="shared" si="97"/>
        <v>1.736111111111116E-2</v>
      </c>
      <c r="G1179" t="s">
        <v>17</v>
      </c>
      <c r="H1179" t="s">
        <v>1</v>
      </c>
    </row>
    <row r="1180" spans="1:8" x14ac:dyDescent="0.3">
      <c r="A1180" s="2">
        <v>44866</v>
      </c>
      <c r="B1180" s="2" t="str">
        <f>TEXT(AutoPomodoro[[#This Row],[DATE]],"mmmm")</f>
        <v>November</v>
      </c>
      <c r="C1180" s="2" t="str">
        <f>TEXT(AutoPomodoro[[#This Row],[DATE]],"yyyy")</f>
        <v>2022</v>
      </c>
      <c r="D1180" s="8">
        <f>E1179+$T$16</f>
        <v>0.52569444444444446</v>
      </c>
      <c r="E1180" s="8">
        <f>D1180+$T$15</f>
        <v>0.54305555555555562</v>
      </c>
      <c r="F1180" s="3">
        <f t="shared" si="97"/>
        <v>1.736111111111116E-2</v>
      </c>
      <c r="G1180" t="s">
        <v>16</v>
      </c>
      <c r="H1180" t="s">
        <v>1</v>
      </c>
    </row>
    <row r="1181" spans="1:8" x14ac:dyDescent="0.3">
      <c r="A1181" s="2">
        <v>44866</v>
      </c>
      <c r="B1181" s="2" t="str">
        <f>TEXT(AutoPomodoro[[#This Row],[DATE]],"mmmm")</f>
        <v>November</v>
      </c>
      <c r="C1181" s="2" t="str">
        <f>TEXT(AutoPomodoro[[#This Row],[DATE]],"yyyy")</f>
        <v>2022</v>
      </c>
      <c r="D1181" s="8">
        <f>E1180+$T$17</f>
        <v>0.54791666666666672</v>
      </c>
      <c r="E1181" s="8">
        <f>D1181+$T$15</f>
        <v>0.56527777777777788</v>
      </c>
      <c r="F1181" s="3">
        <f t="shared" si="97"/>
        <v>1.736111111111116E-2</v>
      </c>
      <c r="G1181" t="s">
        <v>16</v>
      </c>
      <c r="H1181" t="s">
        <v>1</v>
      </c>
    </row>
    <row r="1182" spans="1:8" x14ac:dyDescent="0.3">
      <c r="A1182" s="2">
        <v>44866</v>
      </c>
      <c r="B1182" s="2" t="str">
        <f>TEXT(AutoPomodoro[[#This Row],[DATE]],"mmmm")</f>
        <v>November</v>
      </c>
      <c r="C1182" s="2" t="str">
        <f>TEXT(AutoPomodoro[[#This Row],[DATE]],"yyyy")</f>
        <v>2022</v>
      </c>
      <c r="D1182" s="8">
        <v>0.56527777777777777</v>
      </c>
      <c r="E1182" s="8">
        <v>0.58333333333333337</v>
      </c>
      <c r="F1182" s="3">
        <f t="shared" si="97"/>
        <v>1.8055555555555602E-2</v>
      </c>
      <c r="G1182" t="s">
        <v>21</v>
      </c>
      <c r="H1182" t="s">
        <v>1</v>
      </c>
    </row>
    <row r="1183" spans="1:8" x14ac:dyDescent="0.3">
      <c r="A1183" s="2">
        <v>44866</v>
      </c>
      <c r="B1183" s="2" t="str">
        <f>TEXT(AutoPomodoro[[#This Row],[DATE]],"mmmm")</f>
        <v>November</v>
      </c>
      <c r="C1183" s="2" t="str">
        <f>TEXT(AutoPomodoro[[#This Row],[DATE]],"yyyy")</f>
        <v>2022</v>
      </c>
      <c r="D1183" s="8">
        <v>0.58333333333333337</v>
      </c>
      <c r="E1183" s="8">
        <f>D1183+$T$15</f>
        <v>0.60069444444444453</v>
      </c>
      <c r="F1183" s="3">
        <f t="shared" si="97"/>
        <v>1.736111111111116E-2</v>
      </c>
      <c r="G1183" t="s">
        <v>16</v>
      </c>
      <c r="H1183" t="s">
        <v>1</v>
      </c>
    </row>
    <row r="1184" spans="1:8" x14ac:dyDescent="0.3">
      <c r="A1184" s="2">
        <v>44866</v>
      </c>
      <c r="B1184" s="2" t="str">
        <f>TEXT(AutoPomodoro[[#This Row],[DATE]],"mmmm")</f>
        <v>November</v>
      </c>
      <c r="C1184" s="2" t="str">
        <f>TEXT(AutoPomodoro[[#This Row],[DATE]],"yyyy")</f>
        <v>2022</v>
      </c>
      <c r="D1184" s="8">
        <f>E1183+$T$16</f>
        <v>0.60416666666666674</v>
      </c>
      <c r="E1184" s="8">
        <f>D1184+$T$15</f>
        <v>0.6215277777777779</v>
      </c>
      <c r="F1184" s="3">
        <f t="shared" si="97"/>
        <v>1.736111111111116E-2</v>
      </c>
      <c r="G1184" t="s">
        <v>16</v>
      </c>
      <c r="H1184" t="s">
        <v>1</v>
      </c>
    </row>
    <row r="1185" spans="1:8" x14ac:dyDescent="0.3">
      <c r="A1185" s="2">
        <v>44866</v>
      </c>
      <c r="B1185" s="2" t="str">
        <f>TEXT(AutoPomodoro[[#This Row],[DATE]],"mmmm")</f>
        <v>November</v>
      </c>
      <c r="C1185" s="2" t="str">
        <f>TEXT(AutoPomodoro[[#This Row],[DATE]],"yyyy")</f>
        <v>2022</v>
      </c>
      <c r="D1185" s="8">
        <f>E1184+$T$16</f>
        <v>0.62500000000000011</v>
      </c>
      <c r="E1185" s="8">
        <f>D1185+$T$15</f>
        <v>0.64236111111111127</v>
      </c>
      <c r="F1185" s="3">
        <f t="shared" si="97"/>
        <v>1.736111111111116E-2</v>
      </c>
      <c r="G1185" t="s">
        <v>16</v>
      </c>
      <c r="H1185" t="s">
        <v>1</v>
      </c>
    </row>
    <row r="1186" spans="1:8" x14ac:dyDescent="0.3">
      <c r="A1186" s="2">
        <v>44866</v>
      </c>
      <c r="B1186" s="2" t="str">
        <f>TEXT(AutoPomodoro[[#This Row],[DATE]],"mmmm")</f>
        <v>November</v>
      </c>
      <c r="C1186" s="2" t="str">
        <f>TEXT(AutoPomodoro[[#This Row],[DATE]],"yyyy")</f>
        <v>2022</v>
      </c>
      <c r="D1186" s="8">
        <f>E1185+$T$17</f>
        <v>0.64722222222222237</v>
      </c>
      <c r="E1186" s="8">
        <f>D1186+$T$15</f>
        <v>0.66458333333333353</v>
      </c>
      <c r="F1186" s="3">
        <f t="shared" si="97"/>
        <v>1.736111111111116E-2</v>
      </c>
      <c r="G1186" t="s">
        <v>16</v>
      </c>
      <c r="H1186" t="s">
        <v>1</v>
      </c>
    </row>
    <row r="1187" spans="1:8" x14ac:dyDescent="0.3">
      <c r="A1187" s="2">
        <v>44867</v>
      </c>
      <c r="B1187" s="2" t="str">
        <f>TEXT(AutoPomodoro[[#This Row],[DATE]],"mmmm")</f>
        <v>November</v>
      </c>
      <c r="C1187" s="2" t="str">
        <f>TEXT(AutoPomodoro[[#This Row],[DATE]],"yyyy")</f>
        <v>2022</v>
      </c>
      <c r="D1187" s="8">
        <v>0.5</v>
      </c>
      <c r="E1187" s="8">
        <v>0.60416666666666663</v>
      </c>
      <c r="F1187" s="3">
        <f t="shared" si="97"/>
        <v>0.10416666666666663</v>
      </c>
      <c r="G1187" t="s">
        <v>17</v>
      </c>
      <c r="H1187" t="s">
        <v>1</v>
      </c>
    </row>
    <row r="1188" spans="1:8" x14ac:dyDescent="0.3">
      <c r="A1188" s="2">
        <v>44868</v>
      </c>
      <c r="B1188" s="2" t="str">
        <f>TEXT(AutoPomodoro[[#This Row],[DATE]],"mmmm")</f>
        <v>November</v>
      </c>
      <c r="C1188" s="2" t="str">
        <f>TEXT(AutoPomodoro[[#This Row],[DATE]],"yyyy")</f>
        <v>2022</v>
      </c>
      <c r="D1188" s="8">
        <v>0</v>
      </c>
      <c r="E1188" s="8">
        <v>0.15625</v>
      </c>
      <c r="F1188" s="3">
        <f t="shared" si="97"/>
        <v>0.15625</v>
      </c>
      <c r="G1188" t="s">
        <v>16</v>
      </c>
      <c r="H1188" t="s">
        <v>1</v>
      </c>
    </row>
    <row r="1189" spans="1:8" x14ac:dyDescent="0.3">
      <c r="A1189" s="2">
        <v>44869</v>
      </c>
      <c r="B1189" s="2" t="str">
        <f>TEXT(AutoPomodoro[[#This Row],[DATE]],"mmmm")</f>
        <v>November</v>
      </c>
      <c r="C1189" s="2" t="str">
        <f>TEXT(AutoPomodoro[[#This Row],[DATE]],"yyyy")</f>
        <v>2022</v>
      </c>
      <c r="D1189" s="8">
        <v>0.46180555555555558</v>
      </c>
      <c r="E1189" s="8">
        <f>D1189+$T$15</f>
        <v>0.47916666666666669</v>
      </c>
      <c r="F1189" s="3">
        <f t="shared" si="97"/>
        <v>1.7361111111111105E-2</v>
      </c>
      <c r="G1189" t="s">
        <v>0</v>
      </c>
      <c r="H1189" t="s">
        <v>1</v>
      </c>
    </row>
    <row r="1190" spans="1:8" x14ac:dyDescent="0.3">
      <c r="A1190" s="2">
        <v>44869</v>
      </c>
      <c r="B1190" s="2" t="str">
        <f>TEXT(AutoPomodoro[[#This Row],[DATE]],"mmmm")</f>
        <v>November</v>
      </c>
      <c r="C1190" s="2" t="str">
        <f>TEXT(AutoPomodoro[[#This Row],[DATE]],"yyyy")</f>
        <v>2022</v>
      </c>
      <c r="D1190" s="8">
        <f>E1189+$T$16</f>
        <v>0.4826388888888889</v>
      </c>
      <c r="E1190" s="8">
        <f>D1190+$T$15</f>
        <v>0.5</v>
      </c>
      <c r="F1190" s="3">
        <f t="shared" si="97"/>
        <v>1.7361111111111105E-2</v>
      </c>
      <c r="G1190" t="s">
        <v>16</v>
      </c>
      <c r="H1190" t="s">
        <v>1</v>
      </c>
    </row>
    <row r="1191" spans="1:8" x14ac:dyDescent="0.3">
      <c r="A1191" s="2">
        <v>44869</v>
      </c>
      <c r="B1191" s="2" t="str">
        <f>TEXT(AutoPomodoro[[#This Row],[DATE]],"mmmm")</f>
        <v>November</v>
      </c>
      <c r="C1191" s="2" t="str">
        <f>TEXT(AutoPomodoro[[#This Row],[DATE]],"yyyy")</f>
        <v>2022</v>
      </c>
      <c r="D1191" s="8">
        <f>E1190+$T$16</f>
        <v>0.50347222222222221</v>
      </c>
      <c r="E1191" s="8">
        <f>D1191+$T$15</f>
        <v>0.52083333333333337</v>
      </c>
      <c r="F1191" s="3">
        <f t="shared" si="97"/>
        <v>1.736111111111116E-2</v>
      </c>
      <c r="G1191" t="s">
        <v>16</v>
      </c>
      <c r="H1191" t="s">
        <v>1</v>
      </c>
    </row>
    <row r="1192" spans="1:8" x14ac:dyDescent="0.3">
      <c r="A1192" s="2">
        <v>44869</v>
      </c>
      <c r="B1192" s="2" t="str">
        <f>TEXT(AutoPomodoro[[#This Row],[DATE]],"mmmm")</f>
        <v>November</v>
      </c>
      <c r="C1192" s="2" t="str">
        <f>TEXT(AutoPomodoro[[#This Row],[DATE]],"yyyy")</f>
        <v>2022</v>
      </c>
      <c r="D1192" s="8">
        <f>E1191+$T$17</f>
        <v>0.52569444444444446</v>
      </c>
      <c r="E1192" s="8">
        <f>D1192+$T$15</f>
        <v>0.54305555555555562</v>
      </c>
      <c r="F1192" s="3">
        <f t="shared" si="97"/>
        <v>1.736111111111116E-2</v>
      </c>
      <c r="G1192" t="s">
        <v>16</v>
      </c>
      <c r="H1192" t="s">
        <v>1</v>
      </c>
    </row>
    <row r="1193" spans="1:8" x14ac:dyDescent="0.3">
      <c r="A1193" s="2">
        <v>44869</v>
      </c>
      <c r="B1193" s="2" t="str">
        <f>TEXT(AutoPomodoro[[#This Row],[DATE]],"mmmm")</f>
        <v>November</v>
      </c>
      <c r="C1193" s="2" t="str">
        <f>TEXT(AutoPomodoro[[#This Row],[DATE]],"yyyy")</f>
        <v>2022</v>
      </c>
      <c r="D1193" s="8">
        <v>0.54305555555555562</v>
      </c>
      <c r="E1193" s="8">
        <f>D1193+M</f>
        <v>0.55347222222222225</v>
      </c>
      <c r="F1193" s="3">
        <v>1.0416666666666666E-2</v>
      </c>
      <c r="G1193" t="s">
        <v>21</v>
      </c>
      <c r="H1193" t="s">
        <v>1</v>
      </c>
    </row>
    <row r="1194" spans="1:8" x14ac:dyDescent="0.3">
      <c r="A1194" s="2">
        <v>44869</v>
      </c>
      <c r="B1194" s="2" t="str">
        <f>TEXT(AutoPomodoro[[#This Row],[DATE]],"mmmm")</f>
        <v>November</v>
      </c>
      <c r="C1194" s="2" t="str">
        <f>TEXT(AutoPomodoro[[#This Row],[DATE]],"yyyy")</f>
        <v>2022</v>
      </c>
      <c r="D1194" s="8">
        <v>0.55347222222222225</v>
      </c>
      <c r="E1194" s="8">
        <f>D1194+$T$15</f>
        <v>0.57083333333333341</v>
      </c>
      <c r="F1194" s="3">
        <f>E1194-D1194</f>
        <v>1.736111111111116E-2</v>
      </c>
      <c r="G1194" t="s">
        <v>16</v>
      </c>
      <c r="H1194" t="s">
        <v>1</v>
      </c>
    </row>
    <row r="1195" spans="1:8" x14ac:dyDescent="0.3">
      <c r="A1195" s="2">
        <v>44869</v>
      </c>
      <c r="B1195" s="2" t="str">
        <f>TEXT(AutoPomodoro[[#This Row],[DATE]],"mmmm")</f>
        <v>November</v>
      </c>
      <c r="C1195" s="2" t="str">
        <f>TEXT(AutoPomodoro[[#This Row],[DATE]],"yyyy")</f>
        <v>2022</v>
      </c>
      <c r="D1195" s="8">
        <f>E1194+$T$16</f>
        <v>0.57430555555555562</v>
      </c>
      <c r="E1195" s="8">
        <f>D1195+$T$15</f>
        <v>0.59166666666666679</v>
      </c>
      <c r="F1195" s="3">
        <f>E1195-D1195</f>
        <v>1.736111111111116E-2</v>
      </c>
      <c r="G1195" t="s">
        <v>16</v>
      </c>
      <c r="H1195" t="s">
        <v>1</v>
      </c>
    </row>
    <row r="1196" spans="1:8" x14ac:dyDescent="0.3">
      <c r="A1196" s="2">
        <v>44869</v>
      </c>
      <c r="B1196" s="2" t="str">
        <f>TEXT(AutoPomodoro[[#This Row],[DATE]],"mmmm")</f>
        <v>November</v>
      </c>
      <c r="C1196" s="2" t="str">
        <f>TEXT(AutoPomodoro[[#This Row],[DATE]],"yyyy")</f>
        <v>2022</v>
      </c>
      <c r="D1196" s="8">
        <f>E1195+$T$16</f>
        <v>0.59513888888888899</v>
      </c>
      <c r="E1196" s="8">
        <f>D1196+$T$15</f>
        <v>0.61250000000000016</v>
      </c>
      <c r="F1196" s="3">
        <f>E1196-D1196</f>
        <v>1.736111111111116E-2</v>
      </c>
      <c r="G1196" t="s">
        <v>16</v>
      </c>
      <c r="H1196" t="s">
        <v>1</v>
      </c>
    </row>
    <row r="1197" spans="1:8" x14ac:dyDescent="0.3">
      <c r="A1197" s="2">
        <v>44869</v>
      </c>
      <c r="B1197" s="2" t="str">
        <f>TEXT(AutoPomodoro[[#This Row],[DATE]],"mmmm")</f>
        <v>November</v>
      </c>
      <c r="C1197" s="2" t="str">
        <f>TEXT(AutoPomodoro[[#This Row],[DATE]],"yyyy")</f>
        <v>2022</v>
      </c>
      <c r="D1197" s="8">
        <f>E1196+$T$17</f>
        <v>0.61736111111111125</v>
      </c>
      <c r="E1197" s="8">
        <f>D1197+$T$15</f>
        <v>0.63472222222222241</v>
      </c>
      <c r="F1197" s="3">
        <v>2.8472222222222222E-2</v>
      </c>
      <c r="G1197" t="s">
        <v>16</v>
      </c>
      <c r="H1197" t="s">
        <v>1</v>
      </c>
    </row>
    <row r="1198" spans="1:8" x14ac:dyDescent="0.3">
      <c r="A1198" s="2">
        <v>44869</v>
      </c>
      <c r="B1198" s="2" t="str">
        <f>TEXT(AutoPomodoro[[#This Row],[DATE]],"mmmm")</f>
        <v>November</v>
      </c>
      <c r="C1198" s="2" t="str">
        <f>TEXT(AutoPomodoro[[#This Row],[DATE]],"yyyy")</f>
        <v>2022</v>
      </c>
      <c r="D1198" s="8">
        <v>0.63472222222222241</v>
      </c>
      <c r="E1198" s="8">
        <v>0.65972222222222221</v>
      </c>
      <c r="F1198" s="3">
        <v>1.3888888888888888E-2</v>
      </c>
      <c r="G1198" t="s">
        <v>21</v>
      </c>
      <c r="H1198" t="s">
        <v>1</v>
      </c>
    </row>
    <row r="1199" spans="1:8" x14ac:dyDescent="0.3">
      <c r="A1199" s="2">
        <v>44869</v>
      </c>
      <c r="B1199" s="2" t="str">
        <f>TEXT(AutoPomodoro[[#This Row],[DATE]],"mmmm")</f>
        <v>November</v>
      </c>
      <c r="C1199" s="2" t="str">
        <f>TEXT(AutoPomodoro[[#This Row],[DATE]],"yyyy")</f>
        <v>2022</v>
      </c>
      <c r="D1199" s="8">
        <v>0.65972222222222221</v>
      </c>
      <c r="E1199" s="8">
        <f>D1199+$T$15</f>
        <v>0.67708333333333337</v>
      </c>
      <c r="F1199" s="3">
        <v>1.8749999999999999E-2</v>
      </c>
      <c r="G1199" t="s">
        <v>16</v>
      </c>
      <c r="H1199" t="s">
        <v>1</v>
      </c>
    </row>
    <row r="1200" spans="1:8" x14ac:dyDescent="0.3">
      <c r="A1200" s="2">
        <v>44869</v>
      </c>
      <c r="B1200" s="2" t="str">
        <f>TEXT(AutoPomodoro[[#This Row],[DATE]],"mmmm")</f>
        <v>November</v>
      </c>
      <c r="C1200" s="2" t="str">
        <f>TEXT(AutoPomodoro[[#This Row],[DATE]],"yyyy")</f>
        <v>2022</v>
      </c>
      <c r="D1200" s="8">
        <f>E1199+$T$16</f>
        <v>0.68055555555555558</v>
      </c>
      <c r="E1200" s="8">
        <f>D1200+$T$15</f>
        <v>0.69791666666666674</v>
      </c>
      <c r="F1200" s="3">
        <v>1.8749999999999999E-2</v>
      </c>
      <c r="G1200" t="s">
        <v>16</v>
      </c>
      <c r="H1200" t="s">
        <v>1</v>
      </c>
    </row>
    <row r="1201" spans="1:8" x14ac:dyDescent="0.3">
      <c r="A1201" s="2">
        <v>44869</v>
      </c>
      <c r="B1201" s="2" t="str">
        <f>TEXT(AutoPomodoro[[#This Row],[DATE]],"mmmm")</f>
        <v>November</v>
      </c>
      <c r="C1201" s="2" t="str">
        <f>TEXT(AutoPomodoro[[#This Row],[DATE]],"yyyy")</f>
        <v>2022</v>
      </c>
      <c r="D1201" s="8">
        <f>E1200+$T$16</f>
        <v>0.70138888888888895</v>
      </c>
      <c r="E1201" s="8">
        <f>D1201+$T$15</f>
        <v>0.71875000000000011</v>
      </c>
      <c r="F1201" s="3">
        <f t="shared" ref="F1201:F1215" si="98">E1201-D1201</f>
        <v>1.736111111111116E-2</v>
      </c>
      <c r="G1201" t="s">
        <v>16</v>
      </c>
      <c r="H1201" t="s">
        <v>1</v>
      </c>
    </row>
    <row r="1202" spans="1:8" x14ac:dyDescent="0.3">
      <c r="A1202" s="2">
        <v>44870</v>
      </c>
      <c r="B1202" s="2" t="str">
        <f>TEXT(AutoPomodoro[[#This Row],[DATE]],"mmmm")</f>
        <v>November</v>
      </c>
      <c r="C1202" s="2" t="str">
        <f>TEXT(AutoPomodoro[[#This Row],[DATE]],"yyyy")</f>
        <v>2022</v>
      </c>
      <c r="D1202" s="8">
        <v>0.66249999999999998</v>
      </c>
      <c r="E1202" s="8">
        <v>0.68055555555555547</v>
      </c>
      <c r="F1202" s="3">
        <f t="shared" si="98"/>
        <v>1.8055555555555491E-2</v>
      </c>
      <c r="G1202" t="s">
        <v>16</v>
      </c>
      <c r="H1202" t="s">
        <v>1</v>
      </c>
    </row>
    <row r="1203" spans="1:8" x14ac:dyDescent="0.3">
      <c r="A1203" s="2">
        <v>44870</v>
      </c>
      <c r="B1203" s="2" t="str">
        <f>TEXT(AutoPomodoro[[#This Row],[DATE]],"mmmm")</f>
        <v>November</v>
      </c>
      <c r="C1203" s="2" t="str">
        <f>TEXT(AutoPomodoro[[#This Row],[DATE]],"yyyy")</f>
        <v>2022</v>
      </c>
      <c r="D1203" s="8">
        <v>0.70972222222222225</v>
      </c>
      <c r="E1203" s="8">
        <v>0.73541666666666661</v>
      </c>
      <c r="F1203" s="3">
        <f t="shared" si="98"/>
        <v>2.5694444444444353E-2</v>
      </c>
      <c r="G1203" t="s">
        <v>16</v>
      </c>
      <c r="H1203" t="s">
        <v>1</v>
      </c>
    </row>
    <row r="1204" spans="1:8" x14ac:dyDescent="0.3">
      <c r="A1204" s="2">
        <v>44870</v>
      </c>
      <c r="B1204" s="2" t="str">
        <f>TEXT(AutoPomodoro[[#This Row],[DATE]],"mmmm")</f>
        <v>November</v>
      </c>
      <c r="C1204" s="2" t="str">
        <f>TEXT(AutoPomodoro[[#This Row],[DATE]],"yyyy")</f>
        <v>2022</v>
      </c>
      <c r="D1204" s="8">
        <v>0.74097222222222225</v>
      </c>
      <c r="E1204" s="8">
        <v>0.75069444444444444</v>
      </c>
      <c r="F1204" s="3">
        <f t="shared" si="98"/>
        <v>9.7222222222221877E-3</v>
      </c>
      <c r="G1204" t="s">
        <v>16</v>
      </c>
      <c r="H1204" t="s">
        <v>1</v>
      </c>
    </row>
    <row r="1205" spans="1:8" x14ac:dyDescent="0.3">
      <c r="A1205" s="2">
        <v>44870</v>
      </c>
      <c r="B1205" s="2" t="str">
        <f>TEXT(AutoPomodoro[[#This Row],[DATE]],"mmmm")</f>
        <v>November</v>
      </c>
      <c r="C1205" s="2" t="str">
        <f>TEXT(AutoPomodoro[[#This Row],[DATE]],"yyyy")</f>
        <v>2022</v>
      </c>
      <c r="D1205" s="8">
        <v>0.75208333333333333</v>
      </c>
      <c r="E1205" s="8">
        <v>0.76874999999999993</v>
      </c>
      <c r="F1205" s="3">
        <f t="shared" si="98"/>
        <v>1.6666666666666607E-2</v>
      </c>
      <c r="G1205" t="s">
        <v>16</v>
      </c>
      <c r="H1205" t="s">
        <v>1</v>
      </c>
    </row>
    <row r="1206" spans="1:8" x14ac:dyDescent="0.3">
      <c r="A1206" s="2">
        <v>44870</v>
      </c>
      <c r="B1206" s="2" t="str">
        <f>TEXT(AutoPomodoro[[#This Row],[DATE]],"mmmm")</f>
        <v>November</v>
      </c>
      <c r="C1206" s="2" t="str">
        <f>TEXT(AutoPomodoro[[#This Row],[DATE]],"yyyy")</f>
        <v>2022</v>
      </c>
      <c r="D1206" s="8">
        <v>0.77222222222222225</v>
      </c>
      <c r="E1206" s="8">
        <v>0.8125</v>
      </c>
      <c r="F1206" s="3">
        <f t="shared" si="98"/>
        <v>4.0277777777777746E-2</v>
      </c>
      <c r="G1206" t="s">
        <v>16</v>
      </c>
      <c r="H1206" t="s">
        <v>1</v>
      </c>
    </row>
    <row r="1207" spans="1:8" x14ac:dyDescent="0.3">
      <c r="A1207" s="2">
        <v>44870</v>
      </c>
      <c r="B1207" s="2" t="str">
        <f>TEXT(AutoPomodoro[[#This Row],[DATE]],"mmmm")</f>
        <v>November</v>
      </c>
      <c r="C1207" s="2" t="str">
        <f>TEXT(AutoPomodoro[[#This Row],[DATE]],"yyyy")</f>
        <v>2022</v>
      </c>
      <c r="D1207" s="8">
        <v>0.82430555555555562</v>
      </c>
      <c r="E1207" s="8">
        <v>0.84236111111111101</v>
      </c>
      <c r="F1207" s="3">
        <f t="shared" si="98"/>
        <v>1.805555555555538E-2</v>
      </c>
      <c r="G1207" t="s">
        <v>16</v>
      </c>
      <c r="H1207" t="s">
        <v>1</v>
      </c>
    </row>
    <row r="1208" spans="1:8" x14ac:dyDescent="0.3">
      <c r="A1208" s="2">
        <v>44871</v>
      </c>
      <c r="B1208" s="2" t="str">
        <f>TEXT(AutoPomodoro[[#This Row],[DATE]],"mmmm")</f>
        <v>November</v>
      </c>
      <c r="C1208" s="2" t="str">
        <f>TEXT(AutoPomodoro[[#This Row],[DATE]],"yyyy")</f>
        <v>2022</v>
      </c>
      <c r="D1208" s="8">
        <v>0.95208333333333339</v>
      </c>
      <c r="E1208" s="8">
        <v>0.99930555555555556</v>
      </c>
      <c r="F1208" s="3">
        <f t="shared" si="98"/>
        <v>4.7222222222222165E-2</v>
      </c>
      <c r="G1208" t="s">
        <v>16</v>
      </c>
      <c r="H1208" t="s">
        <v>1</v>
      </c>
    </row>
    <row r="1209" spans="1:8" x14ac:dyDescent="0.3">
      <c r="A1209" s="2">
        <v>44872</v>
      </c>
      <c r="B1209" s="2" t="str">
        <f>TEXT(AutoPomodoro[[#This Row],[DATE]],"mmmm")</f>
        <v>November</v>
      </c>
      <c r="C1209" s="2" t="str">
        <f>TEXT(AutoPomodoro[[#This Row],[DATE]],"yyyy")</f>
        <v>2022</v>
      </c>
      <c r="D1209" s="8">
        <v>6.9444444444444441E-3</v>
      </c>
      <c r="E1209" s="8">
        <v>4.7916666666666663E-2</v>
      </c>
      <c r="F1209" s="3">
        <f t="shared" si="98"/>
        <v>4.0972222222222215E-2</v>
      </c>
      <c r="G1209" t="s">
        <v>16</v>
      </c>
      <c r="H1209" t="s">
        <v>1</v>
      </c>
    </row>
    <row r="1210" spans="1:8" x14ac:dyDescent="0.3">
      <c r="A1210" s="2">
        <v>44872</v>
      </c>
      <c r="B1210" s="2" t="str">
        <f>TEXT(AutoPomodoro[[#This Row],[DATE]],"mmmm")</f>
        <v>November</v>
      </c>
      <c r="C1210" s="2" t="str">
        <f>TEXT(AutoPomodoro[[#This Row],[DATE]],"yyyy")</f>
        <v>2022</v>
      </c>
      <c r="D1210" s="8">
        <v>4.9999999999999996E-2</v>
      </c>
      <c r="E1210" s="8">
        <v>6.0416666666666667E-2</v>
      </c>
      <c r="F1210" s="3">
        <f t="shared" si="98"/>
        <v>1.0416666666666671E-2</v>
      </c>
      <c r="G1210" t="s">
        <v>16</v>
      </c>
      <c r="H1210" t="s">
        <v>1</v>
      </c>
    </row>
    <row r="1211" spans="1:8" x14ac:dyDescent="0.3">
      <c r="A1211" s="2">
        <v>44872</v>
      </c>
      <c r="B1211" s="2" t="str">
        <f>TEXT(AutoPomodoro[[#This Row],[DATE]],"mmmm")</f>
        <v>November</v>
      </c>
      <c r="C1211" s="2" t="str">
        <f>TEXT(AutoPomodoro[[#This Row],[DATE]],"yyyy")</f>
        <v>2022</v>
      </c>
      <c r="D1211" s="8">
        <v>0.10347222222222223</v>
      </c>
      <c r="E1211" s="8">
        <v>0.14583333333333334</v>
      </c>
      <c r="F1211" s="3">
        <f t="shared" si="98"/>
        <v>4.2361111111111113E-2</v>
      </c>
      <c r="G1211" t="s">
        <v>16</v>
      </c>
      <c r="H1211" t="s">
        <v>1</v>
      </c>
    </row>
    <row r="1212" spans="1:8" x14ac:dyDescent="0.3">
      <c r="A1212" s="2">
        <v>44872</v>
      </c>
      <c r="B1212" s="2" t="str">
        <f>TEXT(AutoPomodoro[[#This Row],[DATE]],"mmmm")</f>
        <v>November</v>
      </c>
      <c r="C1212" s="2" t="str">
        <f>TEXT(AutoPomodoro[[#This Row],[DATE]],"yyyy")</f>
        <v>2022</v>
      </c>
      <c r="D1212" s="8">
        <v>0.69444444444444453</v>
      </c>
      <c r="E1212" s="8">
        <v>0.71597222222222223</v>
      </c>
      <c r="F1212" s="3">
        <f t="shared" si="98"/>
        <v>2.1527777777777701E-2</v>
      </c>
      <c r="G1212" t="s">
        <v>16</v>
      </c>
      <c r="H1212" t="s">
        <v>1</v>
      </c>
    </row>
    <row r="1213" spans="1:8" x14ac:dyDescent="0.3">
      <c r="A1213" s="2">
        <v>44873</v>
      </c>
      <c r="B1213" s="2" t="str">
        <f>TEXT(AutoPomodoro[[#This Row],[DATE]],"mmmm")</f>
        <v>November</v>
      </c>
      <c r="C1213" s="2" t="str">
        <f>TEXT(AutoPomodoro[[#This Row],[DATE]],"yyyy")</f>
        <v>2022</v>
      </c>
      <c r="D1213" s="8">
        <v>0.46180555555555558</v>
      </c>
      <c r="E1213" s="8">
        <f>D1213+$T$15</f>
        <v>0.47916666666666669</v>
      </c>
      <c r="F1213" s="3">
        <f t="shared" si="98"/>
        <v>1.7361111111111105E-2</v>
      </c>
      <c r="G1213" t="s">
        <v>16</v>
      </c>
      <c r="H1213" t="s">
        <v>1</v>
      </c>
    </row>
    <row r="1214" spans="1:8" x14ac:dyDescent="0.3">
      <c r="A1214" s="2">
        <v>44873</v>
      </c>
      <c r="B1214" s="2" t="str">
        <f>TEXT(AutoPomodoro[[#This Row],[DATE]],"mmmm")</f>
        <v>November</v>
      </c>
      <c r="C1214" s="2" t="str">
        <f>TEXT(AutoPomodoro[[#This Row],[DATE]],"yyyy")</f>
        <v>2022</v>
      </c>
      <c r="D1214" s="8">
        <f>E1213+$T$16</f>
        <v>0.4826388888888889</v>
      </c>
      <c r="E1214" s="8">
        <f>D1214+$T$15</f>
        <v>0.5</v>
      </c>
      <c r="F1214" s="3">
        <f t="shared" si="98"/>
        <v>1.7361111111111105E-2</v>
      </c>
      <c r="G1214" t="s">
        <v>16</v>
      </c>
      <c r="H1214" t="s">
        <v>1</v>
      </c>
    </row>
    <row r="1215" spans="1:8" x14ac:dyDescent="0.3">
      <c r="A1215" s="2">
        <v>44873</v>
      </c>
      <c r="B1215" s="2" t="str">
        <f>TEXT(AutoPomodoro[[#This Row],[DATE]],"mmmm")</f>
        <v>November</v>
      </c>
      <c r="C1215" s="2" t="str">
        <f>TEXT(AutoPomodoro[[#This Row],[DATE]],"yyyy")</f>
        <v>2022</v>
      </c>
      <c r="D1215" s="8">
        <f>E1214+$T$16</f>
        <v>0.50347222222222221</v>
      </c>
      <c r="E1215" s="8">
        <f>D1215+$T$15</f>
        <v>0.52083333333333337</v>
      </c>
      <c r="F1215" s="3">
        <f t="shared" si="98"/>
        <v>1.736111111111116E-2</v>
      </c>
      <c r="G1215" t="s">
        <v>16</v>
      </c>
      <c r="H1215" t="s">
        <v>1</v>
      </c>
    </row>
    <row r="1216" spans="1:8" x14ac:dyDescent="0.3">
      <c r="A1216" s="2">
        <v>44873</v>
      </c>
      <c r="B1216" s="2" t="str">
        <f>TEXT(AutoPomodoro[[#This Row],[DATE]],"mmmm")</f>
        <v>November</v>
      </c>
      <c r="C1216" s="2" t="str">
        <f>TEXT(AutoPomodoro[[#This Row],[DATE]],"yyyy")</f>
        <v>2022</v>
      </c>
      <c r="D1216" s="8">
        <f>E1215+$T$17</f>
        <v>0.52569444444444446</v>
      </c>
      <c r="E1216" s="8">
        <f>D1216+$T$15</f>
        <v>0.54305555555555562</v>
      </c>
      <c r="F1216" s="3">
        <v>2.2916666666666669E-2</v>
      </c>
      <c r="G1216" t="s">
        <v>16</v>
      </c>
      <c r="H1216" t="s">
        <v>1</v>
      </c>
    </row>
    <row r="1217" spans="1:8" x14ac:dyDescent="0.3">
      <c r="A1217" s="2">
        <v>44873</v>
      </c>
      <c r="B1217" s="2" t="str">
        <f>TEXT(AutoPomodoro[[#This Row],[DATE]],"mmmm")</f>
        <v>November</v>
      </c>
      <c r="C1217" s="2" t="str">
        <f>TEXT(AutoPomodoro[[#This Row],[DATE]],"yyyy")</f>
        <v>2022</v>
      </c>
      <c r="D1217" s="8">
        <v>0.54305555555555562</v>
      </c>
      <c r="E1217" s="8">
        <f>D1217+M</f>
        <v>0.55347222222222225</v>
      </c>
      <c r="F1217" s="3">
        <v>1.0416666666666666E-2</v>
      </c>
      <c r="G1217" t="s">
        <v>21</v>
      </c>
      <c r="H1217" t="s">
        <v>1</v>
      </c>
    </row>
    <row r="1218" spans="1:8" x14ac:dyDescent="0.3">
      <c r="A1218" s="2">
        <v>44873</v>
      </c>
      <c r="B1218" s="2" t="str">
        <f>TEXT(AutoPomodoro[[#This Row],[DATE]],"mmmm")</f>
        <v>November</v>
      </c>
      <c r="C1218" s="2" t="str">
        <f>TEXT(AutoPomodoro[[#This Row],[DATE]],"yyyy")</f>
        <v>2022</v>
      </c>
      <c r="D1218" s="8">
        <v>0.55347222222222225</v>
      </c>
      <c r="E1218" s="8">
        <f>D1218+$T$15</f>
        <v>0.57083333333333341</v>
      </c>
      <c r="F1218" s="3">
        <v>2.6388888888888889E-2</v>
      </c>
      <c r="G1218" t="s">
        <v>16</v>
      </c>
      <c r="H1218" t="s">
        <v>1</v>
      </c>
    </row>
    <row r="1219" spans="1:8" x14ac:dyDescent="0.3">
      <c r="A1219" s="2">
        <v>44875</v>
      </c>
      <c r="B1219" s="2" t="str">
        <f>TEXT(AutoPomodoro[[#This Row],[DATE]],"mmmm")</f>
        <v>November</v>
      </c>
      <c r="C1219" s="2" t="str">
        <f>TEXT(AutoPomodoro[[#This Row],[DATE]],"yyyy")</f>
        <v>2022</v>
      </c>
      <c r="D1219" s="8">
        <v>0.94444444444444453</v>
      </c>
      <c r="E1219" s="8">
        <v>0.95486111111111116</v>
      </c>
      <c r="F1219" s="3">
        <f t="shared" ref="F1219:F1224" si="99">E1219-D1219</f>
        <v>1.041666666666663E-2</v>
      </c>
      <c r="G1219" t="s">
        <v>0</v>
      </c>
      <c r="H1219" t="s">
        <v>1</v>
      </c>
    </row>
    <row r="1220" spans="1:8" x14ac:dyDescent="0.3">
      <c r="A1220" s="2">
        <v>44875</v>
      </c>
      <c r="B1220" s="2" t="str">
        <f>TEXT(AutoPomodoro[[#This Row],[DATE]],"mmmm")</f>
        <v>November</v>
      </c>
      <c r="C1220" s="2" t="str">
        <f>TEXT(AutoPomodoro[[#This Row],[DATE]],"yyyy")</f>
        <v>2022</v>
      </c>
      <c r="D1220" s="8">
        <v>0.95694444444444438</v>
      </c>
      <c r="E1220" s="8">
        <f>D1220+$T$15</f>
        <v>0.97430555555555554</v>
      </c>
      <c r="F1220" s="3">
        <f t="shared" si="99"/>
        <v>1.736111111111116E-2</v>
      </c>
      <c r="G1220" t="s">
        <v>16</v>
      </c>
      <c r="H1220" t="s">
        <v>2</v>
      </c>
    </row>
    <row r="1221" spans="1:8" x14ac:dyDescent="0.3">
      <c r="A1221" s="2">
        <v>44876</v>
      </c>
      <c r="B1221" s="2" t="str">
        <f>TEXT(AutoPomodoro[[#This Row],[DATE]],"mmmm")</f>
        <v>November</v>
      </c>
      <c r="C1221" s="2" t="str">
        <f>TEXT(AutoPomodoro[[#This Row],[DATE]],"yyyy")</f>
        <v>2022</v>
      </c>
      <c r="D1221" s="8">
        <v>0.46875</v>
      </c>
      <c r="E1221" s="8">
        <f>D1221+$T$15</f>
        <v>0.4861111111111111</v>
      </c>
      <c r="F1221" s="3">
        <f t="shared" si="99"/>
        <v>1.7361111111111105E-2</v>
      </c>
      <c r="G1221" t="s">
        <v>16</v>
      </c>
      <c r="H1221" t="s">
        <v>1</v>
      </c>
    </row>
    <row r="1222" spans="1:8" x14ac:dyDescent="0.3">
      <c r="A1222" s="2">
        <v>44876</v>
      </c>
      <c r="B1222" s="2" t="str">
        <f>TEXT(AutoPomodoro[[#This Row],[DATE]],"mmmm")</f>
        <v>November</v>
      </c>
      <c r="C1222" s="2" t="str">
        <f>TEXT(AutoPomodoro[[#This Row],[DATE]],"yyyy")</f>
        <v>2022</v>
      </c>
      <c r="D1222" s="8">
        <f>E1221+$T$16</f>
        <v>0.48958333333333331</v>
      </c>
      <c r="E1222" s="8">
        <f>D1222+$T$15</f>
        <v>0.50694444444444442</v>
      </c>
      <c r="F1222" s="3">
        <f t="shared" si="99"/>
        <v>1.7361111111111105E-2</v>
      </c>
      <c r="G1222" t="s">
        <v>16</v>
      </c>
      <c r="H1222" t="s">
        <v>1</v>
      </c>
    </row>
    <row r="1223" spans="1:8" x14ac:dyDescent="0.3">
      <c r="A1223" s="2">
        <v>44876</v>
      </c>
      <c r="B1223" s="2" t="str">
        <f>TEXT(AutoPomodoro[[#This Row],[DATE]],"mmmm")</f>
        <v>November</v>
      </c>
      <c r="C1223" s="2" t="str">
        <f>TEXT(AutoPomodoro[[#This Row],[DATE]],"yyyy")</f>
        <v>2022</v>
      </c>
      <c r="D1223" s="8">
        <f>E1222+$T$16</f>
        <v>0.51041666666666663</v>
      </c>
      <c r="E1223" s="8">
        <f>D1223+$T$15</f>
        <v>0.52777777777777779</v>
      </c>
      <c r="F1223" s="3">
        <f t="shared" si="99"/>
        <v>1.736111111111116E-2</v>
      </c>
      <c r="G1223" t="s">
        <v>16</v>
      </c>
      <c r="H1223" t="s">
        <v>1</v>
      </c>
    </row>
    <row r="1224" spans="1:8" x14ac:dyDescent="0.3">
      <c r="A1224" s="2">
        <v>44876</v>
      </c>
      <c r="B1224" s="2" t="str">
        <f>TEXT(AutoPomodoro[[#This Row],[DATE]],"mmmm")</f>
        <v>November</v>
      </c>
      <c r="C1224" s="2" t="str">
        <f>TEXT(AutoPomodoro[[#This Row],[DATE]],"yyyy")</f>
        <v>2022</v>
      </c>
      <c r="D1224" s="8">
        <f>E1223+$T$17</f>
        <v>0.53263888888888888</v>
      </c>
      <c r="E1224" s="8">
        <f>D1224+$T$15</f>
        <v>0.55000000000000004</v>
      </c>
      <c r="F1224" s="3">
        <f t="shared" si="99"/>
        <v>1.736111111111116E-2</v>
      </c>
      <c r="G1224" t="s">
        <v>16</v>
      </c>
      <c r="H1224" t="s">
        <v>2</v>
      </c>
    </row>
    <row r="1225" spans="1:8" x14ac:dyDescent="0.3">
      <c r="A1225" s="2">
        <v>44876</v>
      </c>
      <c r="B1225" s="2" t="str">
        <f>TEXT(AutoPomodoro[[#This Row],[DATE]],"mmmm")</f>
        <v>November</v>
      </c>
      <c r="C1225" s="2" t="str">
        <f>TEXT(AutoPomodoro[[#This Row],[DATE]],"yyyy")</f>
        <v>2022</v>
      </c>
      <c r="D1225" s="8">
        <v>0.55000000000000004</v>
      </c>
      <c r="E1225" s="8">
        <f>D1225+M</f>
        <v>0.56041666666666667</v>
      </c>
      <c r="F1225" s="3">
        <v>1.0416666666666666E-2</v>
      </c>
      <c r="G1225" t="s">
        <v>21</v>
      </c>
      <c r="H1225" t="s">
        <v>1</v>
      </c>
    </row>
    <row r="1226" spans="1:8" x14ac:dyDescent="0.3">
      <c r="A1226" s="2">
        <v>44876</v>
      </c>
      <c r="B1226" s="2" t="str">
        <f>TEXT(AutoPomodoro[[#This Row],[DATE]],"mmmm")</f>
        <v>November</v>
      </c>
      <c r="C1226" s="2" t="str">
        <f>TEXT(AutoPomodoro[[#This Row],[DATE]],"yyyy")</f>
        <v>2022</v>
      </c>
      <c r="D1226" s="8">
        <v>0.56041666666666667</v>
      </c>
      <c r="E1226" s="8">
        <f>D1226+$T$15</f>
        <v>0.57777777777777783</v>
      </c>
      <c r="F1226" s="3">
        <f>E1226-D1226</f>
        <v>1.736111111111116E-2</v>
      </c>
      <c r="G1226" t="s">
        <v>16</v>
      </c>
      <c r="H1226" t="s">
        <v>1</v>
      </c>
    </row>
    <row r="1227" spans="1:8" x14ac:dyDescent="0.3">
      <c r="A1227" s="2">
        <v>44876</v>
      </c>
      <c r="B1227" s="2" t="str">
        <f>TEXT(AutoPomodoro[[#This Row],[DATE]],"mmmm")</f>
        <v>November</v>
      </c>
      <c r="C1227" s="2" t="str">
        <f>TEXT(AutoPomodoro[[#This Row],[DATE]],"yyyy")</f>
        <v>2022</v>
      </c>
      <c r="D1227" s="8">
        <f>E1226+$T$16</f>
        <v>0.58125000000000004</v>
      </c>
      <c r="E1227" s="8">
        <f>D1227+$T$15</f>
        <v>0.5986111111111112</v>
      </c>
      <c r="F1227" s="3">
        <f>E1227-D1227</f>
        <v>1.736111111111116E-2</v>
      </c>
      <c r="G1227" t="s">
        <v>16</v>
      </c>
      <c r="H1227" t="s">
        <v>1</v>
      </c>
    </row>
    <row r="1228" spans="1:8" x14ac:dyDescent="0.3">
      <c r="A1228" s="2">
        <v>44876</v>
      </c>
      <c r="B1228" s="2" t="str">
        <f>TEXT(AutoPomodoro[[#This Row],[DATE]],"mmmm")</f>
        <v>November</v>
      </c>
      <c r="C1228" s="2" t="str">
        <f>TEXT(AutoPomodoro[[#This Row],[DATE]],"yyyy")</f>
        <v>2022</v>
      </c>
      <c r="D1228" s="8">
        <f>E1227+$T$16</f>
        <v>0.60208333333333341</v>
      </c>
      <c r="E1228" s="8">
        <f>D1228+$T$15</f>
        <v>0.61944444444444458</v>
      </c>
      <c r="F1228" s="3">
        <f>E1228-D1228</f>
        <v>1.736111111111116E-2</v>
      </c>
      <c r="G1228" t="s">
        <v>16</v>
      </c>
      <c r="H1228" t="s">
        <v>1</v>
      </c>
    </row>
    <row r="1229" spans="1:8" x14ac:dyDescent="0.3">
      <c r="A1229" s="2">
        <v>44876</v>
      </c>
      <c r="B1229" s="2" t="str">
        <f>TEXT(AutoPomodoro[[#This Row],[DATE]],"mmmm")</f>
        <v>November</v>
      </c>
      <c r="C1229" s="2" t="str">
        <f>TEXT(AutoPomodoro[[#This Row],[DATE]],"yyyy")</f>
        <v>2022</v>
      </c>
      <c r="D1229" s="8">
        <f>E1228+$T$17</f>
        <v>0.62430555555555567</v>
      </c>
      <c r="E1229" s="8">
        <v>0.65277777777777779</v>
      </c>
      <c r="F1229" s="3">
        <f>E1229-D1229</f>
        <v>2.8472222222222121E-2</v>
      </c>
      <c r="G1229" t="s">
        <v>16</v>
      </c>
      <c r="H1229" t="s">
        <v>1</v>
      </c>
    </row>
    <row r="1230" spans="1:8" x14ac:dyDescent="0.3">
      <c r="A1230" s="2">
        <v>44879</v>
      </c>
      <c r="B1230" s="2" t="str">
        <f>TEXT(AutoPomodoro[[#This Row],[DATE]],"mmmm")</f>
        <v>November</v>
      </c>
      <c r="C1230" s="2" t="str">
        <f>TEXT(AutoPomodoro[[#This Row],[DATE]],"yyyy")</f>
        <v>2022</v>
      </c>
      <c r="D1230" s="8">
        <v>0.49652777777777773</v>
      </c>
      <c r="E1230" s="8">
        <f>D1230+$T$15</f>
        <v>0.51388888888888884</v>
      </c>
      <c r="F1230" s="3">
        <v>2.0833333333333332E-2</v>
      </c>
      <c r="G1230" t="s">
        <v>16</v>
      </c>
      <c r="H1230" t="s">
        <v>1</v>
      </c>
    </row>
    <row r="1231" spans="1:8" x14ac:dyDescent="0.3">
      <c r="A1231" s="2">
        <v>44879</v>
      </c>
      <c r="B1231" s="2" t="str">
        <f>TEXT(AutoPomodoro[[#This Row],[DATE]],"mmmm")</f>
        <v>November</v>
      </c>
      <c r="C1231" s="2" t="str">
        <f>TEXT(AutoPomodoro[[#This Row],[DATE]],"yyyy")</f>
        <v>2022</v>
      </c>
      <c r="D1231" s="8">
        <f>E1230+$T$16</f>
        <v>0.51736111111111105</v>
      </c>
      <c r="E1231" s="8">
        <f>D1231+$T$15</f>
        <v>0.53472222222222221</v>
      </c>
      <c r="F1231" s="3">
        <f>E1231-D1231</f>
        <v>1.736111111111116E-2</v>
      </c>
      <c r="G1231" t="s">
        <v>16</v>
      </c>
      <c r="H1231" t="s">
        <v>1</v>
      </c>
    </row>
    <row r="1232" spans="1:8" x14ac:dyDescent="0.3">
      <c r="A1232" s="2">
        <v>44879</v>
      </c>
      <c r="B1232" s="2" t="str">
        <f>TEXT(AutoPomodoro[[#This Row],[DATE]],"mmmm")</f>
        <v>November</v>
      </c>
      <c r="C1232" s="2" t="str">
        <f>TEXT(AutoPomodoro[[#This Row],[DATE]],"yyyy")</f>
        <v>2022</v>
      </c>
      <c r="D1232" s="8">
        <f>E1231+$T$16</f>
        <v>0.53819444444444442</v>
      </c>
      <c r="E1232" s="8">
        <f>D1232+$T$15</f>
        <v>0.55555555555555558</v>
      </c>
      <c r="F1232" s="3">
        <f>E1232-D1232</f>
        <v>1.736111111111116E-2</v>
      </c>
      <c r="G1232" t="s">
        <v>16</v>
      </c>
      <c r="H1232" t="s">
        <v>1</v>
      </c>
    </row>
    <row r="1233" spans="1:8" x14ac:dyDescent="0.3">
      <c r="A1233" s="2">
        <v>44879</v>
      </c>
      <c r="B1233" s="2" t="str">
        <f>TEXT(AutoPomodoro[[#This Row],[DATE]],"mmmm")</f>
        <v>November</v>
      </c>
      <c r="C1233" s="2" t="str">
        <f>TEXT(AutoPomodoro[[#This Row],[DATE]],"yyyy")</f>
        <v>2022</v>
      </c>
      <c r="D1233" s="8">
        <f>E1232+$T$17</f>
        <v>0.56041666666666667</v>
      </c>
      <c r="E1233" s="8">
        <f>D1233+$T$15</f>
        <v>0.57777777777777783</v>
      </c>
      <c r="F1233" s="3">
        <v>2.0833333333333332E-2</v>
      </c>
      <c r="G1233" t="s">
        <v>16</v>
      </c>
      <c r="H1233" t="s">
        <v>1</v>
      </c>
    </row>
    <row r="1234" spans="1:8" x14ac:dyDescent="0.3">
      <c r="A1234" s="2">
        <v>44879</v>
      </c>
      <c r="B1234" s="2" t="str">
        <f>TEXT(AutoPomodoro[[#This Row],[DATE]],"mmmm")</f>
        <v>November</v>
      </c>
      <c r="C1234" s="2" t="str">
        <f>TEXT(AutoPomodoro[[#This Row],[DATE]],"yyyy")</f>
        <v>2022</v>
      </c>
      <c r="D1234" s="8">
        <v>0.57777777777777783</v>
      </c>
      <c r="E1234" s="8">
        <f>D1234+M</f>
        <v>0.58819444444444446</v>
      </c>
      <c r="F1234" s="3">
        <v>1.0416666666666666E-2</v>
      </c>
      <c r="G1234" t="s">
        <v>21</v>
      </c>
      <c r="H1234" t="s">
        <v>1</v>
      </c>
    </row>
    <row r="1235" spans="1:8" x14ac:dyDescent="0.3">
      <c r="A1235" s="2">
        <v>44879</v>
      </c>
      <c r="B1235" s="2" t="str">
        <f>TEXT(AutoPomodoro[[#This Row],[DATE]],"mmmm")</f>
        <v>November</v>
      </c>
      <c r="C1235" s="2" t="str">
        <f>TEXT(AutoPomodoro[[#This Row],[DATE]],"yyyy")</f>
        <v>2022</v>
      </c>
      <c r="D1235" s="8">
        <v>0.58819444444444446</v>
      </c>
      <c r="E1235" s="8">
        <f t="shared" ref="E1235:E1242" si="100">D1235+$T$15</f>
        <v>0.60555555555555562</v>
      </c>
      <c r="F1235" s="3">
        <f>E1235-D1235</f>
        <v>1.736111111111116E-2</v>
      </c>
      <c r="G1235" t="s">
        <v>16</v>
      </c>
      <c r="H1235" t="s">
        <v>1</v>
      </c>
    </row>
    <row r="1236" spans="1:8" x14ac:dyDescent="0.3">
      <c r="A1236" s="2">
        <v>44879</v>
      </c>
      <c r="B1236" s="2" t="str">
        <f>TEXT(AutoPomodoro[[#This Row],[DATE]],"mmmm")</f>
        <v>November</v>
      </c>
      <c r="C1236" s="2" t="str">
        <f>TEXT(AutoPomodoro[[#This Row],[DATE]],"yyyy")</f>
        <v>2022</v>
      </c>
      <c r="D1236" s="8">
        <f>E1235+$T$16</f>
        <v>0.60902777777777783</v>
      </c>
      <c r="E1236" s="8">
        <f t="shared" si="100"/>
        <v>0.62638888888888899</v>
      </c>
      <c r="F1236" s="3">
        <f>E1236-D1236</f>
        <v>1.736111111111116E-2</v>
      </c>
      <c r="G1236" t="s">
        <v>16</v>
      </c>
      <c r="H1236" t="s">
        <v>1</v>
      </c>
    </row>
    <row r="1237" spans="1:8" x14ac:dyDescent="0.3">
      <c r="A1237" s="2">
        <v>44879</v>
      </c>
      <c r="B1237" s="2" t="str">
        <f>TEXT(AutoPomodoro[[#This Row],[DATE]],"mmmm")</f>
        <v>November</v>
      </c>
      <c r="C1237" s="2" t="str">
        <f>TEXT(AutoPomodoro[[#This Row],[DATE]],"yyyy")</f>
        <v>2022</v>
      </c>
      <c r="D1237" s="8">
        <f>E1236+$T$16</f>
        <v>0.6298611111111112</v>
      </c>
      <c r="E1237" s="8">
        <f t="shared" si="100"/>
        <v>0.64722222222222237</v>
      </c>
      <c r="F1237" s="3">
        <f>E1237-D1237</f>
        <v>1.736111111111116E-2</v>
      </c>
      <c r="G1237" t="s">
        <v>16</v>
      </c>
      <c r="H1237" t="s">
        <v>1</v>
      </c>
    </row>
    <row r="1238" spans="1:8" x14ac:dyDescent="0.3">
      <c r="A1238" s="2">
        <v>44879</v>
      </c>
      <c r="B1238" s="2" t="str">
        <f>TEXT(AutoPomodoro[[#This Row],[DATE]],"mmmm")</f>
        <v>November</v>
      </c>
      <c r="C1238" s="2" t="str">
        <f>TEXT(AutoPomodoro[[#This Row],[DATE]],"yyyy")</f>
        <v>2022</v>
      </c>
      <c r="D1238" s="8">
        <v>0.65208333333333335</v>
      </c>
      <c r="E1238" s="8">
        <f t="shared" si="100"/>
        <v>0.66944444444444451</v>
      </c>
      <c r="F1238" s="3">
        <v>2.013888888888889E-2</v>
      </c>
      <c r="G1238" t="s">
        <v>16</v>
      </c>
      <c r="H1238" t="s">
        <v>1</v>
      </c>
    </row>
    <row r="1239" spans="1:8" x14ac:dyDescent="0.3">
      <c r="A1239" s="2">
        <v>44880</v>
      </c>
      <c r="B1239" s="2" t="str">
        <f>TEXT(AutoPomodoro[[#This Row],[DATE]],"mmmm")</f>
        <v>November</v>
      </c>
      <c r="C1239" s="2" t="str">
        <f>TEXT(AutoPomodoro[[#This Row],[DATE]],"yyyy")</f>
        <v>2022</v>
      </c>
      <c r="D1239" s="8">
        <v>0.49652777777777773</v>
      </c>
      <c r="E1239" s="8">
        <f t="shared" si="100"/>
        <v>0.51388888888888884</v>
      </c>
      <c r="F1239" s="3">
        <f>E1239-D1239</f>
        <v>1.7361111111111105E-2</v>
      </c>
      <c r="G1239" t="s">
        <v>16</v>
      </c>
      <c r="H1239" t="s">
        <v>1</v>
      </c>
    </row>
    <row r="1240" spans="1:8" x14ac:dyDescent="0.3">
      <c r="A1240" s="2">
        <v>44880</v>
      </c>
      <c r="B1240" s="2" t="str">
        <f>TEXT(AutoPomodoro[[#This Row],[DATE]],"mmmm")</f>
        <v>November</v>
      </c>
      <c r="C1240" s="2" t="str">
        <f>TEXT(AutoPomodoro[[#This Row],[DATE]],"yyyy")</f>
        <v>2022</v>
      </c>
      <c r="D1240" s="8">
        <f>E1239+$T$16</f>
        <v>0.51736111111111105</v>
      </c>
      <c r="E1240" s="8">
        <f t="shared" si="100"/>
        <v>0.53472222222222221</v>
      </c>
      <c r="F1240" s="3">
        <v>9.0277777777777787E-3</v>
      </c>
      <c r="G1240" t="s">
        <v>16</v>
      </c>
      <c r="H1240" t="s">
        <v>1</v>
      </c>
    </row>
    <row r="1241" spans="1:8" x14ac:dyDescent="0.3">
      <c r="A1241" s="2">
        <v>44880</v>
      </c>
      <c r="B1241" s="2" t="str">
        <f>TEXT(AutoPomodoro[[#This Row],[DATE]],"mmmm")</f>
        <v>November</v>
      </c>
      <c r="C1241" s="2" t="str">
        <f>TEXT(AutoPomodoro[[#This Row],[DATE]],"yyyy")</f>
        <v>2022</v>
      </c>
      <c r="D1241" s="8">
        <f>E1240+$T$16</f>
        <v>0.53819444444444442</v>
      </c>
      <c r="E1241" s="8">
        <f t="shared" si="100"/>
        <v>0.55555555555555558</v>
      </c>
      <c r="F1241" s="3">
        <v>1.4583333333333332E-2</v>
      </c>
      <c r="G1241" t="s">
        <v>16</v>
      </c>
      <c r="H1241" t="s">
        <v>1</v>
      </c>
    </row>
    <row r="1242" spans="1:8" x14ac:dyDescent="0.3">
      <c r="A1242" s="2">
        <v>44880</v>
      </c>
      <c r="B1242" s="2" t="str">
        <f>TEXT(AutoPomodoro[[#This Row],[DATE]],"mmmm")</f>
        <v>November</v>
      </c>
      <c r="C1242" s="2" t="str">
        <f>TEXT(AutoPomodoro[[#This Row],[DATE]],"yyyy")</f>
        <v>2022</v>
      </c>
      <c r="D1242" s="8">
        <f>E1241+$T$17</f>
        <v>0.56041666666666667</v>
      </c>
      <c r="E1242" s="8">
        <f t="shared" si="100"/>
        <v>0.57777777777777783</v>
      </c>
      <c r="F1242" s="3">
        <f>E1242-D1242</f>
        <v>1.736111111111116E-2</v>
      </c>
      <c r="G1242" t="s">
        <v>16</v>
      </c>
      <c r="H1242" t="s">
        <v>1</v>
      </c>
    </row>
    <row r="1243" spans="1:8" x14ac:dyDescent="0.3">
      <c r="A1243" s="2">
        <v>44880</v>
      </c>
      <c r="B1243" s="2" t="str">
        <f>TEXT(AutoPomodoro[[#This Row],[DATE]],"mmmm")</f>
        <v>November</v>
      </c>
      <c r="C1243" s="2" t="str">
        <f>TEXT(AutoPomodoro[[#This Row],[DATE]],"yyyy")</f>
        <v>2022</v>
      </c>
      <c r="D1243" s="8">
        <v>0.57777777777777783</v>
      </c>
      <c r="E1243" s="8">
        <f>D1243+M</f>
        <v>0.58819444444444446</v>
      </c>
      <c r="F1243" s="3">
        <v>1.0416666666666666E-2</v>
      </c>
      <c r="G1243" t="s">
        <v>21</v>
      </c>
      <c r="H1243" t="s">
        <v>1</v>
      </c>
    </row>
    <row r="1244" spans="1:8" x14ac:dyDescent="0.3">
      <c r="A1244" s="2">
        <v>44880</v>
      </c>
      <c r="B1244" s="2" t="str">
        <f>TEXT(AutoPomodoro[[#This Row],[DATE]],"mmmm")</f>
        <v>November</v>
      </c>
      <c r="C1244" s="2" t="str">
        <f>TEXT(AutoPomodoro[[#This Row],[DATE]],"yyyy")</f>
        <v>2022</v>
      </c>
      <c r="D1244" s="8">
        <v>0.58819444444444446</v>
      </c>
      <c r="E1244" s="8">
        <f t="shared" ref="E1244:E1249" si="101">D1244+$T$15</f>
        <v>0.60555555555555562</v>
      </c>
      <c r="F1244" s="3">
        <f>E1244-D1244</f>
        <v>1.736111111111116E-2</v>
      </c>
      <c r="G1244" t="s">
        <v>16</v>
      </c>
      <c r="H1244" t="s">
        <v>1</v>
      </c>
    </row>
    <row r="1245" spans="1:8" x14ac:dyDescent="0.3">
      <c r="A1245" s="2">
        <v>44880</v>
      </c>
      <c r="B1245" s="2" t="str">
        <f>TEXT(AutoPomodoro[[#This Row],[DATE]],"mmmm")</f>
        <v>November</v>
      </c>
      <c r="C1245" s="2" t="str">
        <f>TEXT(AutoPomodoro[[#This Row],[DATE]],"yyyy")</f>
        <v>2022</v>
      </c>
      <c r="D1245" s="8">
        <f>E1244+$T$16</f>
        <v>0.60902777777777783</v>
      </c>
      <c r="E1245" s="8">
        <f t="shared" si="101"/>
        <v>0.62638888888888899</v>
      </c>
      <c r="F1245" s="3">
        <f>E1245-D1245</f>
        <v>1.736111111111116E-2</v>
      </c>
      <c r="G1245" t="s">
        <v>17</v>
      </c>
      <c r="H1245" t="s">
        <v>1</v>
      </c>
    </row>
    <row r="1246" spans="1:8" x14ac:dyDescent="0.3">
      <c r="A1246" s="2">
        <v>44880</v>
      </c>
      <c r="B1246" s="2" t="str">
        <f>TEXT(AutoPomodoro[[#This Row],[DATE]],"mmmm")</f>
        <v>November</v>
      </c>
      <c r="C1246" s="2" t="str">
        <f>TEXT(AutoPomodoro[[#This Row],[DATE]],"yyyy")</f>
        <v>2022</v>
      </c>
      <c r="D1246" s="8">
        <f>E1245+$T$16</f>
        <v>0.6298611111111112</v>
      </c>
      <c r="E1246" s="8">
        <f t="shared" si="101"/>
        <v>0.64722222222222237</v>
      </c>
      <c r="F1246" s="3">
        <f>E1246-D1246</f>
        <v>1.736111111111116E-2</v>
      </c>
      <c r="G1246" t="s">
        <v>16</v>
      </c>
      <c r="H1246" t="s">
        <v>1</v>
      </c>
    </row>
    <row r="1247" spans="1:8" x14ac:dyDescent="0.3">
      <c r="A1247" s="2">
        <v>44880</v>
      </c>
      <c r="B1247" s="2" t="str">
        <f>TEXT(AutoPomodoro[[#This Row],[DATE]],"mmmm")</f>
        <v>November</v>
      </c>
      <c r="C1247" s="2" t="str">
        <f>TEXT(AutoPomodoro[[#This Row],[DATE]],"yyyy")</f>
        <v>2022</v>
      </c>
      <c r="D1247" s="8">
        <f>E1246+$T$17</f>
        <v>0.65208333333333346</v>
      </c>
      <c r="E1247" s="8">
        <f t="shared" si="101"/>
        <v>0.66944444444444462</v>
      </c>
      <c r="F1247" s="3">
        <v>2.2916666666666669E-2</v>
      </c>
      <c r="G1247" t="s">
        <v>16</v>
      </c>
      <c r="H1247" t="s">
        <v>1</v>
      </c>
    </row>
    <row r="1248" spans="1:8" x14ac:dyDescent="0.3">
      <c r="A1248" s="2">
        <v>44881</v>
      </c>
      <c r="B1248" s="2" t="str">
        <f>TEXT(AutoPomodoro[[#This Row],[DATE]],"mmmm")</f>
        <v>November</v>
      </c>
      <c r="C1248" s="2" t="str">
        <f>TEXT(AutoPomodoro[[#This Row],[DATE]],"yyyy")</f>
        <v>2022</v>
      </c>
      <c r="D1248" s="8">
        <v>0.48402777777777778</v>
      </c>
      <c r="E1248" s="8">
        <f t="shared" si="101"/>
        <v>0.50138888888888888</v>
      </c>
      <c r="F1248" s="3">
        <f t="shared" ref="F1248:F1262" si="102">E1248-D1248</f>
        <v>1.7361111111111105E-2</v>
      </c>
      <c r="G1248" t="s">
        <v>16</v>
      </c>
      <c r="H1248" t="s">
        <v>1</v>
      </c>
    </row>
    <row r="1249" spans="1:8" x14ac:dyDescent="0.3">
      <c r="A1249" s="2">
        <v>44881</v>
      </c>
      <c r="B1249" s="2" t="str">
        <f>TEXT(AutoPomodoro[[#This Row],[DATE]],"mmmm")</f>
        <v>November</v>
      </c>
      <c r="C1249" s="2" t="str">
        <f>TEXT(AutoPomodoro[[#This Row],[DATE]],"yyyy")</f>
        <v>2022</v>
      </c>
      <c r="D1249" s="8">
        <f>E1248+$T$16</f>
        <v>0.50486111111111109</v>
      </c>
      <c r="E1249" s="8">
        <f t="shared" si="101"/>
        <v>0.52222222222222225</v>
      </c>
      <c r="F1249" s="3">
        <f t="shared" si="102"/>
        <v>1.736111111111116E-2</v>
      </c>
      <c r="G1249" t="s">
        <v>16</v>
      </c>
      <c r="H1249" t="s">
        <v>1</v>
      </c>
    </row>
    <row r="1250" spans="1:8" x14ac:dyDescent="0.3">
      <c r="A1250" s="2">
        <v>44882</v>
      </c>
      <c r="B1250" s="2" t="str">
        <f>TEXT(AutoPomodoro[[#This Row],[DATE]],"mmmm")</f>
        <v>November</v>
      </c>
      <c r="C1250" s="2" t="str">
        <f>TEXT(AutoPomodoro[[#This Row],[DATE]],"yyyy")</f>
        <v>2022</v>
      </c>
      <c r="D1250" s="8">
        <v>0.44027777777777777</v>
      </c>
      <c r="E1250" s="8">
        <v>0.46875</v>
      </c>
      <c r="F1250" s="3">
        <f t="shared" si="102"/>
        <v>2.8472222222222232E-2</v>
      </c>
      <c r="G1250" t="s">
        <v>16</v>
      </c>
      <c r="H1250" t="s">
        <v>1</v>
      </c>
    </row>
    <row r="1251" spans="1:8" x14ac:dyDescent="0.3">
      <c r="A1251" s="2">
        <v>44882</v>
      </c>
      <c r="B1251" s="2" t="str">
        <f>TEXT(AutoPomodoro[[#This Row],[DATE]],"mmmm")</f>
        <v>November</v>
      </c>
      <c r="C1251" s="2" t="str">
        <f>TEXT(AutoPomodoro[[#This Row],[DATE]],"yyyy")</f>
        <v>2022</v>
      </c>
      <c r="D1251" s="8">
        <v>0.48333333333333334</v>
      </c>
      <c r="E1251" s="8">
        <v>0.50486111111111109</v>
      </c>
      <c r="F1251" s="3">
        <f t="shared" si="102"/>
        <v>2.1527777777777757E-2</v>
      </c>
      <c r="G1251" t="s">
        <v>16</v>
      </c>
      <c r="H1251" t="s">
        <v>1</v>
      </c>
    </row>
    <row r="1252" spans="1:8" x14ac:dyDescent="0.3">
      <c r="A1252" s="2">
        <v>44882</v>
      </c>
      <c r="B1252" s="2" t="str">
        <f>TEXT(AutoPomodoro[[#This Row],[DATE]],"mmmm")</f>
        <v>November</v>
      </c>
      <c r="C1252" s="2" t="str">
        <f>TEXT(AutoPomodoro[[#This Row],[DATE]],"yyyy")</f>
        <v>2022</v>
      </c>
      <c r="D1252" s="8">
        <v>0.5083333333333333</v>
      </c>
      <c r="E1252" s="8">
        <v>0.5395833333333333</v>
      </c>
      <c r="F1252" s="3">
        <f t="shared" si="102"/>
        <v>3.125E-2</v>
      </c>
      <c r="G1252" t="s">
        <v>16</v>
      </c>
      <c r="H1252" t="s">
        <v>1</v>
      </c>
    </row>
    <row r="1253" spans="1:8" x14ac:dyDescent="0.3">
      <c r="A1253" s="2">
        <v>44882</v>
      </c>
      <c r="B1253" s="2" t="str">
        <f>TEXT(AutoPomodoro[[#This Row],[DATE]],"mmmm")</f>
        <v>November</v>
      </c>
      <c r="C1253" s="2" t="str">
        <f>TEXT(AutoPomodoro[[#This Row],[DATE]],"yyyy")</f>
        <v>2022</v>
      </c>
      <c r="D1253" s="8">
        <v>0.54652777777777783</v>
      </c>
      <c r="E1253" s="8">
        <v>0.59722222222222221</v>
      </c>
      <c r="F1253" s="3">
        <f t="shared" si="102"/>
        <v>5.0694444444444375E-2</v>
      </c>
      <c r="G1253" t="s">
        <v>16</v>
      </c>
      <c r="H1253" t="s">
        <v>1</v>
      </c>
    </row>
    <row r="1254" spans="1:8" x14ac:dyDescent="0.3">
      <c r="A1254" s="2">
        <v>44882</v>
      </c>
      <c r="B1254" s="2" t="str">
        <f>TEXT(AutoPomodoro[[#This Row],[DATE]],"mmmm")</f>
        <v>November</v>
      </c>
      <c r="C1254" s="2" t="str">
        <f>TEXT(AutoPomodoro[[#This Row],[DATE]],"yyyy")</f>
        <v>2022</v>
      </c>
      <c r="D1254" s="8">
        <v>0.61249999999999993</v>
      </c>
      <c r="E1254" s="8">
        <v>0.64027777777777783</v>
      </c>
      <c r="F1254" s="3">
        <f t="shared" si="102"/>
        <v>2.7777777777777901E-2</v>
      </c>
      <c r="G1254" t="s">
        <v>16</v>
      </c>
      <c r="H1254" t="s">
        <v>1</v>
      </c>
    </row>
    <row r="1255" spans="1:8" x14ac:dyDescent="0.3">
      <c r="A1255" s="2">
        <v>44886</v>
      </c>
      <c r="B1255" s="2" t="str">
        <f>TEXT(AutoPomodoro[[#This Row],[DATE]],"mmmm")</f>
        <v>November</v>
      </c>
      <c r="C1255" s="2" t="str">
        <f>TEXT(AutoPomodoro[[#This Row],[DATE]],"yyyy")</f>
        <v>2022</v>
      </c>
      <c r="D1255" s="8">
        <v>0.91319444444444453</v>
      </c>
      <c r="E1255" s="8">
        <f>D1255+$T$15</f>
        <v>0.93055555555555569</v>
      </c>
      <c r="F1255" s="3">
        <f t="shared" si="102"/>
        <v>1.736111111111116E-2</v>
      </c>
      <c r="G1255" t="s">
        <v>16</v>
      </c>
      <c r="H1255" t="s">
        <v>1</v>
      </c>
    </row>
    <row r="1256" spans="1:8" x14ac:dyDescent="0.3">
      <c r="A1256" s="2">
        <v>44889</v>
      </c>
      <c r="B1256" s="2" t="str">
        <f>TEXT(AutoPomodoro[[#This Row],[DATE]],"mmmm")</f>
        <v>November</v>
      </c>
      <c r="C1256" s="2" t="str">
        <f>TEXT(AutoPomodoro[[#This Row],[DATE]],"yyyy")</f>
        <v>2022</v>
      </c>
      <c r="D1256" s="8">
        <v>0.4458333333333333</v>
      </c>
      <c r="E1256" s="8">
        <v>0.52986111111111112</v>
      </c>
      <c r="F1256" s="3">
        <f t="shared" si="102"/>
        <v>8.4027777777777812E-2</v>
      </c>
      <c r="G1256" t="s">
        <v>16</v>
      </c>
      <c r="H1256" t="s">
        <v>1</v>
      </c>
    </row>
    <row r="1257" spans="1:8" x14ac:dyDescent="0.3">
      <c r="A1257" s="2">
        <v>44889</v>
      </c>
      <c r="B1257" s="2" t="str">
        <f>TEXT(AutoPomodoro[[#This Row],[DATE]],"mmmm")</f>
        <v>November</v>
      </c>
      <c r="C1257" s="2" t="str">
        <f>TEXT(AutoPomodoro[[#This Row],[DATE]],"yyyy")</f>
        <v>2022</v>
      </c>
      <c r="D1257" s="8">
        <v>0.57013888888888886</v>
      </c>
      <c r="E1257" s="8">
        <v>0.60069444444444442</v>
      </c>
      <c r="F1257" s="3">
        <f t="shared" si="102"/>
        <v>3.0555555555555558E-2</v>
      </c>
      <c r="G1257" t="s">
        <v>16</v>
      </c>
      <c r="H1257" t="s">
        <v>1</v>
      </c>
    </row>
    <row r="1258" spans="1:8" x14ac:dyDescent="0.3">
      <c r="A1258" s="2">
        <v>44895</v>
      </c>
      <c r="B1258" s="2" t="str">
        <f>TEXT(AutoPomodoro[[#This Row],[DATE]],"mmmm")</f>
        <v>November</v>
      </c>
      <c r="C1258" s="2" t="str">
        <f>TEXT(AutoPomodoro[[#This Row],[DATE]],"yyyy")</f>
        <v>2022</v>
      </c>
      <c r="D1258" s="8">
        <v>0.60069444444444442</v>
      </c>
      <c r="E1258" s="8">
        <v>0.61111111111111105</v>
      </c>
      <c r="F1258" s="3">
        <f t="shared" si="102"/>
        <v>1.041666666666663E-2</v>
      </c>
      <c r="G1258" t="s">
        <v>0</v>
      </c>
      <c r="H1258" t="s">
        <v>1</v>
      </c>
    </row>
    <row r="1259" spans="1:8" x14ac:dyDescent="0.3">
      <c r="A1259" s="2">
        <v>44895</v>
      </c>
      <c r="B1259" s="2" t="str">
        <f>TEXT(AutoPomodoro[[#This Row],[DATE]],"mmmm")</f>
        <v>November</v>
      </c>
      <c r="C1259" s="2" t="str">
        <f>TEXT(AutoPomodoro[[#This Row],[DATE]],"yyyy")</f>
        <v>2022</v>
      </c>
      <c r="D1259" s="8">
        <v>0.61319444444444449</v>
      </c>
      <c r="E1259" s="8">
        <f>D1259+$T$15</f>
        <v>0.63055555555555565</v>
      </c>
      <c r="F1259" s="3">
        <f t="shared" si="102"/>
        <v>1.736111111111116E-2</v>
      </c>
      <c r="G1259" t="s">
        <v>16</v>
      </c>
      <c r="H1259" t="s">
        <v>1</v>
      </c>
    </row>
    <row r="1260" spans="1:8" x14ac:dyDescent="0.3">
      <c r="A1260" s="2">
        <v>44897</v>
      </c>
      <c r="B1260" s="2" t="str">
        <f>TEXT(AutoPomodoro[[#This Row],[DATE]],"mmmm")</f>
        <v>December</v>
      </c>
      <c r="C1260" s="2" t="str">
        <f>TEXT(AutoPomodoro[[#This Row],[DATE]],"yyyy")</f>
        <v>2022</v>
      </c>
      <c r="D1260" s="8">
        <v>0.92499999999999993</v>
      </c>
      <c r="E1260" s="8">
        <f>D1260+$T$15</f>
        <v>0.94236111111111109</v>
      </c>
      <c r="F1260" s="3">
        <f t="shared" si="102"/>
        <v>1.736111111111116E-2</v>
      </c>
      <c r="G1260" t="s">
        <v>0</v>
      </c>
      <c r="H1260" t="s">
        <v>1</v>
      </c>
    </row>
    <row r="1261" spans="1:8" x14ac:dyDescent="0.3">
      <c r="A1261" s="2">
        <v>44897</v>
      </c>
      <c r="B1261" s="2" t="str">
        <f>TEXT(AutoPomodoro[[#This Row],[DATE]],"mmmm")</f>
        <v>December</v>
      </c>
      <c r="C1261" s="2" t="str">
        <f>TEXT(AutoPomodoro[[#This Row],[DATE]],"yyyy")</f>
        <v>2022</v>
      </c>
      <c r="D1261" s="8">
        <f>E1260+$T$16</f>
        <v>0.9458333333333333</v>
      </c>
      <c r="E1261" s="8">
        <f>D1261+$T$15</f>
        <v>0.96319444444444446</v>
      </c>
      <c r="F1261" s="3">
        <f t="shared" si="102"/>
        <v>1.736111111111116E-2</v>
      </c>
      <c r="G1261" t="s">
        <v>16</v>
      </c>
      <c r="H1261" t="s">
        <v>1</v>
      </c>
    </row>
    <row r="1262" spans="1:8" x14ac:dyDescent="0.3">
      <c r="A1262" s="2">
        <v>44897</v>
      </c>
      <c r="B1262" s="2" t="str">
        <f>TEXT(AutoPomodoro[[#This Row],[DATE]],"mmmm")</f>
        <v>December</v>
      </c>
      <c r="C1262" s="2" t="str">
        <f>TEXT(AutoPomodoro[[#This Row],[DATE]],"yyyy")</f>
        <v>2022</v>
      </c>
      <c r="D1262" s="8">
        <f>E1261+$T$16</f>
        <v>0.96666666666666667</v>
      </c>
      <c r="E1262" s="8">
        <f>D1262+$T$15</f>
        <v>0.98402777777777783</v>
      </c>
      <c r="F1262" s="3">
        <f t="shared" si="102"/>
        <v>1.736111111111116E-2</v>
      </c>
      <c r="G1262" t="s">
        <v>16</v>
      </c>
      <c r="H1262" t="s">
        <v>1</v>
      </c>
    </row>
    <row r="1263" spans="1:8" x14ac:dyDescent="0.3">
      <c r="A1263" s="2">
        <v>44897</v>
      </c>
      <c r="B1263" s="2" t="str">
        <f>TEXT(AutoPomodoro[[#This Row],[DATE]],"mmmm")</f>
        <v>December</v>
      </c>
      <c r="C1263" s="2" t="str">
        <f>TEXT(AutoPomodoro[[#This Row],[DATE]],"yyyy")</f>
        <v>2022</v>
      </c>
      <c r="D1263" s="8">
        <f>E1262+$T$17</f>
        <v>0.98888888888888893</v>
      </c>
      <c r="E1263" s="8">
        <v>1.0208333333333333</v>
      </c>
      <c r="F1263" s="3">
        <v>4.027777777777778E-2</v>
      </c>
      <c r="G1263" t="s">
        <v>16</v>
      </c>
      <c r="H1263" t="s">
        <v>1</v>
      </c>
    </row>
    <row r="1264" spans="1:8" x14ac:dyDescent="0.3">
      <c r="A1264" s="2">
        <v>44898</v>
      </c>
      <c r="B1264" s="2" t="str">
        <f>TEXT(AutoPomodoro[[#This Row],[DATE]],"mmmm")</f>
        <v>December</v>
      </c>
      <c r="C1264" s="2" t="str">
        <f>TEXT(AutoPomodoro[[#This Row],[DATE]],"yyyy")</f>
        <v>2022</v>
      </c>
      <c r="D1264" s="8">
        <v>0.63888888888888895</v>
      </c>
      <c r="E1264" s="8">
        <f>D1264+$T$15</f>
        <v>0.65625000000000011</v>
      </c>
      <c r="F1264" s="3">
        <f t="shared" ref="F1264:F1272" si="103">E1264-D1264</f>
        <v>1.736111111111116E-2</v>
      </c>
      <c r="G1264" t="s">
        <v>17</v>
      </c>
      <c r="H1264" t="s">
        <v>1</v>
      </c>
    </row>
    <row r="1265" spans="1:8" x14ac:dyDescent="0.3">
      <c r="A1265" s="2">
        <v>44898</v>
      </c>
      <c r="B1265" s="2" t="str">
        <f>TEXT(AutoPomodoro[[#This Row],[DATE]],"mmmm")</f>
        <v>December</v>
      </c>
      <c r="C1265" s="2" t="str">
        <f>TEXT(AutoPomodoro[[#This Row],[DATE]],"yyyy")</f>
        <v>2022</v>
      </c>
      <c r="D1265" s="8">
        <f>E1264+$T$16</f>
        <v>0.65972222222222232</v>
      </c>
      <c r="E1265" s="8">
        <f>D1265+$T$15</f>
        <v>0.67708333333333348</v>
      </c>
      <c r="F1265" s="3">
        <f t="shared" si="103"/>
        <v>1.736111111111116E-2</v>
      </c>
      <c r="G1265" t="s">
        <v>16</v>
      </c>
      <c r="H1265" t="s">
        <v>1</v>
      </c>
    </row>
    <row r="1266" spans="1:8" x14ac:dyDescent="0.3">
      <c r="A1266" s="2">
        <v>44898</v>
      </c>
      <c r="B1266" s="2" t="str">
        <f>TEXT(AutoPomodoro[[#This Row],[DATE]],"mmmm")</f>
        <v>December</v>
      </c>
      <c r="C1266" s="2" t="str">
        <f>TEXT(AutoPomodoro[[#This Row],[DATE]],"yyyy")</f>
        <v>2022</v>
      </c>
      <c r="D1266" s="8">
        <f>E1265+$T$16</f>
        <v>0.68055555555555569</v>
      </c>
      <c r="E1266" s="8">
        <f>D1266+$T$15</f>
        <v>0.69791666666666685</v>
      </c>
      <c r="F1266" s="3">
        <f t="shared" si="103"/>
        <v>1.736111111111116E-2</v>
      </c>
      <c r="G1266" t="s">
        <v>16</v>
      </c>
      <c r="H1266" t="s">
        <v>1</v>
      </c>
    </row>
    <row r="1267" spans="1:8" x14ac:dyDescent="0.3">
      <c r="A1267" s="2">
        <v>44898</v>
      </c>
      <c r="B1267" s="2" t="str">
        <f>TEXT(AutoPomodoro[[#This Row],[DATE]],"mmmm")</f>
        <v>December</v>
      </c>
      <c r="C1267" s="2" t="str">
        <f>TEXT(AutoPomodoro[[#This Row],[DATE]],"yyyy")</f>
        <v>2022</v>
      </c>
      <c r="D1267" s="8">
        <f>E1266+$T$17</f>
        <v>0.70277777777777795</v>
      </c>
      <c r="E1267" s="8">
        <f>D1267+$T$15</f>
        <v>0.72013888888888911</v>
      </c>
      <c r="F1267" s="3">
        <f t="shared" si="103"/>
        <v>1.736111111111116E-2</v>
      </c>
      <c r="G1267" t="s">
        <v>16</v>
      </c>
      <c r="H1267" t="s">
        <v>1</v>
      </c>
    </row>
    <row r="1268" spans="1:8" x14ac:dyDescent="0.3">
      <c r="A1268" s="2">
        <v>44900</v>
      </c>
      <c r="B1268" s="2" t="str">
        <f>TEXT(AutoPomodoro[[#This Row],[DATE]],"mmmm")</f>
        <v>December</v>
      </c>
      <c r="C1268" s="2" t="str">
        <f>TEXT(AutoPomodoro[[#This Row],[DATE]],"yyyy")</f>
        <v>2022</v>
      </c>
      <c r="D1268" s="8">
        <v>0.57986111111111105</v>
      </c>
      <c r="E1268" s="8">
        <v>0.59027777777777779</v>
      </c>
      <c r="F1268" s="3">
        <f t="shared" si="103"/>
        <v>1.0416666666666741E-2</v>
      </c>
      <c r="G1268" t="s">
        <v>0</v>
      </c>
      <c r="H1268" t="s">
        <v>1</v>
      </c>
    </row>
    <row r="1269" spans="1:8" x14ac:dyDescent="0.3">
      <c r="A1269" s="2">
        <v>44900</v>
      </c>
      <c r="B1269" s="2" t="str">
        <f>TEXT(AutoPomodoro[[#This Row],[DATE]],"mmmm")</f>
        <v>December</v>
      </c>
      <c r="C1269" s="2" t="str">
        <f>TEXT(AutoPomodoro[[#This Row],[DATE]],"yyyy")</f>
        <v>2022</v>
      </c>
      <c r="D1269" s="8">
        <v>0.59236111111111112</v>
      </c>
      <c r="E1269" s="8">
        <f>D1269+$T$15</f>
        <v>0.60972222222222228</v>
      </c>
      <c r="F1269" s="3">
        <f t="shared" si="103"/>
        <v>1.736111111111116E-2</v>
      </c>
      <c r="G1269" t="s">
        <v>17</v>
      </c>
      <c r="H1269" t="s">
        <v>1</v>
      </c>
    </row>
    <row r="1270" spans="1:8" x14ac:dyDescent="0.3">
      <c r="A1270" s="2">
        <v>44900</v>
      </c>
      <c r="B1270" s="2" t="str">
        <f>TEXT(AutoPomodoro[[#This Row],[DATE]],"mmmm")</f>
        <v>December</v>
      </c>
      <c r="C1270" s="2" t="str">
        <f>TEXT(AutoPomodoro[[#This Row],[DATE]],"yyyy")</f>
        <v>2022</v>
      </c>
      <c r="D1270" s="8">
        <f>E1269+$T$16</f>
        <v>0.61319444444444449</v>
      </c>
      <c r="E1270" s="8">
        <f>D1270+$T$15</f>
        <v>0.63055555555555565</v>
      </c>
      <c r="F1270" s="3">
        <f t="shared" si="103"/>
        <v>1.736111111111116E-2</v>
      </c>
      <c r="G1270" t="s">
        <v>17</v>
      </c>
      <c r="H1270" t="s">
        <v>1</v>
      </c>
    </row>
    <row r="1271" spans="1:8" x14ac:dyDescent="0.3">
      <c r="A1271" s="2">
        <v>44900</v>
      </c>
      <c r="B1271" s="2" t="str">
        <f>TEXT(AutoPomodoro[[#This Row],[DATE]],"mmmm")</f>
        <v>December</v>
      </c>
      <c r="C1271" s="2" t="str">
        <f>TEXT(AutoPomodoro[[#This Row],[DATE]],"yyyy")</f>
        <v>2022</v>
      </c>
      <c r="D1271" s="8">
        <f>E1270+$T$16</f>
        <v>0.63402777777777786</v>
      </c>
      <c r="E1271" s="8">
        <f>D1271+$T$15</f>
        <v>0.65138888888888902</v>
      </c>
      <c r="F1271" s="3">
        <f t="shared" si="103"/>
        <v>1.736111111111116E-2</v>
      </c>
      <c r="G1271" t="s">
        <v>16</v>
      </c>
      <c r="H1271" t="s">
        <v>1</v>
      </c>
    </row>
    <row r="1272" spans="1:8" x14ac:dyDescent="0.3">
      <c r="A1272" s="2">
        <v>44900</v>
      </c>
      <c r="B1272" s="2" t="str">
        <f>TEXT(AutoPomodoro[[#This Row],[DATE]],"mmmm")</f>
        <v>December</v>
      </c>
      <c r="C1272" s="2" t="str">
        <f>TEXT(AutoPomodoro[[#This Row],[DATE]],"yyyy")</f>
        <v>2022</v>
      </c>
      <c r="D1272" s="8">
        <f>E1271+$T$17</f>
        <v>0.65625000000000011</v>
      </c>
      <c r="E1272" s="8">
        <f>D1272+$T$15</f>
        <v>0.67361111111111127</v>
      </c>
      <c r="F1272" s="3">
        <f t="shared" si="103"/>
        <v>1.736111111111116E-2</v>
      </c>
      <c r="G1272" t="s">
        <v>16</v>
      </c>
      <c r="H1272" t="s">
        <v>1</v>
      </c>
    </row>
    <row r="1273" spans="1:8" x14ac:dyDescent="0.3">
      <c r="A1273" s="2">
        <v>44900</v>
      </c>
      <c r="B1273" s="2" t="str">
        <f>TEXT(AutoPomodoro[[#This Row],[DATE]],"mmmm")</f>
        <v>December</v>
      </c>
      <c r="C1273" s="2" t="str">
        <f>TEXT(AutoPomodoro[[#This Row],[DATE]],"yyyy")</f>
        <v>2022</v>
      </c>
      <c r="D1273" s="8">
        <v>0.67361111111111127</v>
      </c>
      <c r="E1273" s="8">
        <f>D1273+M</f>
        <v>0.6840277777777779</v>
      </c>
      <c r="F1273" s="3">
        <v>1.0416666666666666E-2</v>
      </c>
      <c r="G1273" t="s">
        <v>21</v>
      </c>
      <c r="H1273" t="s">
        <v>1</v>
      </c>
    </row>
    <row r="1274" spans="1:8" x14ac:dyDescent="0.3">
      <c r="A1274" s="2">
        <v>44900</v>
      </c>
      <c r="B1274" s="2" t="str">
        <f>TEXT(AutoPomodoro[[#This Row],[DATE]],"mmmm")</f>
        <v>December</v>
      </c>
      <c r="C1274" s="2" t="str">
        <f>TEXT(AutoPomodoro[[#This Row],[DATE]],"yyyy")</f>
        <v>2022</v>
      </c>
      <c r="D1274" s="8">
        <v>0.69097222222222221</v>
      </c>
      <c r="E1274" s="8">
        <v>0.72013888888888899</v>
      </c>
      <c r="F1274" s="3">
        <f t="shared" ref="F1274:F1286" si="104">E1274-D1274</f>
        <v>2.9166666666666785E-2</v>
      </c>
      <c r="G1274" t="s">
        <v>16</v>
      </c>
      <c r="H1274" t="s">
        <v>1</v>
      </c>
    </row>
    <row r="1275" spans="1:8" x14ac:dyDescent="0.3">
      <c r="A1275" s="2">
        <v>44904</v>
      </c>
      <c r="B1275" s="2" t="str">
        <f>TEXT(AutoPomodoro[[#This Row],[DATE]],"mmmm")</f>
        <v>December</v>
      </c>
      <c r="C1275" s="2" t="str">
        <f>TEXT(AutoPomodoro[[#This Row],[DATE]],"yyyy")</f>
        <v>2022</v>
      </c>
      <c r="D1275" s="8">
        <v>0.72569444444444453</v>
      </c>
      <c r="E1275" s="8">
        <v>0.77986111111111101</v>
      </c>
      <c r="F1275" s="3">
        <f t="shared" si="104"/>
        <v>5.4166666666666474E-2</v>
      </c>
      <c r="G1275" t="s">
        <v>16</v>
      </c>
      <c r="H1275" t="s">
        <v>1</v>
      </c>
    </row>
    <row r="1276" spans="1:8" x14ac:dyDescent="0.3">
      <c r="A1276" s="2">
        <v>44904</v>
      </c>
      <c r="B1276" s="2" t="str">
        <f>TEXT(AutoPomodoro[[#This Row],[DATE]],"mmmm")</f>
        <v>December</v>
      </c>
      <c r="C1276" s="2" t="str">
        <f>TEXT(AutoPomodoro[[#This Row],[DATE]],"yyyy")</f>
        <v>2022</v>
      </c>
      <c r="D1276" s="8">
        <v>0.90972222222222221</v>
      </c>
      <c r="E1276" s="8">
        <f>D1276+$T$15</f>
        <v>0.92708333333333337</v>
      </c>
      <c r="F1276" s="3">
        <f t="shared" si="104"/>
        <v>1.736111111111116E-2</v>
      </c>
      <c r="G1276" t="s">
        <v>16</v>
      </c>
      <c r="H1276" t="s">
        <v>1</v>
      </c>
    </row>
    <row r="1277" spans="1:8" x14ac:dyDescent="0.3">
      <c r="A1277" s="2">
        <v>44904</v>
      </c>
      <c r="B1277" s="2" t="str">
        <f>TEXT(AutoPomodoro[[#This Row],[DATE]],"mmmm")</f>
        <v>December</v>
      </c>
      <c r="C1277" s="2" t="str">
        <f>TEXT(AutoPomodoro[[#This Row],[DATE]],"yyyy")</f>
        <v>2022</v>
      </c>
      <c r="D1277" s="8">
        <f>E1276+$T$16</f>
        <v>0.93055555555555558</v>
      </c>
      <c r="E1277" s="8">
        <v>0.95833333333333337</v>
      </c>
      <c r="F1277" s="3">
        <f t="shared" si="104"/>
        <v>2.777777777777779E-2</v>
      </c>
      <c r="G1277" t="s">
        <v>16</v>
      </c>
      <c r="H1277" t="s">
        <v>1</v>
      </c>
    </row>
    <row r="1278" spans="1:8" x14ac:dyDescent="0.3">
      <c r="A1278" s="2">
        <v>44905</v>
      </c>
      <c r="B1278" s="2" t="str">
        <f>TEXT(AutoPomodoro[[#This Row],[DATE]],"mmmm")</f>
        <v>December</v>
      </c>
      <c r="C1278" s="2" t="str">
        <f>TEXT(AutoPomodoro[[#This Row],[DATE]],"yyyy")</f>
        <v>2022</v>
      </c>
      <c r="D1278" s="8">
        <v>4.6527777777777779E-2</v>
      </c>
      <c r="E1278" s="8">
        <v>6.25E-2</v>
      </c>
      <c r="F1278" s="3">
        <f t="shared" si="104"/>
        <v>1.5972222222222221E-2</v>
      </c>
      <c r="G1278" t="s">
        <v>16</v>
      </c>
      <c r="H1278" t="s">
        <v>1</v>
      </c>
    </row>
    <row r="1279" spans="1:8" x14ac:dyDescent="0.3">
      <c r="A1279" s="2">
        <v>44905</v>
      </c>
      <c r="B1279" s="2" t="str">
        <f>TEXT(AutoPomodoro[[#This Row],[DATE]],"mmmm")</f>
        <v>December</v>
      </c>
      <c r="C1279" s="2" t="str">
        <f>TEXT(AutoPomodoro[[#This Row],[DATE]],"yyyy")</f>
        <v>2022</v>
      </c>
      <c r="D1279" s="8">
        <v>0.14166666666666666</v>
      </c>
      <c r="E1279" s="8">
        <v>0.17916666666666667</v>
      </c>
      <c r="F1279" s="3">
        <f t="shared" si="104"/>
        <v>3.7500000000000006E-2</v>
      </c>
      <c r="G1279" t="s">
        <v>16</v>
      </c>
      <c r="H1279" t="s">
        <v>1</v>
      </c>
    </row>
    <row r="1280" spans="1:8" x14ac:dyDescent="0.3">
      <c r="A1280" s="2">
        <v>44905</v>
      </c>
      <c r="B1280" s="2" t="str">
        <f>TEXT(AutoPomodoro[[#This Row],[DATE]],"mmmm")</f>
        <v>December</v>
      </c>
      <c r="C1280" s="2" t="str">
        <f>TEXT(AutoPomodoro[[#This Row],[DATE]],"yyyy")</f>
        <v>2022</v>
      </c>
      <c r="D1280" s="8">
        <v>0.61736111111111114</v>
      </c>
      <c r="E1280" s="8">
        <v>0.64930555555555558</v>
      </c>
      <c r="F1280" s="3">
        <f t="shared" si="104"/>
        <v>3.1944444444444442E-2</v>
      </c>
      <c r="G1280" t="s">
        <v>16</v>
      </c>
      <c r="H1280" t="s">
        <v>1</v>
      </c>
    </row>
    <row r="1281" spans="1:8" x14ac:dyDescent="0.3">
      <c r="A1281" s="2">
        <v>44908</v>
      </c>
      <c r="B1281" s="2" t="str">
        <f>TEXT(AutoPomodoro[[#This Row],[DATE]],"mmmm")</f>
        <v>December</v>
      </c>
      <c r="C1281" s="2" t="str">
        <f>TEXT(AutoPomodoro[[#This Row],[DATE]],"yyyy")</f>
        <v>2022</v>
      </c>
      <c r="D1281" s="8">
        <v>0.79166666666666663</v>
      </c>
      <c r="E1281" s="8">
        <f>D1281+$T$15</f>
        <v>0.80902777777777779</v>
      </c>
      <c r="F1281" s="3">
        <f t="shared" si="104"/>
        <v>1.736111111111116E-2</v>
      </c>
      <c r="G1281" t="s">
        <v>16</v>
      </c>
      <c r="H1281" t="s">
        <v>1</v>
      </c>
    </row>
    <row r="1282" spans="1:8" x14ac:dyDescent="0.3">
      <c r="A1282" s="2">
        <v>44908</v>
      </c>
      <c r="B1282" s="2" t="str">
        <f>TEXT(AutoPomodoro[[#This Row],[DATE]],"mmmm")</f>
        <v>December</v>
      </c>
      <c r="C1282" s="2" t="str">
        <f>TEXT(AutoPomodoro[[#This Row],[DATE]],"yyyy")</f>
        <v>2022</v>
      </c>
      <c r="D1282" s="8">
        <f>E1281+$T$16</f>
        <v>0.8125</v>
      </c>
      <c r="E1282" s="8">
        <f>D1282+$T$15</f>
        <v>0.82986111111111116</v>
      </c>
      <c r="F1282" s="3">
        <f t="shared" si="104"/>
        <v>1.736111111111116E-2</v>
      </c>
      <c r="G1282" t="s">
        <v>16</v>
      </c>
      <c r="H1282" t="s">
        <v>1</v>
      </c>
    </row>
    <row r="1283" spans="1:8" x14ac:dyDescent="0.3">
      <c r="A1283" s="2">
        <v>44908</v>
      </c>
      <c r="B1283" s="2" t="str">
        <f>TEXT(AutoPomodoro[[#This Row],[DATE]],"mmmm")</f>
        <v>December</v>
      </c>
      <c r="C1283" s="2" t="str">
        <f>TEXT(AutoPomodoro[[#This Row],[DATE]],"yyyy")</f>
        <v>2022</v>
      </c>
      <c r="D1283" s="8">
        <f>E1282+$T$16</f>
        <v>0.83333333333333337</v>
      </c>
      <c r="E1283" s="8">
        <f>D1283+$T$15</f>
        <v>0.85069444444444453</v>
      </c>
      <c r="F1283" s="3">
        <f t="shared" si="104"/>
        <v>1.736111111111116E-2</v>
      </c>
      <c r="G1283" t="s">
        <v>16</v>
      </c>
      <c r="H1283" t="s">
        <v>1</v>
      </c>
    </row>
    <row r="1284" spans="1:8" x14ac:dyDescent="0.3">
      <c r="A1284" s="2">
        <v>44908</v>
      </c>
      <c r="B1284" s="2" t="str">
        <f>TEXT(AutoPomodoro[[#This Row],[DATE]],"mmmm")</f>
        <v>December</v>
      </c>
      <c r="C1284" s="2" t="str">
        <f>TEXT(AutoPomodoro[[#This Row],[DATE]],"yyyy")</f>
        <v>2022</v>
      </c>
      <c r="D1284" s="8">
        <f>E1283+$T$17</f>
        <v>0.85555555555555562</v>
      </c>
      <c r="E1284" s="8">
        <v>0.86736111111111114</v>
      </c>
      <c r="F1284" s="3">
        <f t="shared" si="104"/>
        <v>1.1805555555555514E-2</v>
      </c>
      <c r="G1284" t="s">
        <v>16</v>
      </c>
      <c r="H1284" t="s">
        <v>1</v>
      </c>
    </row>
    <row r="1285" spans="1:8" x14ac:dyDescent="0.3">
      <c r="A1285" s="2">
        <v>44909</v>
      </c>
      <c r="B1285" s="2" t="str">
        <f>TEXT(AutoPomodoro[[#This Row],[DATE]],"mmmm")</f>
        <v>December</v>
      </c>
      <c r="C1285" s="2" t="str">
        <f>TEXT(AutoPomodoro[[#This Row],[DATE]],"yyyy")</f>
        <v>2022</v>
      </c>
      <c r="D1285" s="8">
        <v>0.97222222222222221</v>
      </c>
      <c r="E1285" s="8">
        <f>D1285+$T$15</f>
        <v>0.98958333333333337</v>
      </c>
      <c r="F1285" s="3">
        <f t="shared" si="104"/>
        <v>1.736111111111116E-2</v>
      </c>
      <c r="G1285" t="s">
        <v>16</v>
      </c>
      <c r="H1285" t="s">
        <v>1</v>
      </c>
    </row>
    <row r="1286" spans="1:8" x14ac:dyDescent="0.3">
      <c r="A1286" s="2">
        <v>44909</v>
      </c>
      <c r="B1286" s="2" t="str">
        <f>TEXT(AutoPomodoro[[#This Row],[DATE]],"mmmm")</f>
        <v>December</v>
      </c>
      <c r="C1286" s="2" t="str">
        <f>TEXT(AutoPomodoro[[#This Row],[DATE]],"yyyy")</f>
        <v>2022</v>
      </c>
      <c r="D1286" s="8">
        <f>E1285+$T$16</f>
        <v>0.99305555555555558</v>
      </c>
      <c r="E1286" s="8">
        <f>D1286+$T$15</f>
        <v>1.0104166666666667</v>
      </c>
      <c r="F1286" s="3">
        <f t="shared" si="104"/>
        <v>1.736111111111116E-2</v>
      </c>
      <c r="G1286" t="s">
        <v>16</v>
      </c>
      <c r="H1286" t="s">
        <v>1</v>
      </c>
    </row>
    <row r="1287" spans="1:8" x14ac:dyDescent="0.3">
      <c r="A1287" s="2">
        <v>44909</v>
      </c>
      <c r="B1287" s="2" t="str">
        <f>TEXT(AutoPomodoro[[#This Row],[DATE]],"mmmm")</f>
        <v>December</v>
      </c>
      <c r="C1287" s="2" t="str">
        <f>TEXT(AutoPomodoro[[#This Row],[DATE]],"yyyy")</f>
        <v>2022</v>
      </c>
      <c r="D1287" s="8">
        <f>E1286+$T$16</f>
        <v>1.0138888888888891</v>
      </c>
      <c r="E1287" s="8">
        <f>D1287+$T$15</f>
        <v>1.0312500000000002</v>
      </c>
      <c r="F1287" s="3">
        <v>2.0833333333333332E-2</v>
      </c>
      <c r="G1287" t="s">
        <v>16</v>
      </c>
      <c r="H1287" t="s">
        <v>1</v>
      </c>
    </row>
    <row r="1288" spans="1:8" x14ac:dyDescent="0.3">
      <c r="A1288" s="2">
        <v>44910</v>
      </c>
      <c r="B1288" s="2" t="str">
        <f>TEXT(AutoPomodoro[[#This Row],[DATE]],"mmmm")</f>
        <v>December</v>
      </c>
      <c r="C1288" s="2" t="str">
        <f>TEXT(AutoPomodoro[[#This Row],[DATE]],"yyyy")</f>
        <v>2022</v>
      </c>
      <c r="D1288" s="8">
        <v>0.4909722222222222</v>
      </c>
      <c r="E1288" s="8">
        <v>0.52430555555555558</v>
      </c>
      <c r="F1288" s="3">
        <f t="shared" ref="F1288:F1293" si="105">E1288-D1288</f>
        <v>3.3333333333333381E-2</v>
      </c>
      <c r="G1288" t="s">
        <v>16</v>
      </c>
      <c r="H1288" t="s">
        <v>1</v>
      </c>
    </row>
    <row r="1289" spans="1:8" x14ac:dyDescent="0.3">
      <c r="A1289" s="2">
        <v>44910</v>
      </c>
      <c r="B1289" s="2" t="str">
        <f>TEXT(AutoPomodoro[[#This Row],[DATE]],"mmmm")</f>
        <v>December</v>
      </c>
      <c r="C1289" s="2" t="str">
        <f>TEXT(AutoPomodoro[[#This Row],[DATE]],"yyyy")</f>
        <v>2022</v>
      </c>
      <c r="D1289" s="8">
        <v>0.5493055555555556</v>
      </c>
      <c r="E1289" s="8">
        <v>0.57222222222222219</v>
      </c>
      <c r="F1289" s="3">
        <f t="shared" si="105"/>
        <v>2.2916666666666585E-2</v>
      </c>
      <c r="G1289" t="s">
        <v>16</v>
      </c>
      <c r="H1289" t="s">
        <v>1</v>
      </c>
    </row>
    <row r="1290" spans="1:8" x14ac:dyDescent="0.3">
      <c r="A1290" s="2">
        <v>44911</v>
      </c>
      <c r="B1290" s="2" t="str">
        <f>TEXT(AutoPomodoro[[#This Row],[DATE]],"mmmm")</f>
        <v>December</v>
      </c>
      <c r="C1290" s="2" t="str">
        <f>TEXT(AutoPomodoro[[#This Row],[DATE]],"yyyy")</f>
        <v>2022</v>
      </c>
      <c r="D1290" s="8">
        <v>0.95138888888888884</v>
      </c>
      <c r="E1290" s="8">
        <v>0.97569444444444453</v>
      </c>
      <c r="F1290" s="3">
        <f t="shared" si="105"/>
        <v>2.4305555555555691E-2</v>
      </c>
      <c r="G1290" t="s">
        <v>16</v>
      </c>
      <c r="H1290" t="s">
        <v>1</v>
      </c>
    </row>
    <row r="1291" spans="1:8" x14ac:dyDescent="0.3">
      <c r="A1291" s="2">
        <v>44912</v>
      </c>
      <c r="B1291" s="2" t="str">
        <f>TEXT(AutoPomodoro[[#This Row],[DATE]],"mmmm")</f>
        <v>December</v>
      </c>
      <c r="C1291" s="2" t="str">
        <f>TEXT(AutoPomodoro[[#This Row],[DATE]],"yyyy")</f>
        <v>2022</v>
      </c>
      <c r="D1291" s="8">
        <v>0.66388888888888886</v>
      </c>
      <c r="E1291" s="8">
        <v>0.75416666666666676</v>
      </c>
      <c r="F1291" s="3">
        <f t="shared" si="105"/>
        <v>9.0277777777777901E-2</v>
      </c>
      <c r="G1291" t="s">
        <v>16</v>
      </c>
      <c r="H1291" t="s">
        <v>1</v>
      </c>
    </row>
    <row r="1292" spans="1:8" x14ac:dyDescent="0.3">
      <c r="A1292" s="2">
        <v>44912</v>
      </c>
      <c r="B1292" s="2" t="str">
        <f>TEXT(AutoPomodoro[[#This Row],[DATE]],"mmmm")</f>
        <v>December</v>
      </c>
      <c r="C1292" s="2" t="str">
        <f>TEXT(AutoPomodoro[[#This Row],[DATE]],"yyyy")</f>
        <v>2022</v>
      </c>
      <c r="D1292" s="8">
        <v>0.77847222222222223</v>
      </c>
      <c r="E1292" s="8">
        <v>0.80833333333333324</v>
      </c>
      <c r="F1292" s="3">
        <f t="shared" si="105"/>
        <v>2.9861111111111005E-2</v>
      </c>
      <c r="G1292" t="s">
        <v>16</v>
      </c>
      <c r="H1292" t="s">
        <v>1</v>
      </c>
    </row>
    <row r="1293" spans="1:8" x14ac:dyDescent="0.3">
      <c r="A1293" s="2">
        <v>44912</v>
      </c>
      <c r="B1293" s="2" t="str">
        <f>TEXT(AutoPomodoro[[#This Row],[DATE]],"mmmm")</f>
        <v>December</v>
      </c>
      <c r="C1293" s="2" t="str">
        <f>TEXT(AutoPomodoro[[#This Row],[DATE]],"yyyy")</f>
        <v>2022</v>
      </c>
      <c r="D1293" s="8">
        <v>0.97916666666666663</v>
      </c>
      <c r="E1293" s="8">
        <v>1.0347222222222221</v>
      </c>
      <c r="F1293" s="3">
        <f t="shared" si="105"/>
        <v>5.5555555555555469E-2</v>
      </c>
      <c r="G1293" t="s">
        <v>16</v>
      </c>
      <c r="H1293" t="s">
        <v>1</v>
      </c>
    </row>
    <row r="1294" spans="1:8" x14ac:dyDescent="0.3">
      <c r="A1294" s="2">
        <v>44914</v>
      </c>
      <c r="B1294" s="2" t="str">
        <f>TEXT(AutoPomodoro[[#This Row],[DATE]],"mmmm")</f>
        <v>December</v>
      </c>
      <c r="C1294" s="2" t="str">
        <f>TEXT(AutoPomodoro[[#This Row],[DATE]],"yyyy")</f>
        <v>2022</v>
      </c>
      <c r="D1294" s="8">
        <v>0.94791666666666663</v>
      </c>
      <c r="E1294" s="8">
        <v>1.0006944444444443</v>
      </c>
      <c r="F1294" s="3">
        <v>0.1361111111111111</v>
      </c>
      <c r="G1294" t="s">
        <v>16</v>
      </c>
      <c r="H1294" t="s">
        <v>1</v>
      </c>
    </row>
    <row r="1295" spans="1:8" x14ac:dyDescent="0.3">
      <c r="A1295" s="2">
        <v>44917</v>
      </c>
      <c r="B1295" s="2" t="str">
        <f>TEXT(AutoPomodoro[[#This Row],[DATE]],"mmmm")</f>
        <v>December</v>
      </c>
      <c r="C1295" s="2" t="str">
        <f>TEXT(AutoPomodoro[[#This Row],[DATE]],"yyyy")</f>
        <v>2022</v>
      </c>
      <c r="D1295" s="8">
        <v>0.93263888888888891</v>
      </c>
      <c r="E1295" s="8">
        <v>0.9819444444444444</v>
      </c>
      <c r="F1295" s="3">
        <f t="shared" ref="F1295:F1308" si="106">E1295-D1295</f>
        <v>4.9305555555555491E-2</v>
      </c>
      <c r="G1295" t="s">
        <v>16</v>
      </c>
      <c r="H1295" t="s">
        <v>1</v>
      </c>
    </row>
    <row r="1296" spans="1:8" x14ac:dyDescent="0.3">
      <c r="A1296" s="2">
        <v>44917</v>
      </c>
      <c r="B1296" s="2" t="str">
        <f>TEXT(AutoPomodoro[[#This Row],[DATE]],"mmmm")</f>
        <v>December</v>
      </c>
      <c r="C1296" s="2" t="str">
        <f>TEXT(AutoPomodoro[[#This Row],[DATE]],"yyyy")</f>
        <v>2022</v>
      </c>
      <c r="D1296" s="8">
        <v>0.98819444444444438</v>
      </c>
      <c r="E1296" s="8">
        <v>1.0118055555555556</v>
      </c>
      <c r="F1296" s="3">
        <f t="shared" si="106"/>
        <v>2.3611111111111249E-2</v>
      </c>
      <c r="G1296" t="s">
        <v>16</v>
      </c>
      <c r="H1296" t="s">
        <v>1</v>
      </c>
    </row>
    <row r="1297" spans="1:8" x14ac:dyDescent="0.3">
      <c r="A1297" s="2">
        <v>44918</v>
      </c>
      <c r="B1297" s="2" t="str">
        <f>TEXT(AutoPomodoro[[#This Row],[DATE]],"mmmm")</f>
        <v>December</v>
      </c>
      <c r="C1297" s="2" t="str">
        <f>TEXT(AutoPomodoro[[#This Row],[DATE]],"yyyy")</f>
        <v>2022</v>
      </c>
      <c r="D1297" s="8">
        <v>0.62847222222222221</v>
      </c>
      <c r="E1297" s="8">
        <f>D1297+$T$15</f>
        <v>0.64583333333333337</v>
      </c>
      <c r="F1297" s="3">
        <f t="shared" si="106"/>
        <v>1.736111111111116E-2</v>
      </c>
      <c r="G1297" t="s">
        <v>16</v>
      </c>
      <c r="H1297" t="s">
        <v>1</v>
      </c>
    </row>
    <row r="1298" spans="1:8" x14ac:dyDescent="0.3">
      <c r="A1298" s="2">
        <v>44918</v>
      </c>
      <c r="B1298" s="2" t="str">
        <f>TEXT(AutoPomodoro[[#This Row],[DATE]],"mmmm")</f>
        <v>December</v>
      </c>
      <c r="C1298" s="2" t="str">
        <f>TEXT(AutoPomodoro[[#This Row],[DATE]],"yyyy")</f>
        <v>2022</v>
      </c>
      <c r="D1298" s="8">
        <f>E1297+$T$16</f>
        <v>0.64930555555555558</v>
      </c>
      <c r="E1298" s="8">
        <f>D1298+$T$15</f>
        <v>0.66666666666666674</v>
      </c>
      <c r="F1298" s="3">
        <f t="shared" si="106"/>
        <v>1.736111111111116E-2</v>
      </c>
      <c r="G1298" t="s">
        <v>16</v>
      </c>
      <c r="H1298" t="s">
        <v>1</v>
      </c>
    </row>
    <row r="1299" spans="1:8" x14ac:dyDescent="0.3">
      <c r="A1299" s="2">
        <v>44918</v>
      </c>
      <c r="B1299" s="2" t="str">
        <f>TEXT(AutoPomodoro[[#This Row],[DATE]],"mmmm")</f>
        <v>December</v>
      </c>
      <c r="C1299" s="2" t="str">
        <f>TEXT(AutoPomodoro[[#This Row],[DATE]],"yyyy")</f>
        <v>2022</v>
      </c>
      <c r="D1299" s="8">
        <f>E1298+$T$16</f>
        <v>0.67013888888888895</v>
      </c>
      <c r="E1299" s="8">
        <f>D1299+$T$15</f>
        <v>0.68750000000000011</v>
      </c>
      <c r="F1299" s="3">
        <f t="shared" si="106"/>
        <v>1.736111111111116E-2</v>
      </c>
      <c r="G1299" t="s">
        <v>16</v>
      </c>
      <c r="H1299" t="s">
        <v>1</v>
      </c>
    </row>
    <row r="1300" spans="1:8" x14ac:dyDescent="0.3">
      <c r="A1300" s="2">
        <v>44920</v>
      </c>
      <c r="B1300" s="2" t="str">
        <f>TEXT(AutoPomodoro[[#This Row],[DATE]],"mmmm")</f>
        <v>December</v>
      </c>
      <c r="C1300" s="2" t="str">
        <f>TEXT(AutoPomodoro[[#This Row],[DATE]],"yyyy")</f>
        <v>2022</v>
      </c>
      <c r="D1300" s="8">
        <v>0.875</v>
      </c>
      <c r="E1300" s="8">
        <v>0.99236111111111114</v>
      </c>
      <c r="F1300" s="3">
        <f t="shared" si="106"/>
        <v>0.11736111111111114</v>
      </c>
      <c r="G1300" t="s">
        <v>20</v>
      </c>
      <c r="H1300" t="s">
        <v>1</v>
      </c>
    </row>
    <row r="1301" spans="1:8" x14ac:dyDescent="0.3">
      <c r="A1301" s="2">
        <v>44921</v>
      </c>
      <c r="B1301" s="2" t="str">
        <f>TEXT(AutoPomodoro[[#This Row],[DATE]],"mmmm")</f>
        <v>December</v>
      </c>
      <c r="C1301" s="2" t="str">
        <f>TEXT(AutoPomodoro[[#This Row],[DATE]],"yyyy")</f>
        <v>2022</v>
      </c>
      <c r="D1301" s="8">
        <v>6.9444444444444447E-4</v>
      </c>
      <c r="E1301" s="8">
        <v>7.013888888888889E-2</v>
      </c>
      <c r="F1301" s="3">
        <f t="shared" si="106"/>
        <v>6.9444444444444448E-2</v>
      </c>
      <c r="G1301" t="s">
        <v>20</v>
      </c>
      <c r="H1301" t="s">
        <v>1</v>
      </c>
    </row>
    <row r="1302" spans="1:8" x14ac:dyDescent="0.3">
      <c r="A1302" s="2">
        <v>44921</v>
      </c>
      <c r="B1302" s="2" t="str">
        <f>TEXT(AutoPomodoro[[#This Row],[DATE]],"mmmm")</f>
        <v>December</v>
      </c>
      <c r="C1302" s="2" t="str">
        <f>TEXT(AutoPomodoro[[#This Row],[DATE]],"yyyy")</f>
        <v>2022</v>
      </c>
      <c r="D1302" s="8">
        <v>7.4305555555555555E-2</v>
      </c>
      <c r="E1302" s="8">
        <v>0.15972222222222224</v>
      </c>
      <c r="F1302" s="3">
        <f t="shared" si="106"/>
        <v>8.5416666666666682E-2</v>
      </c>
      <c r="G1302" t="s">
        <v>20</v>
      </c>
      <c r="H1302" t="s">
        <v>1</v>
      </c>
    </row>
    <row r="1303" spans="1:8" x14ac:dyDescent="0.3">
      <c r="A1303" s="2">
        <v>44921</v>
      </c>
      <c r="B1303" s="2" t="str">
        <f>TEXT(AutoPomodoro[[#This Row],[DATE]],"mmmm")</f>
        <v>December</v>
      </c>
      <c r="C1303" s="2" t="str">
        <f>TEXT(AutoPomodoro[[#This Row],[DATE]],"yyyy")</f>
        <v>2022</v>
      </c>
      <c r="D1303" s="8">
        <v>0.99305555555555547</v>
      </c>
      <c r="E1303" s="8">
        <v>1.0347222222222221</v>
      </c>
      <c r="F1303" s="3">
        <f t="shared" si="106"/>
        <v>4.166666666666663E-2</v>
      </c>
      <c r="G1303" t="s">
        <v>16</v>
      </c>
      <c r="H1303" t="s">
        <v>1</v>
      </c>
    </row>
    <row r="1304" spans="1:8" x14ac:dyDescent="0.3">
      <c r="A1304" s="2">
        <v>44922</v>
      </c>
      <c r="B1304" s="2" t="str">
        <f>TEXT(AutoPomodoro[[#This Row],[DATE]],"mmmm")</f>
        <v>December</v>
      </c>
      <c r="C1304" s="2" t="str">
        <f>TEXT(AutoPomodoro[[#This Row],[DATE]],"yyyy")</f>
        <v>2022</v>
      </c>
      <c r="D1304" s="8">
        <v>0.87013888888888891</v>
      </c>
      <c r="E1304" s="8">
        <v>0.96527777777777779</v>
      </c>
      <c r="F1304" s="3">
        <f t="shared" si="106"/>
        <v>9.5138888888888884E-2</v>
      </c>
      <c r="G1304" t="s">
        <v>20</v>
      </c>
      <c r="H1304" t="s">
        <v>1</v>
      </c>
    </row>
    <row r="1305" spans="1:8" x14ac:dyDescent="0.3">
      <c r="A1305" s="2">
        <v>44923</v>
      </c>
      <c r="B1305" s="2" t="str">
        <f>TEXT(AutoPomodoro[[#This Row],[DATE]],"mmmm")</f>
        <v>December</v>
      </c>
      <c r="C1305" s="2" t="str">
        <f>TEXT(AutoPomodoro[[#This Row],[DATE]],"yyyy")</f>
        <v>2022</v>
      </c>
      <c r="D1305" s="8">
        <v>2.5694444444444447E-2</v>
      </c>
      <c r="E1305" s="8">
        <v>9.375E-2</v>
      </c>
      <c r="F1305" s="3">
        <f t="shared" si="106"/>
        <v>6.805555555555555E-2</v>
      </c>
      <c r="G1305" t="s">
        <v>20</v>
      </c>
      <c r="H1305" t="s">
        <v>1</v>
      </c>
    </row>
    <row r="1306" spans="1:8" x14ac:dyDescent="0.3">
      <c r="A1306" s="2">
        <v>44923</v>
      </c>
      <c r="B1306" s="2" t="str">
        <f>TEXT(AutoPomodoro[[#This Row],[DATE]],"mmmm")</f>
        <v>December</v>
      </c>
      <c r="C1306" s="2" t="str">
        <f>TEXT(AutoPomodoro[[#This Row],[DATE]],"yyyy")</f>
        <v>2022</v>
      </c>
      <c r="D1306" s="8">
        <v>0.62222222222222223</v>
      </c>
      <c r="E1306" s="8">
        <v>0.67638888888888893</v>
      </c>
      <c r="F1306" s="3">
        <f t="shared" si="106"/>
        <v>5.4166666666666696E-2</v>
      </c>
      <c r="G1306" t="s">
        <v>20</v>
      </c>
      <c r="H1306" t="s">
        <v>1</v>
      </c>
    </row>
    <row r="1307" spans="1:8" x14ac:dyDescent="0.3">
      <c r="A1307" s="2">
        <v>44923</v>
      </c>
      <c r="B1307" s="2" t="str">
        <f>TEXT(AutoPomodoro[[#This Row],[DATE]],"mmmm")</f>
        <v>December</v>
      </c>
      <c r="C1307" s="2" t="str">
        <f>TEXT(AutoPomodoro[[#This Row],[DATE]],"yyyy")</f>
        <v>2022</v>
      </c>
      <c r="D1307" s="8">
        <v>0.73819444444444438</v>
      </c>
      <c r="E1307" s="8">
        <v>0.77083333333333337</v>
      </c>
      <c r="F1307" s="3">
        <f t="shared" si="106"/>
        <v>3.2638888888888995E-2</v>
      </c>
      <c r="G1307" t="s">
        <v>20</v>
      </c>
      <c r="H1307" t="s">
        <v>1</v>
      </c>
    </row>
    <row r="1308" spans="1:8" x14ac:dyDescent="0.3">
      <c r="A1308" s="2">
        <v>44929</v>
      </c>
      <c r="B1308" s="2" t="str">
        <f>TEXT(AutoPomodoro[[#This Row],[DATE]],"mmmm")</f>
        <v>January</v>
      </c>
      <c r="C1308" s="2" t="str">
        <f>TEXT(AutoPomodoro[[#This Row],[DATE]],"yyyy")</f>
        <v>2023</v>
      </c>
      <c r="D1308" s="8">
        <v>0.78125</v>
      </c>
      <c r="E1308" s="8">
        <v>0.84027777777777779</v>
      </c>
      <c r="F1308" s="3">
        <f t="shared" si="106"/>
        <v>5.902777777777779E-2</v>
      </c>
      <c r="G1308" t="s">
        <v>20</v>
      </c>
      <c r="H1308" t="s">
        <v>1</v>
      </c>
    </row>
    <row r="1309" spans="1:8" x14ac:dyDescent="0.3">
      <c r="A1309" s="2">
        <v>44930</v>
      </c>
      <c r="B1309" s="2" t="str">
        <f>TEXT(AutoPomodoro[[#This Row],[DATE]],"mmmm")</f>
        <v>January</v>
      </c>
      <c r="C1309" s="2" t="str">
        <f>TEXT(AutoPomodoro[[#This Row],[DATE]],"yyyy")</f>
        <v>2023</v>
      </c>
      <c r="D1309" s="8">
        <v>7.0833333333333331E-2</v>
      </c>
      <c r="E1309" s="8">
        <v>8.1250000000000003E-2</v>
      </c>
      <c r="F1309" s="3">
        <v>1.2499999999999999E-2</v>
      </c>
      <c r="G1309" t="s">
        <v>16</v>
      </c>
      <c r="H1309" t="s">
        <v>1</v>
      </c>
    </row>
    <row r="1310" spans="1:8" x14ac:dyDescent="0.3">
      <c r="A1310" s="2">
        <v>44930</v>
      </c>
      <c r="B1310" s="2" t="str">
        <f>TEXT(AutoPomodoro[[#This Row],[DATE]],"mmmm")</f>
        <v>January</v>
      </c>
      <c r="C1310" s="2" t="str">
        <f>TEXT(AutoPomodoro[[#This Row],[DATE]],"yyyy")</f>
        <v>2023</v>
      </c>
      <c r="D1310" s="8">
        <v>0.6875</v>
      </c>
      <c r="E1310" s="8">
        <v>0.71944444444444444</v>
      </c>
      <c r="F1310" s="3">
        <f>E1310-D1310</f>
        <v>3.1944444444444442E-2</v>
      </c>
      <c r="G1310" t="s">
        <v>16</v>
      </c>
      <c r="H1310" t="s">
        <v>1</v>
      </c>
    </row>
    <row r="1311" spans="1:8" x14ac:dyDescent="0.3">
      <c r="A1311" s="2">
        <v>44930</v>
      </c>
      <c r="B1311" s="2" t="str">
        <f>TEXT(AutoPomodoro[[#This Row],[DATE]],"mmmm")</f>
        <v>January</v>
      </c>
      <c r="C1311" s="2" t="str">
        <f>TEXT(AutoPomodoro[[#This Row],[DATE]],"yyyy")</f>
        <v>2023</v>
      </c>
      <c r="D1311" s="8">
        <v>0.96180555555555547</v>
      </c>
      <c r="E1311" s="8">
        <v>0.97222222222222221</v>
      </c>
      <c r="F1311" s="3">
        <f>E1311-D1311</f>
        <v>1.0416666666666741E-2</v>
      </c>
      <c r="G1311" t="s">
        <v>0</v>
      </c>
      <c r="H1311" t="s">
        <v>1</v>
      </c>
    </row>
    <row r="1312" spans="1:8" x14ac:dyDescent="0.3">
      <c r="A1312" s="2">
        <v>44930</v>
      </c>
      <c r="B1312" s="2" t="str">
        <f>TEXT(AutoPomodoro[[#This Row],[DATE]],"mmmm")</f>
        <v>January</v>
      </c>
      <c r="C1312" s="2" t="str">
        <f>TEXT(AutoPomodoro[[#This Row],[DATE]],"yyyy")</f>
        <v>2023</v>
      </c>
      <c r="D1312" s="8">
        <v>0.97430555555555554</v>
      </c>
      <c r="E1312" s="8">
        <f>D1312+$T$15</f>
        <v>0.9916666666666667</v>
      </c>
      <c r="F1312" s="3">
        <f>E1312-D1312</f>
        <v>1.736111111111116E-2</v>
      </c>
      <c r="G1312" t="s">
        <v>16</v>
      </c>
      <c r="H1312" t="s">
        <v>1</v>
      </c>
    </row>
    <row r="1313" spans="1:8" x14ac:dyDescent="0.3">
      <c r="A1313" s="2">
        <v>44930</v>
      </c>
      <c r="B1313" s="2" t="str">
        <f>TEXT(AutoPomodoro[[#This Row],[DATE]],"mmmm")</f>
        <v>January</v>
      </c>
      <c r="C1313" s="2" t="str">
        <f>TEXT(AutoPomodoro[[#This Row],[DATE]],"yyyy")</f>
        <v>2023</v>
      </c>
      <c r="D1313" s="8">
        <f>E1312+$T$16</f>
        <v>0.99513888888888891</v>
      </c>
      <c r="E1313" s="8">
        <f>D1313+$T$15</f>
        <v>1.0125</v>
      </c>
      <c r="F1313" s="3">
        <f>E1313-D1313</f>
        <v>1.7361111111111049E-2</v>
      </c>
      <c r="G1313" t="s">
        <v>16</v>
      </c>
      <c r="H1313" t="s">
        <v>1</v>
      </c>
    </row>
    <row r="1314" spans="1:8" x14ac:dyDescent="0.3">
      <c r="A1314" s="2">
        <v>44930</v>
      </c>
      <c r="B1314" s="2" t="str">
        <f>TEXT(AutoPomodoro[[#This Row],[DATE]],"mmmm")</f>
        <v>January</v>
      </c>
      <c r="C1314" s="2" t="str">
        <f>TEXT(AutoPomodoro[[#This Row],[DATE]],"yyyy")</f>
        <v>2023</v>
      </c>
      <c r="D1314" s="8">
        <f>E1313+$T$16</f>
        <v>1.0159722222222223</v>
      </c>
      <c r="E1314" s="8">
        <f>D1314+$T$15</f>
        <v>1.0333333333333334</v>
      </c>
      <c r="F1314" s="3">
        <v>1.8749999999999999E-2</v>
      </c>
      <c r="G1314" t="s">
        <v>16</v>
      </c>
      <c r="H1314" t="s">
        <v>1</v>
      </c>
    </row>
    <row r="1315" spans="1:8" x14ac:dyDescent="0.3">
      <c r="A1315" s="2">
        <v>44930</v>
      </c>
      <c r="B1315" s="2" t="str">
        <f>TEXT(AutoPomodoro[[#This Row],[DATE]],"mmmm")</f>
        <v>January</v>
      </c>
      <c r="C1315" s="2" t="str">
        <f>TEXT(AutoPomodoro[[#This Row],[DATE]],"yyyy")</f>
        <v>2023</v>
      </c>
      <c r="D1315" s="8">
        <f>E1314+$T$17</f>
        <v>1.0381944444444446</v>
      </c>
      <c r="E1315" s="8">
        <v>8.1944444444444445E-2</v>
      </c>
      <c r="F1315" s="3">
        <v>4.3750000000000004E-2</v>
      </c>
      <c r="G1315" t="s">
        <v>16</v>
      </c>
      <c r="H1315" t="s">
        <v>1</v>
      </c>
    </row>
    <row r="1316" spans="1:8" x14ac:dyDescent="0.3">
      <c r="A1316" s="2">
        <v>44931</v>
      </c>
      <c r="B1316" s="2" t="str">
        <f>TEXT(AutoPomodoro[[#This Row],[DATE]],"mmmm")</f>
        <v>January</v>
      </c>
      <c r="C1316" s="2" t="str">
        <f>TEXT(AutoPomodoro[[#This Row],[DATE]],"yyyy")</f>
        <v>2023</v>
      </c>
      <c r="D1316" s="8">
        <v>0.60763888888888895</v>
      </c>
      <c r="E1316" s="8">
        <v>0.61805555555555558</v>
      </c>
      <c r="F1316" s="3">
        <f>E1316-D1316</f>
        <v>1.041666666666663E-2</v>
      </c>
      <c r="G1316" t="s">
        <v>0</v>
      </c>
      <c r="H1316" t="s">
        <v>1</v>
      </c>
    </row>
    <row r="1317" spans="1:8" x14ac:dyDescent="0.3">
      <c r="A1317" s="2">
        <v>44931</v>
      </c>
      <c r="B1317" s="2" t="str">
        <f>TEXT(AutoPomodoro[[#This Row],[DATE]],"mmmm")</f>
        <v>January</v>
      </c>
      <c r="C1317" s="2" t="str">
        <f>TEXT(AutoPomodoro[[#This Row],[DATE]],"yyyy")</f>
        <v>2023</v>
      </c>
      <c r="D1317" s="8">
        <v>0.62013888888888891</v>
      </c>
      <c r="E1317" s="8">
        <f>D1317+$T$15</f>
        <v>0.63750000000000007</v>
      </c>
      <c r="F1317" s="3">
        <f>E1317-D1317</f>
        <v>1.736111111111116E-2</v>
      </c>
      <c r="G1317" t="s">
        <v>16</v>
      </c>
      <c r="H1317" t="s">
        <v>1</v>
      </c>
    </row>
    <row r="1318" spans="1:8" x14ac:dyDescent="0.3">
      <c r="A1318" s="2">
        <v>44931</v>
      </c>
      <c r="B1318" s="2" t="str">
        <f>TEXT(AutoPomodoro[[#This Row],[DATE]],"mmmm")</f>
        <v>January</v>
      </c>
      <c r="C1318" s="2" t="str">
        <f>TEXT(AutoPomodoro[[#This Row],[DATE]],"yyyy")</f>
        <v>2023</v>
      </c>
      <c r="D1318" s="8">
        <f>E1317+$T$16</f>
        <v>0.64097222222222228</v>
      </c>
      <c r="E1318" s="8">
        <f>D1318+$T$15</f>
        <v>0.65833333333333344</v>
      </c>
      <c r="F1318" s="3">
        <f>E1318-D1318</f>
        <v>1.736111111111116E-2</v>
      </c>
      <c r="G1318" t="s">
        <v>16</v>
      </c>
      <c r="H1318" t="s">
        <v>1</v>
      </c>
    </row>
    <row r="1319" spans="1:8" x14ac:dyDescent="0.3">
      <c r="A1319" s="2">
        <v>44931</v>
      </c>
      <c r="B1319" s="2" t="str">
        <f>TEXT(AutoPomodoro[[#This Row],[DATE]],"mmmm")</f>
        <v>January</v>
      </c>
      <c r="C1319" s="2" t="str">
        <f>TEXT(AutoPomodoro[[#This Row],[DATE]],"yyyy")</f>
        <v>2023</v>
      </c>
      <c r="D1319" s="8">
        <f>E1318+$T$16</f>
        <v>0.66180555555555565</v>
      </c>
      <c r="E1319" s="8">
        <v>0.6875</v>
      </c>
      <c r="F1319" s="3">
        <v>2.4305555555555556E-2</v>
      </c>
      <c r="G1319" t="s">
        <v>16</v>
      </c>
      <c r="H1319" t="s">
        <v>1</v>
      </c>
    </row>
    <row r="1320" spans="1:8" x14ac:dyDescent="0.3">
      <c r="A1320" s="2">
        <v>44931</v>
      </c>
      <c r="B1320" s="2" t="str">
        <f>TEXT(AutoPomodoro[[#This Row],[DATE]],"mmmm")</f>
        <v>January</v>
      </c>
      <c r="C1320" s="2" t="str">
        <f>TEXT(AutoPomodoro[[#This Row],[DATE]],"yyyy")</f>
        <v>2023</v>
      </c>
      <c r="D1320" s="8">
        <v>0.69444444444444453</v>
      </c>
      <c r="E1320" s="8">
        <v>0.71527777777777779</v>
      </c>
      <c r="F1320" s="3">
        <v>2.2916666666666669E-2</v>
      </c>
      <c r="G1320" t="s">
        <v>16</v>
      </c>
      <c r="H1320" t="s">
        <v>1</v>
      </c>
    </row>
    <row r="1321" spans="1:8" x14ac:dyDescent="0.3">
      <c r="A1321" s="2">
        <v>44931</v>
      </c>
      <c r="B1321" s="2" t="str">
        <f>TEXT(AutoPomodoro[[#This Row],[DATE]],"mmmm")</f>
        <v>January</v>
      </c>
      <c r="C1321" s="2" t="str">
        <f>TEXT(AutoPomodoro[[#This Row],[DATE]],"yyyy")</f>
        <v>2023</v>
      </c>
      <c r="D1321" s="8">
        <v>0.96527777777777779</v>
      </c>
      <c r="E1321" s="8">
        <f>D1321+$T$15</f>
        <v>0.98263888888888895</v>
      </c>
      <c r="F1321" s="3">
        <v>1.3888888888888888E-2</v>
      </c>
      <c r="G1321" t="s">
        <v>16</v>
      </c>
      <c r="H1321" t="s">
        <v>1</v>
      </c>
    </row>
    <row r="1322" spans="1:8" x14ac:dyDescent="0.3">
      <c r="A1322" s="2">
        <v>44931</v>
      </c>
      <c r="B1322" s="2" t="str">
        <f>TEXT(AutoPomodoro[[#This Row],[DATE]],"mmmm")</f>
        <v>January</v>
      </c>
      <c r="C1322" s="2" t="str">
        <f>TEXT(AutoPomodoro[[#This Row],[DATE]],"yyyy")</f>
        <v>2023</v>
      </c>
      <c r="D1322" s="8">
        <f>E1321+$T$16</f>
        <v>0.98611111111111116</v>
      </c>
      <c r="E1322" s="8">
        <f>D1322+$T$15</f>
        <v>1.0034722222222223</v>
      </c>
      <c r="F1322" s="3">
        <f>E1322-D1322</f>
        <v>1.736111111111116E-2</v>
      </c>
      <c r="G1322" t="s">
        <v>16</v>
      </c>
      <c r="H1322" t="s">
        <v>1</v>
      </c>
    </row>
    <row r="1323" spans="1:8" x14ac:dyDescent="0.3">
      <c r="A1323" s="2">
        <v>44931</v>
      </c>
      <c r="B1323" s="2" t="str">
        <f>TEXT(AutoPomodoro[[#This Row],[DATE]],"mmmm")</f>
        <v>January</v>
      </c>
      <c r="C1323" s="2" t="str">
        <f>TEXT(AutoPomodoro[[#This Row],[DATE]],"yyyy")</f>
        <v>2023</v>
      </c>
      <c r="D1323" s="8">
        <f>E1322+$T$16</f>
        <v>1.0069444444444446</v>
      </c>
      <c r="E1323" s="8">
        <f>D1323+$T$15</f>
        <v>1.0243055555555558</v>
      </c>
      <c r="F1323" s="3">
        <f>E1323-D1323</f>
        <v>1.736111111111116E-2</v>
      </c>
      <c r="G1323" t="s">
        <v>16</v>
      </c>
      <c r="H1323" t="s">
        <v>1</v>
      </c>
    </row>
    <row r="1324" spans="1:8" x14ac:dyDescent="0.3">
      <c r="A1324" s="2">
        <v>44931</v>
      </c>
      <c r="B1324" s="2" t="str">
        <f>TEXT(AutoPomodoro[[#This Row],[DATE]],"mmmm")</f>
        <v>January</v>
      </c>
      <c r="C1324" s="2" t="str">
        <f>TEXT(AutoPomodoro[[#This Row],[DATE]],"yyyy")</f>
        <v>2023</v>
      </c>
      <c r="D1324" s="8">
        <f>E1323+$T$17</f>
        <v>1.029166666666667</v>
      </c>
      <c r="E1324" s="8">
        <f>D1324+$T$15</f>
        <v>1.0465277777777782</v>
      </c>
      <c r="F1324" s="3">
        <f>E1324-D1324</f>
        <v>1.736111111111116E-2</v>
      </c>
      <c r="G1324" t="s">
        <v>16</v>
      </c>
      <c r="H1324" t="s">
        <v>1</v>
      </c>
    </row>
    <row r="1325" spans="1:8" x14ac:dyDescent="0.3">
      <c r="A1325" s="2">
        <v>44931</v>
      </c>
      <c r="B1325" s="2" t="str">
        <f>TEXT(AutoPomodoro[[#This Row],[DATE]],"mmmm")</f>
        <v>January</v>
      </c>
      <c r="C1325" s="2" t="str">
        <f>TEXT(AutoPomodoro[[#This Row],[DATE]],"yyyy")</f>
        <v>2023</v>
      </c>
      <c r="D1325" s="8">
        <v>1.0465277777777782</v>
      </c>
      <c r="E1325" s="8">
        <f>D1325+M</f>
        <v>1.0569444444444449</v>
      </c>
      <c r="F1325" s="3">
        <v>1.0416666666666666E-2</v>
      </c>
      <c r="G1325" t="s">
        <v>21</v>
      </c>
      <c r="H1325" t="s">
        <v>1</v>
      </c>
    </row>
    <row r="1326" spans="1:8" x14ac:dyDescent="0.3">
      <c r="A1326" s="2">
        <v>44931</v>
      </c>
      <c r="B1326" s="2" t="str">
        <f>TEXT(AutoPomodoro[[#This Row],[DATE]],"mmmm")</f>
        <v>January</v>
      </c>
      <c r="C1326" s="2" t="str">
        <f>TEXT(AutoPomodoro[[#This Row],[DATE]],"yyyy")</f>
        <v>2023</v>
      </c>
      <c r="D1326" s="8">
        <v>1.0569444444444449</v>
      </c>
      <c r="E1326" s="8">
        <f>D1326+$T$15</f>
        <v>1.0743055555555561</v>
      </c>
      <c r="F1326" s="3">
        <f>E1326-D1326</f>
        <v>1.736111111111116E-2</v>
      </c>
      <c r="G1326" t="s">
        <v>16</v>
      </c>
      <c r="H1326" t="s">
        <v>1</v>
      </c>
    </row>
    <row r="1327" spans="1:8" x14ac:dyDescent="0.3">
      <c r="A1327" s="2">
        <v>44931</v>
      </c>
      <c r="B1327" s="2" t="str">
        <f>TEXT(AutoPomodoro[[#This Row],[DATE]],"mmmm")</f>
        <v>January</v>
      </c>
      <c r="C1327" s="2" t="str">
        <f>TEXT(AutoPomodoro[[#This Row],[DATE]],"yyyy")</f>
        <v>2023</v>
      </c>
      <c r="D1327" s="8">
        <f>E1326+$T$16</f>
        <v>1.0777777777777784</v>
      </c>
      <c r="E1327" s="8">
        <v>0.10694444444444444</v>
      </c>
      <c r="F1327" s="3">
        <v>2.9166666666666664E-2</v>
      </c>
      <c r="G1327" t="s">
        <v>16</v>
      </c>
      <c r="H1327" t="s">
        <v>1</v>
      </c>
    </row>
    <row r="1328" spans="1:8" x14ac:dyDescent="0.3">
      <c r="A1328" s="2">
        <v>44935</v>
      </c>
      <c r="B1328" s="2" t="str">
        <f>TEXT(AutoPomodoro[[#This Row],[DATE]],"mmmm")</f>
        <v>January</v>
      </c>
      <c r="C1328" s="2" t="str">
        <f>TEXT(AutoPomodoro[[#This Row],[DATE]],"yyyy")</f>
        <v>2023</v>
      </c>
      <c r="D1328" s="8">
        <v>0.61458333333333337</v>
      </c>
      <c r="E1328" s="8">
        <f>D1328+$T$15</f>
        <v>0.63194444444444453</v>
      </c>
      <c r="F1328" s="3">
        <f t="shared" ref="F1328:F1336" si="107">E1328-D1328</f>
        <v>1.736111111111116E-2</v>
      </c>
      <c r="G1328" t="s">
        <v>16</v>
      </c>
      <c r="H1328" t="s">
        <v>1</v>
      </c>
    </row>
    <row r="1329" spans="1:8" x14ac:dyDescent="0.3">
      <c r="A1329" s="2">
        <v>44935</v>
      </c>
      <c r="B1329" s="2" t="str">
        <f>TEXT(AutoPomodoro[[#This Row],[DATE]],"mmmm")</f>
        <v>January</v>
      </c>
      <c r="C1329" s="2" t="str">
        <f>TEXT(AutoPomodoro[[#This Row],[DATE]],"yyyy")</f>
        <v>2023</v>
      </c>
      <c r="D1329" s="8">
        <f>E1328+$T$16</f>
        <v>0.63541666666666674</v>
      </c>
      <c r="E1329" s="8">
        <f>D1329+$T$15</f>
        <v>0.6527777777777779</v>
      </c>
      <c r="F1329" s="3">
        <f t="shared" si="107"/>
        <v>1.736111111111116E-2</v>
      </c>
      <c r="G1329" t="s">
        <v>16</v>
      </c>
      <c r="H1329" t="s">
        <v>1</v>
      </c>
    </row>
    <row r="1330" spans="1:8" x14ac:dyDescent="0.3">
      <c r="A1330" s="2">
        <v>44935</v>
      </c>
      <c r="B1330" s="2" t="str">
        <f>TEXT(AutoPomodoro[[#This Row],[DATE]],"mmmm")</f>
        <v>January</v>
      </c>
      <c r="C1330" s="2" t="str">
        <f>TEXT(AutoPomodoro[[#This Row],[DATE]],"yyyy")</f>
        <v>2023</v>
      </c>
      <c r="D1330" s="8">
        <f>E1329+$T$16</f>
        <v>0.65625000000000011</v>
      </c>
      <c r="E1330" s="8">
        <v>0.67708333333333337</v>
      </c>
      <c r="F1330" s="3">
        <f t="shared" si="107"/>
        <v>2.0833333333333259E-2</v>
      </c>
      <c r="G1330" t="s">
        <v>16</v>
      </c>
      <c r="H1330" t="s">
        <v>1</v>
      </c>
    </row>
    <row r="1331" spans="1:8" x14ac:dyDescent="0.3">
      <c r="A1331" s="2">
        <v>44936</v>
      </c>
      <c r="B1331" s="2" t="str">
        <f>TEXT(AutoPomodoro[[#This Row],[DATE]],"mmmm")</f>
        <v>January</v>
      </c>
      <c r="C1331" s="2" t="str">
        <f>TEXT(AutoPomodoro[[#This Row],[DATE]],"yyyy")</f>
        <v>2023</v>
      </c>
      <c r="D1331" s="8">
        <v>0.63888888888888895</v>
      </c>
      <c r="E1331" s="8">
        <v>0.64930555555555558</v>
      </c>
      <c r="F1331" s="3">
        <f t="shared" si="107"/>
        <v>1.041666666666663E-2</v>
      </c>
      <c r="G1331" t="s">
        <v>0</v>
      </c>
      <c r="H1331" t="s">
        <v>1</v>
      </c>
    </row>
    <row r="1332" spans="1:8" x14ac:dyDescent="0.3">
      <c r="A1332" s="2">
        <v>44936</v>
      </c>
      <c r="B1332" s="2" t="str">
        <f>TEXT(AutoPomodoro[[#This Row],[DATE]],"mmmm")</f>
        <v>January</v>
      </c>
      <c r="C1332" s="2" t="str">
        <f>TEXT(AutoPomodoro[[#This Row],[DATE]],"yyyy")</f>
        <v>2023</v>
      </c>
      <c r="D1332" s="8">
        <v>0.65138888888888891</v>
      </c>
      <c r="E1332" s="8">
        <v>0.66180555555555554</v>
      </c>
      <c r="F1332" s="3">
        <f t="shared" si="107"/>
        <v>1.041666666666663E-2</v>
      </c>
      <c r="G1332" t="s">
        <v>17</v>
      </c>
      <c r="H1332" t="s">
        <v>1</v>
      </c>
    </row>
    <row r="1333" spans="1:8" x14ac:dyDescent="0.3">
      <c r="A1333" s="2">
        <v>44936</v>
      </c>
      <c r="B1333" s="2" t="str">
        <f>TEXT(AutoPomodoro[[#This Row],[DATE]],"mmmm")</f>
        <v>January</v>
      </c>
      <c r="C1333" s="2" t="str">
        <f>TEXT(AutoPomodoro[[#This Row],[DATE]],"yyyy")</f>
        <v>2023</v>
      </c>
      <c r="D1333" s="8">
        <v>0.66527777777777775</v>
      </c>
      <c r="E1333" s="8">
        <f>D1333+$T$15</f>
        <v>0.68263888888888891</v>
      </c>
      <c r="F1333" s="3">
        <f t="shared" si="107"/>
        <v>1.736111111111116E-2</v>
      </c>
      <c r="G1333" t="s">
        <v>16</v>
      </c>
      <c r="H1333" t="s">
        <v>1</v>
      </c>
    </row>
    <row r="1334" spans="1:8" x14ac:dyDescent="0.3">
      <c r="A1334" s="2">
        <v>44936</v>
      </c>
      <c r="B1334" s="2" t="str">
        <f>TEXT(AutoPomodoro[[#This Row],[DATE]],"mmmm")</f>
        <v>January</v>
      </c>
      <c r="C1334" s="2" t="str">
        <f>TEXT(AutoPomodoro[[#This Row],[DATE]],"yyyy")</f>
        <v>2023</v>
      </c>
      <c r="D1334" s="8">
        <f>E1333+$T$16</f>
        <v>0.68611111111111112</v>
      </c>
      <c r="E1334" s="8">
        <f>D1334+$T$15</f>
        <v>0.70347222222222228</v>
      </c>
      <c r="F1334" s="3">
        <f t="shared" si="107"/>
        <v>1.736111111111116E-2</v>
      </c>
      <c r="G1334" t="s">
        <v>16</v>
      </c>
      <c r="H1334" t="s">
        <v>1</v>
      </c>
    </row>
    <row r="1335" spans="1:8" x14ac:dyDescent="0.3">
      <c r="A1335" s="2">
        <v>44936</v>
      </c>
      <c r="B1335" s="2" t="str">
        <f>TEXT(AutoPomodoro[[#This Row],[DATE]],"mmmm")</f>
        <v>January</v>
      </c>
      <c r="C1335" s="2" t="str">
        <f>TEXT(AutoPomodoro[[#This Row],[DATE]],"yyyy")</f>
        <v>2023</v>
      </c>
      <c r="D1335" s="8">
        <f>E1334+$T$16</f>
        <v>0.70694444444444449</v>
      </c>
      <c r="E1335" s="8">
        <f>D1335+$T$15</f>
        <v>0.72430555555555565</v>
      </c>
      <c r="F1335" s="3">
        <f t="shared" si="107"/>
        <v>1.736111111111116E-2</v>
      </c>
      <c r="G1335" t="s">
        <v>16</v>
      </c>
      <c r="H1335" t="s">
        <v>1</v>
      </c>
    </row>
    <row r="1336" spans="1:8" x14ac:dyDescent="0.3">
      <c r="A1336" s="2">
        <v>44936</v>
      </c>
      <c r="B1336" s="2" t="str">
        <f>TEXT(AutoPomodoro[[#This Row],[DATE]],"mmmm")</f>
        <v>January</v>
      </c>
      <c r="C1336" s="2" t="str">
        <f>TEXT(AutoPomodoro[[#This Row],[DATE]],"yyyy")</f>
        <v>2023</v>
      </c>
      <c r="D1336" s="8">
        <f>E1335+$T$17</f>
        <v>0.72916666666666674</v>
      </c>
      <c r="E1336" s="8">
        <f>D1336+$T$15</f>
        <v>0.7465277777777779</v>
      </c>
      <c r="F1336" s="3">
        <f t="shared" si="107"/>
        <v>1.736111111111116E-2</v>
      </c>
      <c r="G1336" t="s">
        <v>16</v>
      </c>
      <c r="H1336" t="s">
        <v>1</v>
      </c>
    </row>
    <row r="1337" spans="1:8" x14ac:dyDescent="0.3">
      <c r="A1337" s="2">
        <v>44936</v>
      </c>
      <c r="B1337" s="2" t="str">
        <f>TEXT(AutoPomodoro[[#This Row],[DATE]],"mmmm")</f>
        <v>January</v>
      </c>
      <c r="C1337" s="2" t="str">
        <f>TEXT(AutoPomodoro[[#This Row],[DATE]],"yyyy")</f>
        <v>2023</v>
      </c>
      <c r="D1337" s="8">
        <v>0.7465277777777779</v>
      </c>
      <c r="E1337" s="8">
        <f>D1337+M</f>
        <v>0.75694444444444453</v>
      </c>
      <c r="F1337" s="3">
        <v>1.0416666666666666E-2</v>
      </c>
      <c r="G1337" t="s">
        <v>21</v>
      </c>
      <c r="H1337" t="s">
        <v>1</v>
      </c>
    </row>
    <row r="1338" spans="1:8" x14ac:dyDescent="0.3">
      <c r="A1338" s="2">
        <v>44936</v>
      </c>
      <c r="B1338" s="2" t="str">
        <f>TEXT(AutoPomodoro[[#This Row],[DATE]],"mmmm")</f>
        <v>January</v>
      </c>
      <c r="C1338" s="2" t="str">
        <f>TEXT(AutoPomodoro[[#This Row],[DATE]],"yyyy")</f>
        <v>2023</v>
      </c>
      <c r="D1338" s="8">
        <v>0.75694444444444453</v>
      </c>
      <c r="E1338" s="8">
        <f>D1338+$T$15</f>
        <v>0.77430555555555569</v>
      </c>
      <c r="F1338" s="3">
        <f>E1338-D1338</f>
        <v>1.736111111111116E-2</v>
      </c>
      <c r="G1338" t="s">
        <v>16</v>
      </c>
      <c r="H1338" t="s">
        <v>1</v>
      </c>
    </row>
    <row r="1339" spans="1:8" x14ac:dyDescent="0.3">
      <c r="A1339" s="2">
        <v>44936</v>
      </c>
      <c r="B1339" s="2" t="str">
        <f>TEXT(AutoPomodoro[[#This Row],[DATE]],"mmmm")</f>
        <v>January</v>
      </c>
      <c r="C1339" s="2" t="str">
        <f>TEXT(AutoPomodoro[[#This Row],[DATE]],"yyyy")</f>
        <v>2023</v>
      </c>
      <c r="D1339" s="8">
        <f>E1338+$T$16</f>
        <v>0.7777777777777779</v>
      </c>
      <c r="E1339" s="8">
        <f>D1339+$T$15</f>
        <v>0.79513888888888906</v>
      </c>
      <c r="F1339" s="3">
        <f>E1339-D1339</f>
        <v>1.736111111111116E-2</v>
      </c>
      <c r="G1339" t="s">
        <v>16</v>
      </c>
      <c r="H1339" t="s">
        <v>1</v>
      </c>
    </row>
    <row r="1340" spans="1:8" x14ac:dyDescent="0.3">
      <c r="A1340" s="2">
        <v>44936</v>
      </c>
      <c r="B1340" s="2" t="str">
        <f>TEXT(AutoPomodoro[[#This Row],[DATE]],"mmmm")</f>
        <v>January</v>
      </c>
      <c r="C1340" s="2" t="str">
        <f>TEXT(AutoPomodoro[[#This Row],[DATE]],"yyyy")</f>
        <v>2023</v>
      </c>
      <c r="D1340" s="8">
        <f>E1339+$T$16</f>
        <v>0.79861111111111127</v>
      </c>
      <c r="E1340" s="8">
        <f>D1340+$T$15</f>
        <v>0.81597222222222243</v>
      </c>
      <c r="F1340" s="3">
        <f>E1340-D1340</f>
        <v>1.736111111111116E-2</v>
      </c>
      <c r="G1340" t="s">
        <v>16</v>
      </c>
      <c r="H1340" t="s">
        <v>1</v>
      </c>
    </row>
    <row r="1341" spans="1:8" x14ac:dyDescent="0.3">
      <c r="A1341" s="2">
        <v>44936</v>
      </c>
      <c r="B1341" s="2" t="str">
        <f>TEXT(AutoPomodoro[[#This Row],[DATE]],"mmmm")</f>
        <v>January</v>
      </c>
      <c r="C1341" s="2" t="str">
        <f>TEXT(AutoPomodoro[[#This Row],[DATE]],"yyyy")</f>
        <v>2023</v>
      </c>
      <c r="D1341" s="8">
        <f>E1340+$T$17</f>
        <v>0.82083333333333353</v>
      </c>
      <c r="E1341" s="8">
        <f>D1341+$T$15</f>
        <v>0.83819444444444469</v>
      </c>
      <c r="F1341" s="3">
        <f>E1341-D1341</f>
        <v>1.736111111111116E-2</v>
      </c>
      <c r="G1341" t="s">
        <v>16</v>
      </c>
      <c r="H1341" t="s">
        <v>1</v>
      </c>
    </row>
    <row r="1342" spans="1:8" x14ac:dyDescent="0.3">
      <c r="A1342" s="2">
        <v>44936</v>
      </c>
      <c r="B1342" s="2" t="str">
        <f>TEXT(AutoPomodoro[[#This Row],[DATE]],"mmmm")</f>
        <v>January</v>
      </c>
      <c r="C1342" s="2" t="str">
        <f>TEXT(AutoPomodoro[[#This Row],[DATE]],"yyyy")</f>
        <v>2023</v>
      </c>
      <c r="D1342" s="8">
        <v>0.83819444444444469</v>
      </c>
      <c r="E1342" s="8">
        <f>D1342+M</f>
        <v>0.84861111111111132</v>
      </c>
      <c r="F1342" s="3">
        <v>1.0416666666666666E-2</v>
      </c>
      <c r="G1342" t="s">
        <v>21</v>
      </c>
      <c r="H1342" t="s">
        <v>1</v>
      </c>
    </row>
    <row r="1343" spans="1:8" x14ac:dyDescent="0.3">
      <c r="A1343" s="2">
        <v>44936</v>
      </c>
      <c r="B1343" s="2" t="str">
        <f>TEXT(AutoPomodoro[[#This Row],[DATE]],"mmmm")</f>
        <v>January</v>
      </c>
      <c r="C1343" s="2" t="str">
        <f>TEXT(AutoPomodoro[[#This Row],[DATE]],"yyyy")</f>
        <v>2023</v>
      </c>
      <c r="D1343" s="8">
        <v>0.84861111111111132</v>
      </c>
      <c r="E1343" s="8">
        <f>D1343+$T$15</f>
        <v>0.86597222222222248</v>
      </c>
      <c r="F1343" s="3">
        <v>1.3194444444444444E-2</v>
      </c>
      <c r="G1343" t="s">
        <v>16</v>
      </c>
      <c r="H1343" t="s">
        <v>1</v>
      </c>
    </row>
    <row r="1344" spans="1:8" x14ac:dyDescent="0.3">
      <c r="A1344" s="2">
        <v>44936</v>
      </c>
      <c r="B1344" s="2" t="str">
        <f>TEXT(AutoPomodoro[[#This Row],[DATE]],"mmmm")</f>
        <v>January</v>
      </c>
      <c r="C1344" s="2" t="str">
        <f>TEXT(AutoPomodoro[[#This Row],[DATE]],"yyyy")</f>
        <v>2023</v>
      </c>
      <c r="D1344" s="8">
        <f>E1343+$T$16</f>
        <v>0.86944444444444469</v>
      </c>
      <c r="E1344" s="8">
        <f>D1344+$T$15</f>
        <v>0.88680555555555585</v>
      </c>
      <c r="F1344" s="3">
        <f t="shared" ref="F1344:F1352" si="108">E1344-D1344</f>
        <v>1.736111111111116E-2</v>
      </c>
      <c r="G1344" t="s">
        <v>16</v>
      </c>
      <c r="H1344" t="s">
        <v>1</v>
      </c>
    </row>
    <row r="1345" spans="1:8" x14ac:dyDescent="0.3">
      <c r="A1345" s="2">
        <v>44937</v>
      </c>
      <c r="B1345" s="2" t="str">
        <f>TEXT(AutoPomodoro[[#This Row],[DATE]],"mmmm")</f>
        <v>January</v>
      </c>
      <c r="C1345" s="2" t="str">
        <f>TEXT(AutoPomodoro[[#This Row],[DATE]],"yyyy")</f>
        <v>2023</v>
      </c>
      <c r="D1345" s="8">
        <v>0.58680555555555558</v>
      </c>
      <c r="E1345" s="8">
        <v>0.59722222222222221</v>
      </c>
      <c r="F1345" s="3">
        <f t="shared" si="108"/>
        <v>1.041666666666663E-2</v>
      </c>
      <c r="G1345" t="s">
        <v>0</v>
      </c>
      <c r="H1345" t="s">
        <v>1</v>
      </c>
    </row>
    <row r="1346" spans="1:8" x14ac:dyDescent="0.3">
      <c r="A1346" s="2">
        <v>44937</v>
      </c>
      <c r="B1346" s="2" t="str">
        <f>TEXT(AutoPomodoro[[#This Row],[DATE]],"mmmm")</f>
        <v>January</v>
      </c>
      <c r="C1346" s="2" t="str">
        <f>TEXT(AutoPomodoro[[#This Row],[DATE]],"yyyy")</f>
        <v>2023</v>
      </c>
      <c r="D1346" s="8">
        <v>0.59930555555555554</v>
      </c>
      <c r="E1346" s="8">
        <f>D1346+$T$15</f>
        <v>0.6166666666666667</v>
      </c>
      <c r="F1346" s="3">
        <f t="shared" si="108"/>
        <v>1.736111111111116E-2</v>
      </c>
      <c r="G1346" t="s">
        <v>16</v>
      </c>
      <c r="H1346" t="s">
        <v>2</v>
      </c>
    </row>
    <row r="1347" spans="1:8" x14ac:dyDescent="0.3">
      <c r="A1347" s="2">
        <v>44937</v>
      </c>
      <c r="B1347" s="2" t="str">
        <f>TEXT(AutoPomodoro[[#This Row],[DATE]],"mmmm")</f>
        <v>January</v>
      </c>
      <c r="C1347" s="2" t="str">
        <f>TEXT(AutoPomodoro[[#This Row],[DATE]],"yyyy")</f>
        <v>2023</v>
      </c>
      <c r="D1347" s="8">
        <f>E1346+$T$16</f>
        <v>0.62013888888888891</v>
      </c>
      <c r="E1347" s="8">
        <f>D1347+$T$15</f>
        <v>0.63750000000000007</v>
      </c>
      <c r="F1347" s="3">
        <f t="shared" si="108"/>
        <v>1.736111111111116E-2</v>
      </c>
      <c r="G1347" t="s">
        <v>16</v>
      </c>
      <c r="H1347" t="s">
        <v>1</v>
      </c>
    </row>
    <row r="1348" spans="1:8" x14ac:dyDescent="0.3">
      <c r="A1348" s="2">
        <v>44937</v>
      </c>
      <c r="B1348" s="2" t="str">
        <f>TEXT(AutoPomodoro[[#This Row],[DATE]],"mmmm")</f>
        <v>January</v>
      </c>
      <c r="C1348" s="2" t="str">
        <f>TEXT(AutoPomodoro[[#This Row],[DATE]],"yyyy")</f>
        <v>2023</v>
      </c>
      <c r="D1348" s="8">
        <f>E1347+$T$16</f>
        <v>0.64097222222222228</v>
      </c>
      <c r="E1348" s="8">
        <f>D1348+$T$15</f>
        <v>0.65833333333333344</v>
      </c>
      <c r="F1348" s="3">
        <f t="shared" si="108"/>
        <v>1.736111111111116E-2</v>
      </c>
      <c r="G1348" t="s">
        <v>16</v>
      </c>
      <c r="H1348" t="s">
        <v>1</v>
      </c>
    </row>
    <row r="1349" spans="1:8" x14ac:dyDescent="0.3">
      <c r="A1349" s="2">
        <v>44937</v>
      </c>
      <c r="B1349" s="2" t="str">
        <f>TEXT(AutoPomodoro[[#This Row],[DATE]],"mmmm")</f>
        <v>January</v>
      </c>
      <c r="C1349" s="2" t="str">
        <f>TEXT(AutoPomodoro[[#This Row],[DATE]],"yyyy")</f>
        <v>2023</v>
      </c>
      <c r="D1349" s="8">
        <f>E1348+$T$17</f>
        <v>0.66319444444444453</v>
      </c>
      <c r="E1349" s="8">
        <v>0.6972222222222223</v>
      </c>
      <c r="F1349" s="3">
        <f t="shared" si="108"/>
        <v>3.4027777777777768E-2</v>
      </c>
      <c r="G1349" t="s">
        <v>16</v>
      </c>
      <c r="H1349" t="s">
        <v>1</v>
      </c>
    </row>
    <row r="1350" spans="1:8" x14ac:dyDescent="0.3">
      <c r="A1350" s="2">
        <v>44938</v>
      </c>
      <c r="B1350" s="2" t="str">
        <f>TEXT(AutoPomodoro[[#This Row],[DATE]],"mmmm")</f>
        <v>January</v>
      </c>
      <c r="C1350" s="2" t="str">
        <f>TEXT(AutoPomodoro[[#This Row],[DATE]],"yyyy")</f>
        <v>2023</v>
      </c>
      <c r="D1350" s="8">
        <v>3.888888888888889E-2</v>
      </c>
      <c r="E1350" s="8">
        <f>D1350+$T$15</f>
        <v>5.6250000000000001E-2</v>
      </c>
      <c r="F1350" s="3">
        <f t="shared" si="108"/>
        <v>1.7361111111111112E-2</v>
      </c>
      <c r="G1350" t="s">
        <v>16</v>
      </c>
      <c r="H1350" t="s">
        <v>1</v>
      </c>
    </row>
    <row r="1351" spans="1:8" x14ac:dyDescent="0.3">
      <c r="A1351" s="2">
        <v>44938</v>
      </c>
      <c r="B1351" s="2" t="str">
        <f>TEXT(AutoPomodoro[[#This Row],[DATE]],"mmmm")</f>
        <v>January</v>
      </c>
      <c r="C1351" s="2" t="str">
        <f>TEXT(AutoPomodoro[[#This Row],[DATE]],"yyyy")</f>
        <v>2023</v>
      </c>
      <c r="D1351" s="8">
        <f>E1350+$T$16</f>
        <v>5.9722222222222225E-2</v>
      </c>
      <c r="E1351" s="8">
        <f>D1351+$T$15</f>
        <v>7.7083333333333337E-2</v>
      </c>
      <c r="F1351" s="3">
        <f t="shared" si="108"/>
        <v>1.7361111111111112E-2</v>
      </c>
      <c r="G1351" t="s">
        <v>16</v>
      </c>
      <c r="H1351" t="s">
        <v>1</v>
      </c>
    </row>
    <row r="1352" spans="1:8" x14ac:dyDescent="0.3">
      <c r="A1352" s="2">
        <v>44938</v>
      </c>
      <c r="B1352" s="2" t="str">
        <f>TEXT(AutoPomodoro[[#This Row],[DATE]],"mmmm")</f>
        <v>January</v>
      </c>
      <c r="C1352" s="2" t="str">
        <f>TEXT(AutoPomodoro[[#This Row],[DATE]],"yyyy")</f>
        <v>2023</v>
      </c>
      <c r="D1352" s="8">
        <f>E1351+$T$16</f>
        <v>8.0555555555555561E-2</v>
      </c>
      <c r="E1352" s="8">
        <v>0.10555555555555556</v>
      </c>
      <c r="F1352" s="3">
        <f t="shared" si="108"/>
        <v>2.4999999999999994E-2</v>
      </c>
      <c r="G1352" t="s">
        <v>16</v>
      </c>
      <c r="H1352" t="s">
        <v>1</v>
      </c>
    </row>
    <row r="1353" spans="1:8" x14ac:dyDescent="0.3">
      <c r="A1353" s="2">
        <v>44938</v>
      </c>
      <c r="B1353" s="2" t="str">
        <f>TEXT(AutoPomodoro[[#This Row],[DATE]],"mmmm")</f>
        <v>January</v>
      </c>
      <c r="C1353" s="2" t="str">
        <f>TEXT(AutoPomodoro[[#This Row],[DATE]],"yyyy")</f>
        <v>2023</v>
      </c>
      <c r="D1353" s="8">
        <v>0.67499999999999993</v>
      </c>
      <c r="E1353" s="8">
        <v>0.71180555555555547</v>
      </c>
      <c r="F1353" s="3">
        <v>2.4305555555555556E-2</v>
      </c>
      <c r="G1353" t="s">
        <v>16</v>
      </c>
      <c r="H1353" t="s">
        <v>1</v>
      </c>
    </row>
    <row r="1354" spans="1:8" x14ac:dyDescent="0.3">
      <c r="A1354" s="2">
        <v>44942</v>
      </c>
      <c r="B1354" s="2" t="str">
        <f>TEXT(AutoPomodoro[[#This Row],[DATE]],"mmmm")</f>
        <v>January</v>
      </c>
      <c r="C1354" s="2" t="str">
        <f>TEXT(AutoPomodoro[[#This Row],[DATE]],"yyyy")</f>
        <v>2023</v>
      </c>
      <c r="D1354" s="8">
        <v>0.59027777777777779</v>
      </c>
      <c r="E1354" s="8">
        <f>D1354+$T$15</f>
        <v>0.60763888888888895</v>
      </c>
      <c r="F1354" s="3">
        <f t="shared" ref="F1354:F1364" si="109">E1354-D1354</f>
        <v>1.736111111111116E-2</v>
      </c>
      <c r="G1354" t="s">
        <v>17</v>
      </c>
      <c r="H1354" t="s">
        <v>1</v>
      </c>
    </row>
    <row r="1355" spans="1:8" x14ac:dyDescent="0.3">
      <c r="A1355" s="2">
        <v>44942</v>
      </c>
      <c r="B1355" s="2" t="str">
        <f>TEXT(AutoPomodoro[[#This Row],[DATE]],"mmmm")</f>
        <v>January</v>
      </c>
      <c r="C1355" s="2" t="str">
        <f>TEXT(AutoPomodoro[[#This Row],[DATE]],"yyyy")</f>
        <v>2023</v>
      </c>
      <c r="D1355" s="8">
        <f>E1354+$T$16</f>
        <v>0.61111111111111116</v>
      </c>
      <c r="E1355" s="8">
        <f>D1355+$T$15</f>
        <v>0.62847222222222232</v>
      </c>
      <c r="F1355" s="3">
        <f t="shared" si="109"/>
        <v>1.736111111111116E-2</v>
      </c>
      <c r="G1355" t="s">
        <v>16</v>
      </c>
      <c r="H1355" t="s">
        <v>1</v>
      </c>
    </row>
    <row r="1356" spans="1:8" x14ac:dyDescent="0.3">
      <c r="A1356" s="2">
        <v>44942</v>
      </c>
      <c r="B1356" s="2" t="str">
        <f>TEXT(AutoPomodoro[[#This Row],[DATE]],"mmmm")</f>
        <v>January</v>
      </c>
      <c r="C1356" s="2" t="str">
        <f>TEXT(AutoPomodoro[[#This Row],[DATE]],"yyyy")</f>
        <v>2023</v>
      </c>
      <c r="D1356" s="8">
        <f>E1355+$T$16</f>
        <v>0.63194444444444453</v>
      </c>
      <c r="E1356" s="8">
        <f>D1356+$T$15</f>
        <v>0.64930555555555569</v>
      </c>
      <c r="F1356" s="3">
        <f t="shared" si="109"/>
        <v>1.736111111111116E-2</v>
      </c>
      <c r="G1356" t="s">
        <v>16</v>
      </c>
      <c r="H1356" t="s">
        <v>1</v>
      </c>
    </row>
    <row r="1357" spans="1:8" x14ac:dyDescent="0.3">
      <c r="A1357" s="2">
        <v>44942</v>
      </c>
      <c r="B1357" s="2" t="str">
        <f>TEXT(AutoPomodoro[[#This Row],[DATE]],"mmmm")</f>
        <v>January</v>
      </c>
      <c r="C1357" s="2" t="str">
        <f>TEXT(AutoPomodoro[[#This Row],[DATE]],"yyyy")</f>
        <v>2023</v>
      </c>
      <c r="D1357" s="8">
        <f>E1356+$T$17</f>
        <v>0.65416666666666679</v>
      </c>
      <c r="E1357" s="8">
        <v>0.68055555555555547</v>
      </c>
      <c r="F1357" s="3">
        <f t="shared" si="109"/>
        <v>2.6388888888888684E-2</v>
      </c>
      <c r="G1357" t="s">
        <v>16</v>
      </c>
      <c r="H1357" t="s">
        <v>1</v>
      </c>
    </row>
    <row r="1358" spans="1:8" x14ac:dyDescent="0.3">
      <c r="A1358" s="2">
        <v>44942</v>
      </c>
      <c r="B1358" s="2" t="str">
        <f>TEXT(AutoPomodoro[[#This Row],[DATE]],"mmmm")</f>
        <v>January</v>
      </c>
      <c r="C1358" s="2" t="str">
        <f>TEXT(AutoPomodoro[[#This Row],[DATE]],"yyyy")</f>
        <v>2023</v>
      </c>
      <c r="D1358" s="8">
        <v>0.69513888888888886</v>
      </c>
      <c r="E1358" s="8">
        <v>0.71388888888888891</v>
      </c>
      <c r="F1358" s="3">
        <f t="shared" si="109"/>
        <v>1.8750000000000044E-2</v>
      </c>
      <c r="G1358" t="s">
        <v>16</v>
      </c>
      <c r="H1358" t="s">
        <v>1</v>
      </c>
    </row>
    <row r="1359" spans="1:8" x14ac:dyDescent="0.3">
      <c r="A1359" s="2">
        <v>44942</v>
      </c>
      <c r="B1359" s="2" t="str">
        <f>TEXT(AutoPomodoro[[#This Row],[DATE]],"mmmm")</f>
        <v>January</v>
      </c>
      <c r="C1359" s="2" t="str">
        <f>TEXT(AutoPomodoro[[#This Row],[DATE]],"yyyy")</f>
        <v>2023</v>
      </c>
      <c r="D1359" s="8">
        <v>0.74305555555555547</v>
      </c>
      <c r="E1359" s="8">
        <v>0.7715277777777777</v>
      </c>
      <c r="F1359" s="3">
        <f t="shared" si="109"/>
        <v>2.8472222222222232E-2</v>
      </c>
      <c r="G1359" t="s">
        <v>16</v>
      </c>
      <c r="H1359" t="s">
        <v>1</v>
      </c>
    </row>
    <row r="1360" spans="1:8" x14ac:dyDescent="0.3">
      <c r="A1360" s="2">
        <v>44942</v>
      </c>
      <c r="B1360" s="2" t="str">
        <f>TEXT(AutoPomodoro[[#This Row],[DATE]],"mmmm")</f>
        <v>January</v>
      </c>
      <c r="C1360" s="2" t="str">
        <f>TEXT(AutoPomodoro[[#This Row],[DATE]],"yyyy")</f>
        <v>2023</v>
      </c>
      <c r="D1360" s="8">
        <v>0.95486111111111116</v>
      </c>
      <c r="E1360" s="8">
        <v>0.96527777777777779</v>
      </c>
      <c r="F1360" s="3">
        <f t="shared" si="109"/>
        <v>1.041666666666663E-2</v>
      </c>
      <c r="G1360" t="s">
        <v>0</v>
      </c>
      <c r="H1360" t="s">
        <v>1</v>
      </c>
    </row>
    <row r="1361" spans="1:8" x14ac:dyDescent="0.3">
      <c r="A1361" s="2">
        <v>44942</v>
      </c>
      <c r="B1361" s="2" t="str">
        <f>TEXT(AutoPomodoro[[#This Row],[DATE]],"mmmm")</f>
        <v>January</v>
      </c>
      <c r="C1361" s="2" t="str">
        <f>TEXT(AutoPomodoro[[#This Row],[DATE]],"yyyy")</f>
        <v>2023</v>
      </c>
      <c r="D1361" s="8">
        <v>0.96736111111111101</v>
      </c>
      <c r="E1361" s="8">
        <f>D1361+$T$15</f>
        <v>0.98472222222222217</v>
      </c>
      <c r="F1361" s="3">
        <f t="shared" si="109"/>
        <v>1.736111111111116E-2</v>
      </c>
      <c r="G1361" t="s">
        <v>16</v>
      </c>
      <c r="H1361" t="s">
        <v>1</v>
      </c>
    </row>
    <row r="1362" spans="1:8" x14ac:dyDescent="0.3">
      <c r="A1362" s="2">
        <v>44942</v>
      </c>
      <c r="B1362" s="2" t="str">
        <f>TEXT(AutoPomodoro[[#This Row],[DATE]],"mmmm")</f>
        <v>January</v>
      </c>
      <c r="C1362" s="2" t="str">
        <f>TEXT(AutoPomodoro[[#This Row],[DATE]],"yyyy")</f>
        <v>2023</v>
      </c>
      <c r="D1362" s="8">
        <f>E1361+$T$16</f>
        <v>0.98819444444444438</v>
      </c>
      <c r="E1362" s="8">
        <f>D1362+$T$15</f>
        <v>1.0055555555555555</v>
      </c>
      <c r="F1362" s="3">
        <f t="shared" si="109"/>
        <v>1.736111111111116E-2</v>
      </c>
      <c r="G1362" t="s">
        <v>16</v>
      </c>
      <c r="H1362" t="s">
        <v>1</v>
      </c>
    </row>
    <row r="1363" spans="1:8" x14ac:dyDescent="0.3">
      <c r="A1363" s="2">
        <v>44942</v>
      </c>
      <c r="B1363" s="2" t="str">
        <f>TEXT(AutoPomodoro[[#This Row],[DATE]],"mmmm")</f>
        <v>January</v>
      </c>
      <c r="C1363" s="2" t="str">
        <f>TEXT(AutoPomodoro[[#This Row],[DATE]],"yyyy")</f>
        <v>2023</v>
      </c>
      <c r="D1363" s="8">
        <f>E1362+$T$16</f>
        <v>1.0090277777777779</v>
      </c>
      <c r="E1363" s="8">
        <f>D1363+$T$15</f>
        <v>1.026388888888889</v>
      </c>
      <c r="F1363" s="3">
        <f t="shared" si="109"/>
        <v>1.736111111111116E-2</v>
      </c>
      <c r="G1363" t="s">
        <v>16</v>
      </c>
      <c r="H1363" t="s">
        <v>1</v>
      </c>
    </row>
    <row r="1364" spans="1:8" x14ac:dyDescent="0.3">
      <c r="A1364" s="2">
        <v>44942</v>
      </c>
      <c r="B1364" s="2" t="str">
        <f>TEXT(AutoPomodoro[[#This Row],[DATE]],"mmmm")</f>
        <v>January</v>
      </c>
      <c r="C1364" s="2" t="str">
        <f>TEXT(AutoPomodoro[[#This Row],[DATE]],"yyyy")</f>
        <v>2023</v>
      </c>
      <c r="D1364" s="8">
        <f>E1363+$T$17</f>
        <v>1.0312500000000002</v>
      </c>
      <c r="E1364" s="8">
        <f>D1364+$T$15</f>
        <v>1.0486111111111114</v>
      </c>
      <c r="F1364" s="3">
        <f t="shared" si="109"/>
        <v>1.736111111111116E-2</v>
      </c>
      <c r="G1364" t="s">
        <v>16</v>
      </c>
      <c r="H1364" t="s">
        <v>1</v>
      </c>
    </row>
    <row r="1365" spans="1:8" x14ac:dyDescent="0.3">
      <c r="A1365" s="2">
        <v>44942</v>
      </c>
      <c r="B1365" s="2" t="str">
        <f>TEXT(AutoPomodoro[[#This Row],[DATE]],"mmmm")</f>
        <v>January</v>
      </c>
      <c r="C1365" s="2" t="str">
        <f>TEXT(AutoPomodoro[[#This Row],[DATE]],"yyyy")</f>
        <v>2023</v>
      </c>
      <c r="D1365" s="8">
        <v>1.0486111111111114</v>
      </c>
      <c r="E1365" s="8">
        <f>D1365+M</f>
        <v>1.0590277777777781</v>
      </c>
      <c r="F1365" s="3">
        <v>1.0416666666666666E-2</v>
      </c>
      <c r="G1365" t="s">
        <v>21</v>
      </c>
      <c r="H1365" t="s">
        <v>1</v>
      </c>
    </row>
    <row r="1366" spans="1:8" x14ac:dyDescent="0.3">
      <c r="A1366" s="2">
        <v>44942</v>
      </c>
      <c r="B1366" s="2" t="str">
        <f>TEXT(AutoPomodoro[[#This Row],[DATE]],"mmmm")</f>
        <v>January</v>
      </c>
      <c r="C1366" s="2" t="str">
        <f>TEXT(AutoPomodoro[[#This Row],[DATE]],"yyyy")</f>
        <v>2023</v>
      </c>
      <c r="D1366" s="8">
        <v>1.0590277777777777</v>
      </c>
      <c r="E1366" s="8">
        <f t="shared" ref="E1366:E1371" si="110">D1366+$T$15</f>
        <v>1.0763888888888888</v>
      </c>
      <c r="F1366" s="3">
        <f>E1366-D1366</f>
        <v>1.736111111111116E-2</v>
      </c>
      <c r="G1366" t="s">
        <v>16</v>
      </c>
      <c r="H1366" t="s">
        <v>1</v>
      </c>
    </row>
    <row r="1367" spans="1:8" x14ac:dyDescent="0.3">
      <c r="A1367" s="2">
        <v>44942</v>
      </c>
      <c r="B1367" s="2" t="str">
        <f>TEXT(AutoPomodoro[[#This Row],[DATE]],"mmmm")</f>
        <v>January</v>
      </c>
      <c r="C1367" s="2" t="str">
        <f>TEXT(AutoPomodoro[[#This Row],[DATE]],"yyyy")</f>
        <v>2023</v>
      </c>
      <c r="D1367" s="8">
        <f>E1366+$T$16</f>
        <v>1.0798611111111112</v>
      </c>
      <c r="E1367" s="8">
        <f t="shared" si="110"/>
        <v>1.0972222222222223</v>
      </c>
      <c r="F1367" s="3">
        <f>E1367-D1367</f>
        <v>1.736111111111116E-2</v>
      </c>
      <c r="G1367" t="s">
        <v>16</v>
      </c>
      <c r="H1367" t="s">
        <v>1</v>
      </c>
    </row>
    <row r="1368" spans="1:8" x14ac:dyDescent="0.3">
      <c r="A1368" s="2">
        <v>44944</v>
      </c>
      <c r="B1368" s="2" t="str">
        <f>TEXT(AutoPomodoro[[#This Row],[DATE]],"mmmm")</f>
        <v>January</v>
      </c>
      <c r="C1368" s="2" t="str">
        <f>TEXT(AutoPomodoro[[#This Row],[DATE]],"yyyy")</f>
        <v>2023</v>
      </c>
      <c r="D1368" s="8">
        <v>0.66666666666666663</v>
      </c>
      <c r="E1368" s="8">
        <f t="shared" si="110"/>
        <v>0.68402777777777779</v>
      </c>
      <c r="F1368" s="3">
        <f>E1368-D1368</f>
        <v>1.736111111111116E-2</v>
      </c>
      <c r="G1368" t="s">
        <v>16</v>
      </c>
      <c r="H1368" t="s">
        <v>1</v>
      </c>
    </row>
    <row r="1369" spans="1:8" x14ac:dyDescent="0.3">
      <c r="A1369" s="2">
        <v>44944</v>
      </c>
      <c r="B1369" s="2" t="str">
        <f>TEXT(AutoPomodoro[[#This Row],[DATE]],"mmmm")</f>
        <v>January</v>
      </c>
      <c r="C1369" s="2" t="str">
        <f>TEXT(AutoPomodoro[[#This Row],[DATE]],"yyyy")</f>
        <v>2023</v>
      </c>
      <c r="D1369" s="8">
        <f>E1368+$T$16</f>
        <v>0.6875</v>
      </c>
      <c r="E1369" s="8">
        <f t="shared" si="110"/>
        <v>0.70486111111111116</v>
      </c>
      <c r="F1369" s="3">
        <f>E1369-D1369</f>
        <v>1.736111111111116E-2</v>
      </c>
      <c r="G1369" t="s">
        <v>16</v>
      </c>
      <c r="H1369" t="s">
        <v>1</v>
      </c>
    </row>
    <row r="1370" spans="1:8" x14ac:dyDescent="0.3">
      <c r="A1370" s="2">
        <v>44944</v>
      </c>
      <c r="B1370" s="2" t="str">
        <f>TEXT(AutoPomodoro[[#This Row],[DATE]],"mmmm")</f>
        <v>January</v>
      </c>
      <c r="C1370" s="2" t="str">
        <f>TEXT(AutoPomodoro[[#This Row],[DATE]],"yyyy")</f>
        <v>2023</v>
      </c>
      <c r="D1370" s="8">
        <f>E1369+$T$16</f>
        <v>0.70833333333333337</v>
      </c>
      <c r="E1370" s="8">
        <f t="shared" si="110"/>
        <v>0.72569444444444453</v>
      </c>
      <c r="F1370" s="3">
        <f>E1370-D1370</f>
        <v>1.736111111111116E-2</v>
      </c>
      <c r="G1370" t="s">
        <v>16</v>
      </c>
      <c r="H1370" t="s">
        <v>1</v>
      </c>
    </row>
    <row r="1371" spans="1:8" x14ac:dyDescent="0.3">
      <c r="A1371" s="2">
        <v>44944</v>
      </c>
      <c r="B1371" s="2" t="str">
        <f>TEXT(AutoPomodoro[[#This Row],[DATE]],"mmmm")</f>
        <v>January</v>
      </c>
      <c r="C1371" s="2" t="str">
        <f>TEXT(AutoPomodoro[[#This Row],[DATE]],"yyyy")</f>
        <v>2023</v>
      </c>
      <c r="D1371" s="8">
        <f>E1370+$T$17</f>
        <v>0.73055555555555562</v>
      </c>
      <c r="E1371" s="8">
        <f t="shared" si="110"/>
        <v>0.74791666666666679</v>
      </c>
      <c r="F1371" s="3">
        <v>1.9444444444444445E-2</v>
      </c>
      <c r="G1371" t="s">
        <v>16</v>
      </c>
      <c r="H1371" t="s">
        <v>1</v>
      </c>
    </row>
    <row r="1372" spans="1:8" x14ac:dyDescent="0.3">
      <c r="A1372" s="2">
        <v>44944</v>
      </c>
      <c r="B1372" s="2" t="str">
        <f>TEXT(AutoPomodoro[[#This Row],[DATE]],"mmmm")</f>
        <v>January</v>
      </c>
      <c r="C1372" s="2" t="str">
        <f>TEXT(AutoPomodoro[[#This Row],[DATE]],"yyyy")</f>
        <v>2023</v>
      </c>
      <c r="D1372" s="8">
        <v>0.74791666666666679</v>
      </c>
      <c r="E1372" s="8">
        <f>D1372+M</f>
        <v>0.75833333333333341</v>
      </c>
      <c r="F1372" s="3">
        <v>1.0416666666666666E-2</v>
      </c>
      <c r="G1372" t="s">
        <v>21</v>
      </c>
      <c r="H1372" t="s">
        <v>1</v>
      </c>
    </row>
    <row r="1373" spans="1:8" x14ac:dyDescent="0.3">
      <c r="A1373" s="2">
        <v>44944</v>
      </c>
      <c r="B1373" s="2" t="str">
        <f>TEXT(AutoPomodoro[[#This Row],[DATE]],"mmmm")</f>
        <v>January</v>
      </c>
      <c r="C1373" s="2" t="str">
        <f>TEXT(AutoPomodoro[[#This Row],[DATE]],"yyyy")</f>
        <v>2023</v>
      </c>
      <c r="D1373" s="8">
        <v>0.75833333333333341</v>
      </c>
      <c r="E1373" s="8">
        <f>D1373+$T$15</f>
        <v>0.77569444444444458</v>
      </c>
      <c r="F1373" s="3">
        <f>E1373-D1373</f>
        <v>1.736111111111116E-2</v>
      </c>
      <c r="G1373" t="s">
        <v>16</v>
      </c>
      <c r="H1373" t="s">
        <v>1</v>
      </c>
    </row>
    <row r="1374" spans="1:8" x14ac:dyDescent="0.3">
      <c r="A1374" s="2">
        <v>44944</v>
      </c>
      <c r="B1374" s="2" t="str">
        <f>TEXT(AutoPomodoro[[#This Row],[DATE]],"mmmm")</f>
        <v>January</v>
      </c>
      <c r="C1374" s="2" t="str">
        <f>TEXT(AutoPomodoro[[#This Row],[DATE]],"yyyy")</f>
        <v>2023</v>
      </c>
      <c r="D1374" s="8">
        <f>E1373+$T$16</f>
        <v>0.77916666666666679</v>
      </c>
      <c r="E1374" s="8">
        <f>D1374+$T$15</f>
        <v>0.79652777777777795</v>
      </c>
      <c r="F1374" s="3">
        <f>E1374-D1374</f>
        <v>1.736111111111116E-2</v>
      </c>
      <c r="G1374" t="s">
        <v>16</v>
      </c>
      <c r="H1374" t="s">
        <v>1</v>
      </c>
    </row>
    <row r="1375" spans="1:8" x14ac:dyDescent="0.3">
      <c r="A1375" s="2">
        <v>44944</v>
      </c>
      <c r="B1375" s="2" t="str">
        <f>TEXT(AutoPomodoro[[#This Row],[DATE]],"mmmm")</f>
        <v>January</v>
      </c>
      <c r="C1375" s="2" t="str">
        <f>TEXT(AutoPomodoro[[#This Row],[DATE]],"yyyy")</f>
        <v>2023</v>
      </c>
      <c r="D1375" s="8">
        <f>E1374+$T$16</f>
        <v>0.80000000000000016</v>
      </c>
      <c r="E1375" s="8">
        <f>D1375+$T$15</f>
        <v>0.81736111111111132</v>
      </c>
      <c r="F1375" s="3">
        <f>E1375-D1375</f>
        <v>1.736111111111116E-2</v>
      </c>
      <c r="G1375" t="s">
        <v>16</v>
      </c>
      <c r="H1375" t="s">
        <v>1</v>
      </c>
    </row>
    <row r="1376" spans="1:8" x14ac:dyDescent="0.3">
      <c r="A1376" s="2">
        <v>44944</v>
      </c>
      <c r="B1376" s="2" t="str">
        <f>TEXT(AutoPomodoro[[#This Row],[DATE]],"mmmm")</f>
        <v>January</v>
      </c>
      <c r="C1376" s="2" t="str">
        <f>TEXT(AutoPomodoro[[#This Row],[DATE]],"yyyy")</f>
        <v>2023</v>
      </c>
      <c r="D1376" s="8">
        <f>E1375+$T$17</f>
        <v>0.82222222222222241</v>
      </c>
      <c r="E1376" s="8">
        <f>D1376+$T$15</f>
        <v>0.83958333333333357</v>
      </c>
      <c r="F1376" s="3">
        <v>2.7777777777777776E-2</v>
      </c>
      <c r="G1376" t="s">
        <v>16</v>
      </c>
      <c r="H1376" t="s">
        <v>1</v>
      </c>
    </row>
    <row r="1377" spans="1:8" x14ac:dyDescent="0.3">
      <c r="A1377" s="2">
        <v>44944</v>
      </c>
      <c r="B1377" s="2" t="str">
        <f>TEXT(AutoPomodoro[[#This Row],[DATE]],"mmmm")</f>
        <v>January</v>
      </c>
      <c r="C1377" s="2" t="str">
        <f>TEXT(AutoPomodoro[[#This Row],[DATE]],"yyyy")</f>
        <v>2023</v>
      </c>
      <c r="D1377" s="8">
        <v>0.83958333333333357</v>
      </c>
      <c r="E1377" s="8">
        <f>D1377+M</f>
        <v>0.8500000000000002</v>
      </c>
      <c r="F1377" s="3">
        <v>1.0416666666666666E-2</v>
      </c>
      <c r="G1377" t="s">
        <v>21</v>
      </c>
      <c r="H1377" t="s">
        <v>2</v>
      </c>
    </row>
    <row r="1378" spans="1:8" x14ac:dyDescent="0.3">
      <c r="A1378" s="2">
        <v>44944</v>
      </c>
      <c r="B1378" s="2" t="str">
        <f>TEXT(AutoPomodoro[[#This Row],[DATE]],"mmmm")</f>
        <v>January</v>
      </c>
      <c r="C1378" s="2" t="str">
        <f>TEXT(AutoPomodoro[[#This Row],[DATE]],"yyyy")</f>
        <v>2023</v>
      </c>
      <c r="D1378" s="8">
        <v>0.8500000000000002</v>
      </c>
      <c r="E1378" s="8">
        <f t="shared" ref="E1378:E1383" si="111">D1378+$T$15</f>
        <v>0.86736111111111136</v>
      </c>
      <c r="F1378" s="3">
        <f>E1378-D1378</f>
        <v>1.736111111111116E-2</v>
      </c>
      <c r="G1378" t="s">
        <v>16</v>
      </c>
      <c r="H1378" t="s">
        <v>1</v>
      </c>
    </row>
    <row r="1379" spans="1:8" x14ac:dyDescent="0.3">
      <c r="A1379" s="2">
        <v>44944</v>
      </c>
      <c r="B1379" s="2" t="str">
        <f>TEXT(AutoPomodoro[[#This Row],[DATE]],"mmmm")</f>
        <v>January</v>
      </c>
      <c r="C1379" s="2" t="str">
        <f>TEXT(AutoPomodoro[[#This Row],[DATE]],"yyyy")</f>
        <v>2023</v>
      </c>
      <c r="D1379" s="8">
        <f>E1378+$T$16</f>
        <v>0.87083333333333357</v>
      </c>
      <c r="E1379" s="8">
        <f t="shared" si="111"/>
        <v>0.88819444444444473</v>
      </c>
      <c r="F1379" s="3">
        <f>E1379-D1379</f>
        <v>1.736111111111116E-2</v>
      </c>
      <c r="G1379" t="s">
        <v>16</v>
      </c>
      <c r="H1379" t="s">
        <v>2</v>
      </c>
    </row>
    <row r="1380" spans="1:8" x14ac:dyDescent="0.3">
      <c r="A1380" s="2">
        <v>44944</v>
      </c>
      <c r="B1380" s="2" t="str">
        <f>TEXT(AutoPomodoro[[#This Row],[DATE]],"mmmm")</f>
        <v>January</v>
      </c>
      <c r="C1380" s="2" t="str">
        <f>TEXT(AutoPomodoro[[#This Row],[DATE]],"yyyy")</f>
        <v>2023</v>
      </c>
      <c r="D1380" s="8">
        <f>E1379+$T$16</f>
        <v>0.89166666666666694</v>
      </c>
      <c r="E1380" s="8">
        <f t="shared" si="111"/>
        <v>0.9090277777777781</v>
      </c>
      <c r="F1380" s="3">
        <f>E1380-D1380</f>
        <v>1.736111111111116E-2</v>
      </c>
      <c r="G1380" t="s">
        <v>16</v>
      </c>
      <c r="H1380" t="s">
        <v>1</v>
      </c>
    </row>
    <row r="1381" spans="1:8" x14ac:dyDescent="0.3">
      <c r="A1381" s="2">
        <v>44944</v>
      </c>
      <c r="B1381" s="2" t="str">
        <f>TEXT(AutoPomodoro[[#This Row],[DATE]],"mmmm")</f>
        <v>January</v>
      </c>
      <c r="C1381" s="2" t="str">
        <f>TEXT(AutoPomodoro[[#This Row],[DATE]],"yyyy")</f>
        <v>2023</v>
      </c>
      <c r="D1381" s="8">
        <f>E1380+$T$17</f>
        <v>0.91388888888888919</v>
      </c>
      <c r="E1381" s="8">
        <f t="shared" si="111"/>
        <v>0.93125000000000036</v>
      </c>
      <c r="F1381" s="3">
        <v>5.5555555555555552E-2</v>
      </c>
      <c r="G1381" t="s">
        <v>16</v>
      </c>
      <c r="H1381" t="s">
        <v>1</v>
      </c>
    </row>
    <row r="1382" spans="1:8" x14ac:dyDescent="0.3">
      <c r="A1382" s="2">
        <v>44945</v>
      </c>
      <c r="B1382" s="2" t="str">
        <f>TEXT(AutoPomodoro[[#This Row],[DATE]],"mmmm")</f>
        <v>January</v>
      </c>
      <c r="C1382" s="2" t="str">
        <f>TEXT(AutoPomodoro[[#This Row],[DATE]],"yyyy")</f>
        <v>2023</v>
      </c>
      <c r="D1382" s="8">
        <v>2.0833333333333332E-2</v>
      </c>
      <c r="E1382" s="8">
        <f t="shared" si="111"/>
        <v>3.8194444444444448E-2</v>
      </c>
      <c r="F1382" s="3">
        <f>E1382-D1382</f>
        <v>1.7361111111111115E-2</v>
      </c>
      <c r="G1382" t="s">
        <v>0</v>
      </c>
      <c r="H1382" t="s">
        <v>1</v>
      </c>
    </row>
    <row r="1383" spans="1:8" x14ac:dyDescent="0.3">
      <c r="A1383" s="2">
        <v>44945</v>
      </c>
      <c r="B1383" s="2" t="str">
        <f>TEXT(AutoPomodoro[[#This Row],[DATE]],"mmmm")</f>
        <v>January</v>
      </c>
      <c r="C1383" s="2" t="str">
        <f>TEXT(AutoPomodoro[[#This Row],[DATE]],"yyyy")</f>
        <v>2023</v>
      </c>
      <c r="D1383" s="8">
        <f>E1382+$T$16</f>
        <v>4.1666666666666671E-2</v>
      </c>
      <c r="E1383" s="8">
        <f t="shared" si="111"/>
        <v>5.9027777777777783E-2</v>
      </c>
      <c r="F1383" s="3">
        <f>E1383-D1383</f>
        <v>1.7361111111111112E-2</v>
      </c>
      <c r="G1383" t="s">
        <v>16</v>
      </c>
      <c r="H1383" t="s">
        <v>1</v>
      </c>
    </row>
    <row r="1384" spans="1:8" x14ac:dyDescent="0.3">
      <c r="A1384" s="2">
        <v>44945</v>
      </c>
      <c r="B1384" s="2" t="str">
        <f>TEXT(AutoPomodoro[[#This Row],[DATE]],"mmmm")</f>
        <v>January</v>
      </c>
      <c r="C1384" s="2" t="str">
        <f>TEXT(AutoPomodoro[[#This Row],[DATE]],"yyyy")</f>
        <v>2023</v>
      </c>
      <c r="D1384" s="8">
        <f>E1383+$T$16</f>
        <v>6.25E-2</v>
      </c>
      <c r="E1384" s="8">
        <v>9.0277777777777776E-2</v>
      </c>
      <c r="F1384" s="3">
        <v>3.4722222222222224E-2</v>
      </c>
      <c r="G1384" t="s">
        <v>16</v>
      </c>
      <c r="H1384" t="s">
        <v>1</v>
      </c>
    </row>
    <row r="1385" spans="1:8" x14ac:dyDescent="0.3">
      <c r="A1385" s="2">
        <v>44945</v>
      </c>
      <c r="B1385" s="2" t="str">
        <f>TEXT(AutoPomodoro[[#This Row],[DATE]],"mmmm")</f>
        <v>January</v>
      </c>
      <c r="C1385" s="2" t="str">
        <f>TEXT(AutoPomodoro[[#This Row],[DATE]],"yyyy")</f>
        <v>2023</v>
      </c>
      <c r="D1385" s="8">
        <v>0.66666666666666663</v>
      </c>
      <c r="E1385" s="8">
        <f>D1385+$T$15</f>
        <v>0.68402777777777779</v>
      </c>
      <c r="F1385" s="3">
        <f>E1385-D1385</f>
        <v>1.736111111111116E-2</v>
      </c>
      <c r="G1385" t="s">
        <v>16</v>
      </c>
      <c r="H1385" t="s">
        <v>1</v>
      </c>
    </row>
    <row r="1386" spans="1:8" x14ac:dyDescent="0.3">
      <c r="A1386" s="2">
        <v>44945</v>
      </c>
      <c r="B1386" s="2" t="str">
        <f>TEXT(AutoPomodoro[[#This Row],[DATE]],"mmmm")</f>
        <v>January</v>
      </c>
      <c r="C1386" s="2" t="str">
        <f>TEXT(AutoPomodoro[[#This Row],[DATE]],"yyyy")</f>
        <v>2023</v>
      </c>
      <c r="D1386" s="8">
        <f>E1385+$T$16</f>
        <v>0.6875</v>
      </c>
      <c r="E1386" s="8">
        <f>D1386+$T$15</f>
        <v>0.70486111111111116</v>
      </c>
      <c r="F1386" s="3">
        <f>E1386-D1386</f>
        <v>1.736111111111116E-2</v>
      </c>
      <c r="G1386" t="s">
        <v>16</v>
      </c>
      <c r="H1386" t="s">
        <v>1</v>
      </c>
    </row>
    <row r="1387" spans="1:8" x14ac:dyDescent="0.3">
      <c r="A1387" s="2">
        <v>44945</v>
      </c>
      <c r="B1387" s="2" t="str">
        <f>TEXT(AutoPomodoro[[#This Row],[DATE]],"mmmm")</f>
        <v>January</v>
      </c>
      <c r="C1387" s="2" t="str">
        <f>TEXT(AutoPomodoro[[#This Row],[DATE]],"yyyy")</f>
        <v>2023</v>
      </c>
      <c r="D1387" s="8">
        <f>E1386+$T$16</f>
        <v>0.70833333333333337</v>
      </c>
      <c r="E1387" s="8">
        <f>D1387+$T$15</f>
        <v>0.72569444444444453</v>
      </c>
      <c r="F1387" s="3">
        <f>E1387-D1387</f>
        <v>1.736111111111116E-2</v>
      </c>
      <c r="G1387" t="s">
        <v>16</v>
      </c>
      <c r="H1387" t="s">
        <v>1</v>
      </c>
    </row>
    <row r="1388" spans="1:8" x14ac:dyDescent="0.3">
      <c r="A1388" s="2">
        <v>44945</v>
      </c>
      <c r="B1388" s="2" t="str">
        <f>TEXT(AutoPomodoro[[#This Row],[DATE]],"mmmm")</f>
        <v>January</v>
      </c>
      <c r="C1388" s="2" t="str">
        <f>TEXT(AutoPomodoro[[#This Row],[DATE]],"yyyy")</f>
        <v>2023</v>
      </c>
      <c r="D1388" s="8">
        <f>E1387+$T$17</f>
        <v>0.73055555555555562</v>
      </c>
      <c r="E1388" s="8">
        <f>D1388+$T$15</f>
        <v>0.74791666666666679</v>
      </c>
      <c r="F1388" s="3">
        <v>1.3888888888888888E-2</v>
      </c>
      <c r="G1388" t="s">
        <v>16</v>
      </c>
      <c r="H1388" t="s">
        <v>1</v>
      </c>
    </row>
    <row r="1389" spans="1:8" x14ac:dyDescent="0.3">
      <c r="A1389" s="2">
        <v>44945</v>
      </c>
      <c r="B1389" s="2" t="str">
        <f>TEXT(AutoPomodoro[[#This Row],[DATE]],"mmmm")</f>
        <v>January</v>
      </c>
      <c r="C1389" s="2" t="str">
        <f>TEXT(AutoPomodoro[[#This Row],[DATE]],"yyyy")</f>
        <v>2023</v>
      </c>
      <c r="D1389" s="8">
        <v>0.74791666666666679</v>
      </c>
      <c r="E1389" s="8">
        <f>D1389+M</f>
        <v>0.75833333333333341</v>
      </c>
      <c r="F1389" s="3">
        <v>1.0416666666666666E-2</v>
      </c>
      <c r="G1389" t="s">
        <v>21</v>
      </c>
      <c r="H1389" t="s">
        <v>1</v>
      </c>
    </row>
    <row r="1390" spans="1:8" x14ac:dyDescent="0.3">
      <c r="A1390" s="2">
        <v>44945</v>
      </c>
      <c r="B1390" s="2" t="str">
        <f>TEXT(AutoPomodoro[[#This Row],[DATE]],"mmmm")</f>
        <v>January</v>
      </c>
      <c r="C1390" s="2" t="str">
        <f>TEXT(AutoPomodoro[[#This Row],[DATE]],"yyyy")</f>
        <v>2023</v>
      </c>
      <c r="D1390" s="8">
        <v>0.75833333333333341</v>
      </c>
      <c r="E1390" s="8">
        <f>D1390+$T$15</f>
        <v>0.77569444444444458</v>
      </c>
      <c r="F1390" s="3">
        <v>1.3888888888888888E-2</v>
      </c>
      <c r="G1390" t="s">
        <v>16</v>
      </c>
      <c r="H1390" t="s">
        <v>1</v>
      </c>
    </row>
    <row r="1391" spans="1:8" x14ac:dyDescent="0.3">
      <c r="A1391" s="2">
        <v>44950</v>
      </c>
      <c r="B1391" s="2" t="str">
        <f>TEXT(AutoPomodoro[[#This Row],[DATE]],"mmmm")</f>
        <v>January</v>
      </c>
      <c r="C1391" s="2" t="str">
        <f>TEXT(AutoPomodoro[[#This Row],[DATE]],"yyyy")</f>
        <v>2023</v>
      </c>
      <c r="D1391" s="8">
        <v>0.99652777777777779</v>
      </c>
      <c r="E1391" s="8">
        <f>D1391+$T$15</f>
        <v>1.0138888888888888</v>
      </c>
      <c r="F1391" s="3">
        <v>2.0833333333333332E-2</v>
      </c>
      <c r="G1391" t="s">
        <v>16</v>
      </c>
      <c r="H1391" t="s">
        <v>1</v>
      </c>
    </row>
    <row r="1392" spans="1:8" x14ac:dyDescent="0.3">
      <c r="A1392" s="2">
        <v>44951</v>
      </c>
      <c r="B1392" s="2" t="str">
        <f>TEXT(AutoPomodoro[[#This Row],[DATE]],"mmmm")</f>
        <v>January</v>
      </c>
      <c r="C1392" s="2" t="str">
        <f>TEXT(AutoPomodoro[[#This Row],[DATE]],"yyyy")</f>
        <v>2023</v>
      </c>
      <c r="D1392" s="8">
        <v>0</v>
      </c>
      <c r="E1392" s="8">
        <v>8.3333333333333329E-2</v>
      </c>
      <c r="F1392" s="3">
        <f t="shared" ref="F1392:F1399" si="112">E1392-D1392</f>
        <v>8.3333333333333329E-2</v>
      </c>
      <c r="G1392" t="s">
        <v>16</v>
      </c>
      <c r="H1392" t="s">
        <v>1</v>
      </c>
    </row>
    <row r="1393" spans="1:8" x14ac:dyDescent="0.3">
      <c r="A1393" s="2">
        <v>44951</v>
      </c>
      <c r="B1393" s="2" t="str">
        <f>TEXT(AutoPomodoro[[#This Row],[DATE]],"mmmm")</f>
        <v>January</v>
      </c>
      <c r="C1393" s="2" t="str">
        <f>TEXT(AutoPomodoro[[#This Row],[DATE]],"yyyy")</f>
        <v>2023</v>
      </c>
      <c r="D1393" s="8">
        <v>0.91666666666666663</v>
      </c>
      <c r="E1393" s="8">
        <v>0.95833333333333337</v>
      </c>
      <c r="F1393" s="3">
        <f t="shared" si="112"/>
        <v>4.1666666666666741E-2</v>
      </c>
      <c r="G1393" t="s">
        <v>16</v>
      </c>
      <c r="H1393" t="s">
        <v>1</v>
      </c>
    </row>
    <row r="1394" spans="1:8" x14ac:dyDescent="0.3">
      <c r="A1394" s="2">
        <v>44951</v>
      </c>
      <c r="B1394" s="2" t="str">
        <f>TEXT(AutoPomodoro[[#This Row],[DATE]],"mmmm")</f>
        <v>January</v>
      </c>
      <c r="C1394" s="2" t="str">
        <f>TEXT(AutoPomodoro[[#This Row],[DATE]],"yyyy")</f>
        <v>2023</v>
      </c>
      <c r="D1394" s="8">
        <v>0.96319444444444446</v>
      </c>
      <c r="E1394" s="8">
        <f>D1394+$T$15</f>
        <v>0.98055555555555562</v>
      </c>
      <c r="F1394" s="3">
        <f t="shared" si="112"/>
        <v>1.736111111111116E-2</v>
      </c>
      <c r="G1394" t="s">
        <v>16</v>
      </c>
      <c r="H1394" t="s">
        <v>1</v>
      </c>
    </row>
    <row r="1395" spans="1:8" x14ac:dyDescent="0.3">
      <c r="A1395" s="2">
        <v>44951</v>
      </c>
      <c r="B1395" s="2" t="str">
        <f>TEXT(AutoPomodoro[[#This Row],[DATE]],"mmmm")</f>
        <v>January</v>
      </c>
      <c r="C1395" s="2" t="str">
        <f>TEXT(AutoPomodoro[[#This Row],[DATE]],"yyyy")</f>
        <v>2023</v>
      </c>
      <c r="D1395" s="8">
        <f>E1394+$T$16</f>
        <v>0.98402777777777783</v>
      </c>
      <c r="E1395" s="8">
        <f>D1395+$T$15</f>
        <v>1.0013888888888889</v>
      </c>
      <c r="F1395" s="3">
        <f t="shared" si="112"/>
        <v>1.7361111111111049E-2</v>
      </c>
      <c r="G1395" t="s">
        <v>16</v>
      </c>
      <c r="H1395" t="s">
        <v>1</v>
      </c>
    </row>
    <row r="1396" spans="1:8" x14ac:dyDescent="0.3">
      <c r="A1396" s="2">
        <v>44951</v>
      </c>
      <c r="B1396" s="2" t="str">
        <f>TEXT(AutoPomodoro[[#This Row],[DATE]],"mmmm")</f>
        <v>January</v>
      </c>
      <c r="C1396" s="2" t="str">
        <f>TEXT(AutoPomodoro[[#This Row],[DATE]],"yyyy")</f>
        <v>2023</v>
      </c>
      <c r="D1396" s="8">
        <f>E1395+$T$16</f>
        <v>1.0048611111111112</v>
      </c>
      <c r="E1396" s="8">
        <f>D1396+$T$15</f>
        <v>1.0222222222222224</v>
      </c>
      <c r="F1396" s="3">
        <f t="shared" si="112"/>
        <v>1.736111111111116E-2</v>
      </c>
      <c r="G1396" t="s">
        <v>16</v>
      </c>
      <c r="H1396" t="s">
        <v>1</v>
      </c>
    </row>
    <row r="1397" spans="1:8" x14ac:dyDescent="0.3">
      <c r="A1397" s="2">
        <v>44952</v>
      </c>
      <c r="B1397" s="2" t="str">
        <f>TEXT(AutoPomodoro[[#This Row],[DATE]],"mmmm")</f>
        <v>January</v>
      </c>
      <c r="C1397" s="2" t="str">
        <f>TEXT(AutoPomodoro[[#This Row],[DATE]],"yyyy")</f>
        <v>2023</v>
      </c>
      <c r="D1397" s="8">
        <v>5.4166666666666669E-2</v>
      </c>
      <c r="E1397" s="8">
        <v>0.13333333333333333</v>
      </c>
      <c r="F1397" s="3">
        <f t="shared" si="112"/>
        <v>7.9166666666666663E-2</v>
      </c>
      <c r="G1397" t="s">
        <v>19</v>
      </c>
      <c r="H1397" t="s">
        <v>1</v>
      </c>
    </row>
    <row r="1398" spans="1:8" x14ac:dyDescent="0.3">
      <c r="A1398" s="2">
        <v>44952</v>
      </c>
      <c r="B1398" s="2" t="str">
        <f>TEXT(AutoPomodoro[[#This Row],[DATE]],"mmmm")</f>
        <v>January</v>
      </c>
      <c r="C1398" s="2" t="str">
        <f>TEXT(AutoPomodoro[[#This Row],[DATE]],"yyyy")</f>
        <v>2023</v>
      </c>
      <c r="D1398" s="8">
        <v>0.65972222222222221</v>
      </c>
      <c r="E1398" s="8">
        <v>0.69444444444444453</v>
      </c>
      <c r="F1398" s="3">
        <f t="shared" si="112"/>
        <v>3.4722222222222321E-2</v>
      </c>
      <c r="G1398" t="s">
        <v>16</v>
      </c>
      <c r="H1398" t="s">
        <v>1</v>
      </c>
    </row>
    <row r="1399" spans="1:8" x14ac:dyDescent="0.3">
      <c r="A1399" s="2">
        <v>44952</v>
      </c>
      <c r="B1399" s="2" t="str">
        <f>TEXT(AutoPomodoro[[#This Row],[DATE]],"mmmm")</f>
        <v>January</v>
      </c>
      <c r="C1399" s="2" t="str">
        <f>TEXT(AutoPomodoro[[#This Row],[DATE]],"yyyy")</f>
        <v>2023</v>
      </c>
      <c r="D1399" s="8">
        <v>0.69930555555555562</v>
      </c>
      <c r="E1399" s="8">
        <f>D1399+$T$15</f>
        <v>0.71666666666666679</v>
      </c>
      <c r="F1399" s="3">
        <f t="shared" si="112"/>
        <v>1.736111111111116E-2</v>
      </c>
      <c r="G1399" t="s">
        <v>16</v>
      </c>
      <c r="H1399" t="s">
        <v>1</v>
      </c>
    </row>
    <row r="1400" spans="1:8" x14ac:dyDescent="0.3">
      <c r="A1400" s="2">
        <v>44952</v>
      </c>
      <c r="B1400" s="2" t="str">
        <f>TEXT(AutoPomodoro[[#This Row],[DATE]],"mmmm")</f>
        <v>January</v>
      </c>
      <c r="C1400" s="2" t="str">
        <f>TEXT(AutoPomodoro[[#This Row],[DATE]],"yyyy")</f>
        <v>2023</v>
      </c>
      <c r="D1400" s="8">
        <f>E1399+$T$16</f>
        <v>0.72013888888888899</v>
      </c>
      <c r="E1400" s="8">
        <f>D1400+$T$15</f>
        <v>0.73750000000000016</v>
      </c>
      <c r="F1400" s="3">
        <v>1.3888888888888888E-2</v>
      </c>
      <c r="G1400" t="s">
        <v>16</v>
      </c>
      <c r="H1400" t="s">
        <v>1</v>
      </c>
    </row>
    <row r="1401" spans="1:8" x14ac:dyDescent="0.3">
      <c r="A1401" s="2">
        <v>44952</v>
      </c>
      <c r="B1401" s="2" t="str">
        <f>TEXT(AutoPomodoro[[#This Row],[DATE]],"mmmm")</f>
        <v>January</v>
      </c>
      <c r="C1401" s="2" t="str">
        <f>TEXT(AutoPomodoro[[#This Row],[DATE]],"yyyy")</f>
        <v>2023</v>
      </c>
      <c r="D1401" s="8">
        <f>E1400+$T$16</f>
        <v>0.74097222222222237</v>
      </c>
      <c r="E1401" s="8">
        <f>D1401+$T$15</f>
        <v>0.75833333333333353</v>
      </c>
      <c r="F1401" s="3">
        <v>1.8749999999999999E-2</v>
      </c>
      <c r="G1401" t="s">
        <v>16</v>
      </c>
      <c r="H1401" t="s">
        <v>1</v>
      </c>
    </row>
    <row r="1402" spans="1:8" x14ac:dyDescent="0.3">
      <c r="A1402" s="2">
        <v>44953</v>
      </c>
      <c r="B1402" s="2" t="str">
        <f>TEXT(AutoPomodoro[[#This Row],[DATE]],"mmmm")</f>
        <v>January</v>
      </c>
      <c r="C1402" s="2" t="str">
        <f>TEXT(AutoPomodoro[[#This Row],[DATE]],"yyyy")</f>
        <v>2023</v>
      </c>
      <c r="D1402" s="8">
        <v>0.69097222222222221</v>
      </c>
      <c r="E1402" s="8">
        <v>0.70138888888888884</v>
      </c>
      <c r="F1402" s="3">
        <f>E1402-D1402</f>
        <v>1.041666666666663E-2</v>
      </c>
      <c r="G1402" t="s">
        <v>0</v>
      </c>
      <c r="H1402" t="s">
        <v>1</v>
      </c>
    </row>
    <row r="1403" spans="1:8" x14ac:dyDescent="0.3">
      <c r="A1403" s="2">
        <v>44953</v>
      </c>
      <c r="B1403" s="2" t="str">
        <f>TEXT(AutoPomodoro[[#This Row],[DATE]],"mmmm")</f>
        <v>January</v>
      </c>
      <c r="C1403" s="2" t="str">
        <f>TEXT(AutoPomodoro[[#This Row],[DATE]],"yyyy")</f>
        <v>2023</v>
      </c>
      <c r="D1403" s="8">
        <v>0.70347222222222217</v>
      </c>
      <c r="E1403" s="8">
        <v>0.73819444444444438</v>
      </c>
      <c r="F1403" s="3">
        <f>E1403-D1403</f>
        <v>3.472222222222221E-2</v>
      </c>
      <c r="G1403" t="s">
        <v>16</v>
      </c>
      <c r="H1403" t="s">
        <v>1</v>
      </c>
    </row>
    <row r="1404" spans="1:8" x14ac:dyDescent="0.3">
      <c r="A1404" s="2">
        <v>44953</v>
      </c>
      <c r="B1404" s="2" t="str">
        <f>TEXT(AutoPomodoro[[#This Row],[DATE]],"mmmm")</f>
        <v>January</v>
      </c>
      <c r="C1404" s="2" t="str">
        <f>TEXT(AutoPomodoro[[#This Row],[DATE]],"yyyy")</f>
        <v>2023</v>
      </c>
      <c r="D1404" s="8">
        <v>0.74305555555555547</v>
      </c>
      <c r="E1404" s="8">
        <f>D1404+$T$15</f>
        <v>0.76041666666666663</v>
      </c>
      <c r="F1404" s="3">
        <f>E1404-D1404</f>
        <v>1.736111111111116E-2</v>
      </c>
      <c r="G1404" t="s">
        <v>16</v>
      </c>
      <c r="H1404" t="s">
        <v>1</v>
      </c>
    </row>
    <row r="1405" spans="1:8" x14ac:dyDescent="0.3">
      <c r="A1405" s="2">
        <v>44953</v>
      </c>
      <c r="B1405" s="2" t="str">
        <f>TEXT(AutoPomodoro[[#This Row],[DATE]],"mmmm")</f>
        <v>January</v>
      </c>
      <c r="C1405" s="2" t="str">
        <f>TEXT(AutoPomodoro[[#This Row],[DATE]],"yyyy")</f>
        <v>2023</v>
      </c>
      <c r="D1405" s="8">
        <f>E1404+$T$16</f>
        <v>0.76388888888888884</v>
      </c>
      <c r="E1405" s="8">
        <f>D1405+$T$15</f>
        <v>0.78125</v>
      </c>
      <c r="F1405" s="3">
        <v>9.0277777777777787E-3</v>
      </c>
      <c r="G1405" t="s">
        <v>16</v>
      </c>
      <c r="H1405" t="s">
        <v>1</v>
      </c>
    </row>
    <row r="1406" spans="1:8" x14ac:dyDescent="0.3">
      <c r="A1406" s="2">
        <v>44955</v>
      </c>
      <c r="B1406" s="2" t="str">
        <f>TEXT(AutoPomodoro[[#This Row],[DATE]],"mmmm")</f>
        <v>January</v>
      </c>
      <c r="C1406" s="2" t="str">
        <f>TEXT(AutoPomodoro[[#This Row],[DATE]],"yyyy")</f>
        <v>2023</v>
      </c>
      <c r="D1406" s="8">
        <v>0.61458333333333337</v>
      </c>
      <c r="E1406" s="8">
        <v>0.65625</v>
      </c>
      <c r="F1406" s="3">
        <v>3.888888888888889E-2</v>
      </c>
      <c r="G1406" t="s">
        <v>16</v>
      </c>
      <c r="H1406" t="s">
        <v>1</v>
      </c>
    </row>
    <row r="1407" spans="1:8" x14ac:dyDescent="0.3">
      <c r="A1407" s="2">
        <v>44955</v>
      </c>
      <c r="B1407" s="2" t="str">
        <f>TEXT(AutoPomodoro[[#This Row],[DATE]],"mmmm")</f>
        <v>January</v>
      </c>
      <c r="C1407" s="2" t="str">
        <f>TEXT(AutoPomodoro[[#This Row],[DATE]],"yyyy")</f>
        <v>2023</v>
      </c>
      <c r="D1407" s="8">
        <v>0.66111111111111109</v>
      </c>
      <c r="E1407" s="8">
        <f>D1407+$T$15</f>
        <v>0.67847222222222225</v>
      </c>
      <c r="F1407" s="3">
        <f>E1407-D1407</f>
        <v>1.736111111111116E-2</v>
      </c>
      <c r="G1407" t="s">
        <v>16</v>
      </c>
      <c r="H1407" t="s">
        <v>1</v>
      </c>
    </row>
    <row r="1408" spans="1:8" x14ac:dyDescent="0.3">
      <c r="A1408" s="2">
        <v>44955</v>
      </c>
      <c r="B1408" s="2" t="str">
        <f>TEXT(AutoPomodoro[[#This Row],[DATE]],"mmmm")</f>
        <v>January</v>
      </c>
      <c r="C1408" s="2" t="str">
        <f>TEXT(AutoPomodoro[[#This Row],[DATE]],"yyyy")</f>
        <v>2023</v>
      </c>
      <c r="D1408" s="8">
        <f>E1407+$T$16</f>
        <v>0.68194444444444446</v>
      </c>
      <c r="E1408" s="8">
        <f>D1408+$T$15</f>
        <v>0.69930555555555562</v>
      </c>
      <c r="F1408" s="3">
        <v>1.0416666666666666E-2</v>
      </c>
      <c r="G1408" t="s">
        <v>16</v>
      </c>
      <c r="H1408" t="s">
        <v>1</v>
      </c>
    </row>
    <row r="1409" spans="1:8" x14ac:dyDescent="0.3">
      <c r="A1409" s="2">
        <v>44957</v>
      </c>
      <c r="B1409" s="2" t="str">
        <f>TEXT(AutoPomodoro[[#This Row],[DATE]],"mmmm")</f>
        <v>January</v>
      </c>
      <c r="C1409" s="2" t="str">
        <f>TEXT(AutoPomodoro[[#This Row],[DATE]],"yyyy")</f>
        <v>2023</v>
      </c>
      <c r="D1409" s="8">
        <v>6.2499999999999995E-3</v>
      </c>
      <c r="E1409" s="8">
        <v>2.5694444444444447E-2</v>
      </c>
      <c r="F1409" s="3">
        <f t="shared" ref="F1409:F1416" si="113">E1409-D1409</f>
        <v>1.9444444444444448E-2</v>
      </c>
      <c r="G1409" t="s">
        <v>16</v>
      </c>
      <c r="H1409" t="s">
        <v>1</v>
      </c>
    </row>
    <row r="1410" spans="1:8" x14ac:dyDescent="0.3">
      <c r="A1410" s="2">
        <v>44957</v>
      </c>
      <c r="B1410" s="2" t="str">
        <f>TEXT(AutoPomodoro[[#This Row],[DATE]],"mmmm")</f>
        <v>January</v>
      </c>
      <c r="C1410" s="2" t="str">
        <f>TEXT(AutoPomodoro[[#This Row],[DATE]],"yyyy")</f>
        <v>2023</v>
      </c>
      <c r="D1410" s="8">
        <v>3.125E-2</v>
      </c>
      <c r="E1410" s="8">
        <v>4.3750000000000004E-2</v>
      </c>
      <c r="F1410" s="3">
        <f t="shared" si="113"/>
        <v>1.2500000000000004E-2</v>
      </c>
      <c r="G1410" t="s">
        <v>16</v>
      </c>
      <c r="H1410" t="s">
        <v>1</v>
      </c>
    </row>
    <row r="1411" spans="1:8" x14ac:dyDescent="0.3">
      <c r="A1411" s="2">
        <v>44957</v>
      </c>
      <c r="B1411" s="2" t="str">
        <f>TEXT(AutoPomodoro[[#This Row],[DATE]],"mmmm")</f>
        <v>January</v>
      </c>
      <c r="C1411" s="2" t="str">
        <f>TEXT(AutoPomodoro[[#This Row],[DATE]],"yyyy")</f>
        <v>2023</v>
      </c>
      <c r="D1411" s="8">
        <v>5.4166666666666669E-2</v>
      </c>
      <c r="E1411" s="8">
        <v>9.0277777777777776E-2</v>
      </c>
      <c r="F1411" s="3">
        <f t="shared" si="113"/>
        <v>3.6111111111111108E-2</v>
      </c>
      <c r="G1411" t="s">
        <v>16</v>
      </c>
      <c r="H1411" t="s">
        <v>1</v>
      </c>
    </row>
    <row r="1412" spans="1:8" x14ac:dyDescent="0.3">
      <c r="A1412" s="2">
        <v>44957</v>
      </c>
      <c r="B1412" s="2" t="str">
        <f>TEXT(AutoPomodoro[[#This Row],[DATE]],"mmmm")</f>
        <v>January</v>
      </c>
      <c r="C1412" s="2" t="str">
        <f>TEXT(AutoPomodoro[[#This Row],[DATE]],"yyyy")</f>
        <v>2023</v>
      </c>
      <c r="D1412" s="8">
        <v>0.77569444444444446</v>
      </c>
      <c r="E1412" s="8">
        <v>0.80069444444444438</v>
      </c>
      <c r="F1412" s="3">
        <f t="shared" si="113"/>
        <v>2.4999999999999911E-2</v>
      </c>
      <c r="G1412" t="s">
        <v>16</v>
      </c>
      <c r="H1412" t="s">
        <v>1</v>
      </c>
    </row>
    <row r="1413" spans="1:8" x14ac:dyDescent="0.3">
      <c r="A1413" s="2">
        <v>44958</v>
      </c>
      <c r="B1413" s="2" t="str">
        <f>TEXT(AutoPomodoro[[#This Row],[DATE]],"mmmm")</f>
        <v>February</v>
      </c>
      <c r="C1413" s="2" t="str">
        <f>TEXT(AutoPomodoro[[#This Row],[DATE]],"yyyy")</f>
        <v>2023</v>
      </c>
      <c r="D1413" s="8">
        <v>4.1666666666666666E-3</v>
      </c>
      <c r="E1413" s="8">
        <v>4.6527777777777779E-2</v>
      </c>
      <c r="F1413" s="3">
        <f t="shared" si="113"/>
        <v>4.2361111111111113E-2</v>
      </c>
      <c r="G1413" t="s">
        <v>16</v>
      </c>
      <c r="H1413" t="s">
        <v>1</v>
      </c>
    </row>
    <row r="1414" spans="1:8" x14ac:dyDescent="0.3">
      <c r="A1414" s="2">
        <v>44958</v>
      </c>
      <c r="B1414" s="2" t="str">
        <f>TEXT(AutoPomodoro[[#This Row],[DATE]],"mmmm")</f>
        <v>February</v>
      </c>
      <c r="C1414" s="2" t="str">
        <f>TEXT(AutoPomodoro[[#This Row],[DATE]],"yyyy")</f>
        <v>2023</v>
      </c>
      <c r="D1414" s="8">
        <v>0.61805555555555558</v>
      </c>
      <c r="E1414" s="8">
        <f>D1414+$T$15</f>
        <v>0.63541666666666674</v>
      </c>
      <c r="F1414" s="3">
        <f t="shared" si="113"/>
        <v>1.736111111111116E-2</v>
      </c>
      <c r="G1414" t="s">
        <v>16</v>
      </c>
      <c r="H1414" t="s">
        <v>1</v>
      </c>
    </row>
    <row r="1415" spans="1:8" x14ac:dyDescent="0.3">
      <c r="A1415" s="2">
        <v>44958</v>
      </c>
      <c r="B1415" s="2" t="str">
        <f>TEXT(AutoPomodoro[[#This Row],[DATE]],"mmmm")</f>
        <v>February</v>
      </c>
      <c r="C1415" s="2" t="str">
        <f>TEXT(AutoPomodoro[[#This Row],[DATE]],"yyyy")</f>
        <v>2023</v>
      </c>
      <c r="D1415" s="8">
        <f>E1414+$T$16</f>
        <v>0.63888888888888895</v>
      </c>
      <c r="E1415" s="8">
        <f>D1415+$T$15</f>
        <v>0.65625000000000011</v>
      </c>
      <c r="F1415" s="3">
        <f t="shared" si="113"/>
        <v>1.736111111111116E-2</v>
      </c>
      <c r="G1415" t="s">
        <v>16</v>
      </c>
      <c r="H1415" t="s">
        <v>1</v>
      </c>
    </row>
    <row r="1416" spans="1:8" x14ac:dyDescent="0.3">
      <c r="A1416" s="2">
        <v>44958</v>
      </c>
      <c r="B1416" s="2" t="str">
        <f>TEXT(AutoPomodoro[[#This Row],[DATE]],"mmmm")</f>
        <v>February</v>
      </c>
      <c r="C1416" s="2" t="str">
        <f>TEXT(AutoPomodoro[[#This Row],[DATE]],"yyyy")</f>
        <v>2023</v>
      </c>
      <c r="D1416" s="8">
        <f>E1415+$T$16</f>
        <v>0.65972222222222232</v>
      </c>
      <c r="E1416" s="8">
        <f>D1416+$T$15</f>
        <v>0.67708333333333348</v>
      </c>
      <c r="F1416" s="3">
        <f t="shared" si="113"/>
        <v>1.736111111111116E-2</v>
      </c>
      <c r="G1416" t="s">
        <v>16</v>
      </c>
      <c r="H1416" t="s">
        <v>1</v>
      </c>
    </row>
    <row r="1417" spans="1:8" x14ac:dyDescent="0.3">
      <c r="A1417" s="2">
        <v>44958</v>
      </c>
      <c r="B1417" s="2" t="str">
        <f>TEXT(AutoPomodoro[[#This Row],[DATE]],"mmmm")</f>
        <v>February</v>
      </c>
      <c r="C1417" s="2" t="str">
        <f>TEXT(AutoPomodoro[[#This Row],[DATE]],"yyyy")</f>
        <v>2023</v>
      </c>
      <c r="D1417" s="8">
        <f>E1416+$T$17</f>
        <v>0.68194444444444458</v>
      </c>
      <c r="E1417" s="8">
        <f>D1417+$T$15</f>
        <v>0.69930555555555574</v>
      </c>
      <c r="F1417" s="3">
        <v>2.0833333333333332E-2</v>
      </c>
      <c r="G1417" t="s">
        <v>16</v>
      </c>
      <c r="H1417" t="s">
        <v>1</v>
      </c>
    </row>
    <row r="1418" spans="1:8" x14ac:dyDescent="0.3">
      <c r="A1418" s="2">
        <v>44958</v>
      </c>
      <c r="B1418" s="2" t="str">
        <f>TEXT(AutoPomodoro[[#This Row],[DATE]],"mmmm")</f>
        <v>February</v>
      </c>
      <c r="C1418" s="2" t="str">
        <f>TEXT(AutoPomodoro[[#This Row],[DATE]],"yyyy")</f>
        <v>2023</v>
      </c>
      <c r="D1418" s="8">
        <v>0.69930555555555574</v>
      </c>
      <c r="E1418" s="8">
        <f>D1418+M</f>
        <v>0.70972222222222237</v>
      </c>
      <c r="F1418" s="3">
        <v>1.0416666666666666E-2</v>
      </c>
      <c r="G1418" t="s">
        <v>21</v>
      </c>
      <c r="H1418" t="s">
        <v>1</v>
      </c>
    </row>
    <row r="1419" spans="1:8" x14ac:dyDescent="0.3">
      <c r="A1419" s="2">
        <v>44958</v>
      </c>
      <c r="B1419" s="2" t="str">
        <f>TEXT(AutoPomodoro[[#This Row],[DATE]],"mmmm")</f>
        <v>February</v>
      </c>
      <c r="C1419" s="2" t="str">
        <f>TEXT(AutoPomodoro[[#This Row],[DATE]],"yyyy")</f>
        <v>2023</v>
      </c>
      <c r="D1419" s="8">
        <v>0.70972222222222237</v>
      </c>
      <c r="E1419" s="8">
        <f>D1419+$T$15</f>
        <v>0.72708333333333353</v>
      </c>
      <c r="F1419" s="3">
        <v>2.1527777777777781E-2</v>
      </c>
      <c r="G1419" t="s">
        <v>16</v>
      </c>
      <c r="H1419" t="s">
        <v>1</v>
      </c>
    </row>
    <row r="1420" spans="1:8" x14ac:dyDescent="0.3">
      <c r="A1420" s="2">
        <v>44958</v>
      </c>
      <c r="B1420" s="2" t="str">
        <f>TEXT(AutoPomodoro[[#This Row],[DATE]],"mmmm")</f>
        <v>February</v>
      </c>
      <c r="C1420" s="2" t="str">
        <f>TEXT(AutoPomodoro[[#This Row],[DATE]],"yyyy")</f>
        <v>2023</v>
      </c>
      <c r="D1420" s="8">
        <f>E1419+$T$16</f>
        <v>0.73055555555555574</v>
      </c>
      <c r="E1420" s="8">
        <f>D1420+$T$15</f>
        <v>0.7479166666666669</v>
      </c>
      <c r="F1420" s="3">
        <f>E1420-D1420</f>
        <v>1.736111111111116E-2</v>
      </c>
      <c r="G1420" t="s">
        <v>16</v>
      </c>
      <c r="H1420" t="s">
        <v>2</v>
      </c>
    </row>
    <row r="1421" spans="1:8" x14ac:dyDescent="0.3">
      <c r="A1421" s="2">
        <v>44958</v>
      </c>
      <c r="B1421" s="2" t="str">
        <f>TEXT(AutoPomodoro[[#This Row],[DATE]],"mmmm")</f>
        <v>February</v>
      </c>
      <c r="C1421" s="2" t="str">
        <f>TEXT(AutoPomodoro[[#This Row],[DATE]],"yyyy")</f>
        <v>2023</v>
      </c>
      <c r="D1421" s="8">
        <f>E1420+$T$16</f>
        <v>0.75138888888888911</v>
      </c>
      <c r="E1421" s="8">
        <f>D1421+$T$15</f>
        <v>0.76875000000000027</v>
      </c>
      <c r="F1421" s="3">
        <f>E1421-D1421</f>
        <v>1.736111111111116E-2</v>
      </c>
      <c r="G1421" t="s">
        <v>16</v>
      </c>
      <c r="H1421" t="s">
        <v>1</v>
      </c>
    </row>
    <row r="1422" spans="1:8" x14ac:dyDescent="0.3">
      <c r="A1422" s="2">
        <v>44958</v>
      </c>
      <c r="B1422" s="2" t="str">
        <f>TEXT(AutoPomodoro[[#This Row],[DATE]],"mmmm")</f>
        <v>February</v>
      </c>
      <c r="C1422" s="2" t="str">
        <f>TEXT(AutoPomodoro[[#This Row],[DATE]],"yyyy")</f>
        <v>2023</v>
      </c>
      <c r="D1422" s="8">
        <f>E1421+$T$17</f>
        <v>0.77361111111111136</v>
      </c>
      <c r="E1422" s="8">
        <f>D1422+$T$15</f>
        <v>0.79097222222222252</v>
      </c>
      <c r="F1422" s="3">
        <f>E1422-D1422</f>
        <v>1.736111111111116E-2</v>
      </c>
      <c r="G1422" t="s">
        <v>16</v>
      </c>
      <c r="H1422" t="s">
        <v>1</v>
      </c>
    </row>
    <row r="1423" spans="1:8" x14ac:dyDescent="0.3">
      <c r="A1423" s="2">
        <v>44958</v>
      </c>
      <c r="B1423" s="2" t="str">
        <f>TEXT(AutoPomodoro[[#This Row],[DATE]],"mmmm")</f>
        <v>February</v>
      </c>
      <c r="C1423" s="2" t="str">
        <f>TEXT(AutoPomodoro[[#This Row],[DATE]],"yyyy")</f>
        <v>2023</v>
      </c>
      <c r="D1423" s="8">
        <v>0.79097222222222252</v>
      </c>
      <c r="E1423" s="8">
        <f>D1423+M</f>
        <v>0.80138888888888915</v>
      </c>
      <c r="F1423" s="3">
        <v>1.0416666666666666E-2</v>
      </c>
      <c r="G1423" t="s">
        <v>21</v>
      </c>
      <c r="H1423" t="s">
        <v>1</v>
      </c>
    </row>
    <row r="1424" spans="1:8" x14ac:dyDescent="0.3">
      <c r="A1424" s="2">
        <v>44958</v>
      </c>
      <c r="B1424" s="2" t="str">
        <f>TEXT(AutoPomodoro[[#This Row],[DATE]],"mmmm")</f>
        <v>February</v>
      </c>
      <c r="C1424" s="2" t="str">
        <f>TEXT(AutoPomodoro[[#This Row],[DATE]],"yyyy")</f>
        <v>2023</v>
      </c>
      <c r="D1424" s="8">
        <v>0.80138888888888915</v>
      </c>
      <c r="E1424" s="8">
        <f>D1424+$T$15</f>
        <v>0.81875000000000031</v>
      </c>
      <c r="F1424" s="3">
        <f>E1424-D1424</f>
        <v>1.736111111111116E-2</v>
      </c>
      <c r="G1424" t="s">
        <v>16</v>
      </c>
      <c r="H1424" t="s">
        <v>1</v>
      </c>
    </row>
    <row r="1425" spans="1:8" x14ac:dyDescent="0.3">
      <c r="A1425" s="2">
        <v>44958</v>
      </c>
      <c r="B1425" s="2" t="str">
        <f>TEXT(AutoPomodoro[[#This Row],[DATE]],"mmmm")</f>
        <v>February</v>
      </c>
      <c r="C1425" s="2" t="str">
        <f>TEXT(AutoPomodoro[[#This Row],[DATE]],"yyyy")</f>
        <v>2023</v>
      </c>
      <c r="D1425" s="8">
        <f>E1424+$T$16</f>
        <v>0.82222222222222252</v>
      </c>
      <c r="E1425" s="8">
        <f>D1425+$T$15</f>
        <v>0.83958333333333368</v>
      </c>
      <c r="F1425" s="3">
        <v>2.2222222222222223E-2</v>
      </c>
      <c r="G1425" t="s">
        <v>16</v>
      </c>
      <c r="H1425" t="s">
        <v>1</v>
      </c>
    </row>
    <row r="1426" spans="1:8" x14ac:dyDescent="0.3">
      <c r="A1426" s="2">
        <v>44959</v>
      </c>
      <c r="B1426" s="2" t="str">
        <f>TEXT(AutoPomodoro[[#This Row],[DATE]],"mmmm")</f>
        <v>February</v>
      </c>
      <c r="C1426" s="2" t="str">
        <f>TEXT(AutoPomodoro[[#This Row],[DATE]],"yyyy")</f>
        <v>2023</v>
      </c>
      <c r="D1426" s="8">
        <v>0.55208333333333337</v>
      </c>
      <c r="E1426" s="8">
        <v>0.5625</v>
      </c>
      <c r="F1426" s="3">
        <f>E1426-D1426</f>
        <v>1.041666666666663E-2</v>
      </c>
      <c r="G1426" t="s">
        <v>0</v>
      </c>
      <c r="H1426" t="s">
        <v>1</v>
      </c>
    </row>
    <row r="1427" spans="1:8" x14ac:dyDescent="0.3">
      <c r="A1427" s="2">
        <v>44959</v>
      </c>
      <c r="B1427" s="2" t="str">
        <f>TEXT(AutoPomodoro[[#This Row],[DATE]],"mmmm")</f>
        <v>February</v>
      </c>
      <c r="C1427" s="2" t="str">
        <f>TEXT(AutoPomodoro[[#This Row],[DATE]],"yyyy")</f>
        <v>2023</v>
      </c>
      <c r="D1427" s="8">
        <v>0.56458333333333333</v>
      </c>
      <c r="E1427" s="8">
        <f>D1427+$T$15</f>
        <v>0.58194444444444449</v>
      </c>
      <c r="F1427" s="3">
        <f>E1427-D1427</f>
        <v>1.736111111111116E-2</v>
      </c>
      <c r="G1427" t="s">
        <v>16</v>
      </c>
      <c r="H1427" t="s">
        <v>1</v>
      </c>
    </row>
    <row r="1428" spans="1:8" x14ac:dyDescent="0.3">
      <c r="A1428" s="2">
        <v>44959</v>
      </c>
      <c r="B1428" s="2" t="str">
        <f>TEXT(AutoPomodoro[[#This Row],[DATE]],"mmmm")</f>
        <v>February</v>
      </c>
      <c r="C1428" s="2" t="str">
        <f>TEXT(AutoPomodoro[[#This Row],[DATE]],"yyyy")</f>
        <v>2023</v>
      </c>
      <c r="D1428" s="8">
        <f>E1427+$T$16</f>
        <v>0.5854166666666667</v>
      </c>
      <c r="E1428" s="8">
        <f>D1428+$T$15</f>
        <v>0.60277777777777786</v>
      </c>
      <c r="F1428" s="3">
        <f>E1428-D1428</f>
        <v>1.736111111111116E-2</v>
      </c>
      <c r="G1428" t="s">
        <v>16</v>
      </c>
      <c r="H1428" t="s">
        <v>1</v>
      </c>
    </row>
    <row r="1429" spans="1:8" x14ac:dyDescent="0.3">
      <c r="A1429" s="2">
        <v>44959</v>
      </c>
      <c r="B1429" s="2" t="str">
        <f>TEXT(AutoPomodoro[[#This Row],[DATE]],"mmmm")</f>
        <v>February</v>
      </c>
      <c r="C1429" s="2" t="str">
        <f>TEXT(AutoPomodoro[[#This Row],[DATE]],"yyyy")</f>
        <v>2023</v>
      </c>
      <c r="D1429" s="8">
        <f>E1428+$T$16</f>
        <v>0.60625000000000007</v>
      </c>
      <c r="E1429" s="8">
        <f>D1429+$T$15</f>
        <v>0.62361111111111123</v>
      </c>
      <c r="F1429" s="3">
        <f>E1429-D1429</f>
        <v>1.736111111111116E-2</v>
      </c>
      <c r="G1429" t="s">
        <v>16</v>
      </c>
      <c r="H1429" t="s">
        <v>1</v>
      </c>
    </row>
    <row r="1430" spans="1:8" x14ac:dyDescent="0.3">
      <c r="A1430" s="2">
        <v>44959</v>
      </c>
      <c r="B1430" s="2" t="str">
        <f>TEXT(AutoPomodoro[[#This Row],[DATE]],"mmmm")</f>
        <v>February</v>
      </c>
      <c r="C1430" s="2" t="str">
        <f>TEXT(AutoPomodoro[[#This Row],[DATE]],"yyyy")</f>
        <v>2023</v>
      </c>
      <c r="D1430" s="8">
        <f>E1429+$T$17</f>
        <v>0.62847222222222232</v>
      </c>
      <c r="E1430" s="8">
        <f>D1430+$T$15</f>
        <v>0.64583333333333348</v>
      </c>
      <c r="F1430" s="3">
        <v>1.9444444444444445E-2</v>
      </c>
      <c r="G1430" t="s">
        <v>16</v>
      </c>
      <c r="H1430" t="s">
        <v>1</v>
      </c>
    </row>
    <row r="1431" spans="1:8" x14ac:dyDescent="0.3">
      <c r="A1431" s="2">
        <v>44959</v>
      </c>
      <c r="B1431" s="2" t="str">
        <f>TEXT(AutoPomodoro[[#This Row],[DATE]],"mmmm")</f>
        <v>February</v>
      </c>
      <c r="C1431" s="2" t="str">
        <f>TEXT(AutoPomodoro[[#This Row],[DATE]],"yyyy")</f>
        <v>2023</v>
      </c>
      <c r="D1431" s="8">
        <v>0.64583333333333348</v>
      </c>
      <c r="E1431" s="8">
        <f>D1431+M</f>
        <v>0.65625000000000011</v>
      </c>
      <c r="F1431" s="3">
        <v>1.0416666666666666E-2</v>
      </c>
      <c r="G1431" t="s">
        <v>21</v>
      </c>
      <c r="H1431" t="s">
        <v>1</v>
      </c>
    </row>
    <row r="1432" spans="1:8" x14ac:dyDescent="0.3">
      <c r="A1432" s="2">
        <v>44959</v>
      </c>
      <c r="B1432" s="2" t="str">
        <f>TEXT(AutoPomodoro[[#This Row],[DATE]],"mmmm")</f>
        <v>February</v>
      </c>
      <c r="C1432" s="2" t="str">
        <f>TEXT(AutoPomodoro[[#This Row],[DATE]],"yyyy")</f>
        <v>2023</v>
      </c>
      <c r="D1432" s="8">
        <v>0.65625000000000011</v>
      </c>
      <c r="E1432" s="8">
        <f>D1432+$T$15</f>
        <v>0.67361111111111127</v>
      </c>
      <c r="F1432" s="3">
        <f>E1432-D1432</f>
        <v>1.736111111111116E-2</v>
      </c>
      <c r="G1432" t="s">
        <v>16</v>
      </c>
      <c r="H1432" t="s">
        <v>2</v>
      </c>
    </row>
    <row r="1433" spans="1:8" x14ac:dyDescent="0.3">
      <c r="A1433" s="2">
        <v>44959</v>
      </c>
      <c r="B1433" s="2" t="str">
        <f>TEXT(AutoPomodoro[[#This Row],[DATE]],"mmmm")</f>
        <v>February</v>
      </c>
      <c r="C1433" s="2" t="str">
        <f>TEXT(AutoPomodoro[[#This Row],[DATE]],"yyyy")</f>
        <v>2023</v>
      </c>
      <c r="D1433" s="8">
        <f>E1432+$T$16</f>
        <v>0.67708333333333348</v>
      </c>
      <c r="E1433" s="8">
        <f>D1433+$T$15</f>
        <v>0.69444444444444464</v>
      </c>
      <c r="F1433" s="3">
        <v>2.0833333333333332E-2</v>
      </c>
      <c r="G1433" t="s">
        <v>16</v>
      </c>
      <c r="H1433" t="s">
        <v>1</v>
      </c>
    </row>
    <row r="1434" spans="1:8" x14ac:dyDescent="0.3">
      <c r="A1434" s="2">
        <v>44959</v>
      </c>
      <c r="B1434" s="2" t="str">
        <f>TEXT(AutoPomodoro[[#This Row],[DATE]],"mmmm")</f>
        <v>February</v>
      </c>
      <c r="C1434" s="2" t="str">
        <f>TEXT(AutoPomodoro[[#This Row],[DATE]],"yyyy")</f>
        <v>2023</v>
      </c>
      <c r="D1434" s="8">
        <f>E1433+$T$16</f>
        <v>0.69791666666666685</v>
      </c>
      <c r="E1434" s="8">
        <f>D1434+$T$15</f>
        <v>0.71527777777777801</v>
      </c>
      <c r="F1434" s="3">
        <f t="shared" ref="F1434:F1439" si="114">E1434-D1434</f>
        <v>1.736111111111116E-2</v>
      </c>
      <c r="G1434" t="s">
        <v>16</v>
      </c>
      <c r="H1434" t="s">
        <v>1</v>
      </c>
    </row>
    <row r="1435" spans="1:8" x14ac:dyDescent="0.3">
      <c r="A1435" s="2">
        <v>44959</v>
      </c>
      <c r="B1435" s="2" t="str">
        <f>TEXT(AutoPomodoro[[#This Row],[DATE]],"mmmm")</f>
        <v>February</v>
      </c>
      <c r="C1435" s="2" t="str">
        <f>TEXT(AutoPomodoro[[#This Row],[DATE]],"yyyy")</f>
        <v>2023</v>
      </c>
      <c r="D1435" s="8">
        <f>E1434+$T$17</f>
        <v>0.72013888888888911</v>
      </c>
      <c r="E1435" s="8">
        <f>D1435+$T$15</f>
        <v>0.73750000000000027</v>
      </c>
      <c r="F1435" s="3">
        <f t="shared" si="114"/>
        <v>1.736111111111116E-2</v>
      </c>
      <c r="G1435" t="s">
        <v>16</v>
      </c>
      <c r="H1435" t="s">
        <v>1</v>
      </c>
    </row>
    <row r="1436" spans="1:8" x14ac:dyDescent="0.3">
      <c r="A1436" s="2">
        <v>44960</v>
      </c>
      <c r="B1436" s="2" t="str">
        <f>TEXT(AutoPomodoro[[#This Row],[DATE]],"mmmm")</f>
        <v>February</v>
      </c>
      <c r="C1436" s="2" t="str">
        <f>TEXT(AutoPomodoro[[#This Row],[DATE]],"yyyy")</f>
        <v>2023</v>
      </c>
      <c r="D1436" s="8">
        <v>0.87986111111111109</v>
      </c>
      <c r="E1436" s="8">
        <v>0.9194444444444444</v>
      </c>
      <c r="F1436" s="3">
        <f t="shared" si="114"/>
        <v>3.9583333333333304E-2</v>
      </c>
      <c r="G1436" t="s">
        <v>16</v>
      </c>
      <c r="H1436" t="s">
        <v>1</v>
      </c>
    </row>
    <row r="1437" spans="1:8" x14ac:dyDescent="0.3">
      <c r="A1437" s="2">
        <v>44961</v>
      </c>
      <c r="B1437" s="2" t="str">
        <f>TEXT(AutoPomodoro[[#This Row],[DATE]],"mmmm")</f>
        <v>February</v>
      </c>
      <c r="C1437" s="2" t="str">
        <f>TEXT(AutoPomodoro[[#This Row],[DATE]],"yyyy")</f>
        <v>2023</v>
      </c>
      <c r="D1437" s="8">
        <v>0.70972222222222225</v>
      </c>
      <c r="E1437" s="8">
        <v>0.71944444444444444</v>
      </c>
      <c r="F1437" s="3">
        <f t="shared" si="114"/>
        <v>9.7222222222221877E-3</v>
      </c>
      <c r="G1437" t="s">
        <v>16</v>
      </c>
      <c r="H1437" t="s">
        <v>1</v>
      </c>
    </row>
    <row r="1438" spans="1:8" x14ac:dyDescent="0.3">
      <c r="A1438" s="2">
        <v>44961</v>
      </c>
      <c r="B1438" s="2" t="str">
        <f>TEXT(AutoPomodoro[[#This Row],[DATE]],"mmmm")</f>
        <v>February</v>
      </c>
      <c r="C1438" s="2" t="str">
        <f>TEXT(AutoPomodoro[[#This Row],[DATE]],"yyyy")</f>
        <v>2023</v>
      </c>
      <c r="D1438" s="8">
        <v>0.72013888888888899</v>
      </c>
      <c r="E1438" s="8">
        <v>0.77847222222222223</v>
      </c>
      <c r="F1438" s="3">
        <f t="shared" si="114"/>
        <v>5.8333333333333237E-2</v>
      </c>
      <c r="G1438" t="s">
        <v>16</v>
      </c>
      <c r="H1438" t="s">
        <v>1</v>
      </c>
    </row>
    <row r="1439" spans="1:8" x14ac:dyDescent="0.3">
      <c r="A1439" s="2">
        <v>44963</v>
      </c>
      <c r="B1439" s="2" t="str">
        <f>TEXT(AutoPomodoro[[#This Row],[DATE]],"mmmm")</f>
        <v>February</v>
      </c>
      <c r="C1439" s="2" t="str">
        <f>TEXT(AutoPomodoro[[#This Row],[DATE]],"yyyy")</f>
        <v>2023</v>
      </c>
      <c r="D1439" s="8">
        <v>0.98611111111111116</v>
      </c>
      <c r="E1439" s="8">
        <f>D1439+$T$15</f>
        <v>1.0034722222222223</v>
      </c>
      <c r="F1439" s="3">
        <f t="shared" si="114"/>
        <v>1.736111111111116E-2</v>
      </c>
      <c r="G1439" t="s">
        <v>16</v>
      </c>
      <c r="H1439" t="s">
        <v>1</v>
      </c>
    </row>
    <row r="1440" spans="1:8" x14ac:dyDescent="0.3">
      <c r="A1440" s="2">
        <v>44963</v>
      </c>
      <c r="B1440" s="2" t="str">
        <f>TEXT(AutoPomodoro[[#This Row],[DATE]],"mmmm")</f>
        <v>February</v>
      </c>
      <c r="C1440" s="2" t="str">
        <f>TEXT(AutoPomodoro[[#This Row],[DATE]],"yyyy")</f>
        <v>2023</v>
      </c>
      <c r="D1440" s="8">
        <f>E1439+$T$16</f>
        <v>1.0069444444444446</v>
      </c>
      <c r="E1440" s="8">
        <f>D1440+$T$15</f>
        <v>1.0243055555555558</v>
      </c>
      <c r="F1440" s="3">
        <v>1.9444444444444445E-2</v>
      </c>
      <c r="G1440" t="s">
        <v>16</v>
      </c>
      <c r="H1440" t="s">
        <v>1</v>
      </c>
    </row>
    <row r="1441" spans="1:8" x14ac:dyDescent="0.3">
      <c r="A1441" s="2">
        <v>44964</v>
      </c>
      <c r="B1441" s="2" t="str">
        <f>TEXT(AutoPomodoro[[#This Row],[DATE]],"mmmm")</f>
        <v>February</v>
      </c>
      <c r="C1441" s="2" t="str">
        <f>TEXT(AutoPomodoro[[#This Row],[DATE]],"yyyy")</f>
        <v>2023</v>
      </c>
      <c r="D1441" s="8">
        <v>5.6944444444444443E-2</v>
      </c>
      <c r="E1441" s="8">
        <v>7.1527777777777787E-2</v>
      </c>
      <c r="F1441" s="3">
        <f>E1441-D1441</f>
        <v>1.4583333333333344E-2</v>
      </c>
      <c r="G1441" t="s">
        <v>17</v>
      </c>
      <c r="H1441" t="s">
        <v>1</v>
      </c>
    </row>
    <row r="1442" spans="1:8" x14ac:dyDescent="0.3">
      <c r="A1442" s="2">
        <v>44964</v>
      </c>
      <c r="B1442" s="2" t="str">
        <f>TEXT(AutoPomodoro[[#This Row],[DATE]],"mmmm")</f>
        <v>February</v>
      </c>
      <c r="C1442" s="2" t="str">
        <f>TEXT(AutoPomodoro[[#This Row],[DATE]],"yyyy")</f>
        <v>2023</v>
      </c>
      <c r="D1442" s="8">
        <v>7.1527777777777787E-2</v>
      </c>
      <c r="E1442" s="8">
        <v>9.0277777777777776E-2</v>
      </c>
      <c r="F1442" s="3">
        <f>E1442-D1442</f>
        <v>1.8749999999999989E-2</v>
      </c>
      <c r="G1442" t="s">
        <v>19</v>
      </c>
      <c r="H1442" t="s">
        <v>1</v>
      </c>
    </row>
    <row r="1443" spans="1:8" x14ac:dyDescent="0.3">
      <c r="A1443" s="2">
        <v>44964</v>
      </c>
      <c r="B1443" s="2" t="str">
        <f>TEXT(AutoPomodoro[[#This Row],[DATE]],"mmmm")</f>
        <v>February</v>
      </c>
      <c r="C1443" s="2" t="str">
        <f>TEXT(AutoPomodoro[[#This Row],[DATE]],"yyyy")</f>
        <v>2023</v>
      </c>
      <c r="D1443" s="8">
        <v>0.61805555555555558</v>
      </c>
      <c r="E1443" s="8">
        <v>0.62847222222222221</v>
      </c>
      <c r="F1443" s="3">
        <v>1.2499999999999999E-2</v>
      </c>
      <c r="G1443" t="s">
        <v>0</v>
      </c>
      <c r="H1443" t="s">
        <v>1</v>
      </c>
    </row>
    <row r="1444" spans="1:8" x14ac:dyDescent="0.3">
      <c r="A1444" s="2">
        <v>44965</v>
      </c>
      <c r="B1444" s="2" t="str">
        <f>TEXT(AutoPomodoro[[#This Row],[DATE]],"mmmm")</f>
        <v>February</v>
      </c>
      <c r="C1444" s="2" t="str">
        <f>TEXT(AutoPomodoro[[#This Row],[DATE]],"yyyy")</f>
        <v>2023</v>
      </c>
      <c r="D1444" s="8">
        <v>0.65347222222222223</v>
      </c>
      <c r="E1444" s="8">
        <v>0.73125000000000007</v>
      </c>
      <c r="F1444" s="3">
        <f>E1444-D1444</f>
        <v>7.7777777777777835E-2</v>
      </c>
      <c r="G1444" t="s">
        <v>19</v>
      </c>
      <c r="H1444" t="s">
        <v>1</v>
      </c>
    </row>
    <row r="1445" spans="1:8" x14ac:dyDescent="0.3">
      <c r="A1445" s="2">
        <v>44965</v>
      </c>
      <c r="B1445" s="2" t="str">
        <f>TEXT(AutoPomodoro[[#This Row],[DATE]],"mmmm")</f>
        <v>February</v>
      </c>
      <c r="C1445" s="2" t="str">
        <f>TEXT(AutoPomodoro[[#This Row],[DATE]],"yyyy")</f>
        <v>2023</v>
      </c>
      <c r="D1445" s="8">
        <v>0.94236111111111109</v>
      </c>
      <c r="E1445" s="8">
        <v>0.99097222222222225</v>
      </c>
      <c r="F1445" s="3">
        <f>E1445-D1445</f>
        <v>4.861111111111116E-2</v>
      </c>
      <c r="G1445" t="s">
        <v>19</v>
      </c>
      <c r="H1445" t="s">
        <v>1</v>
      </c>
    </row>
    <row r="1446" spans="1:8" x14ac:dyDescent="0.3">
      <c r="A1446" s="2">
        <v>44966</v>
      </c>
      <c r="B1446" s="2" t="str">
        <f>TEXT(AutoPomodoro[[#This Row],[DATE]],"mmmm")</f>
        <v>February</v>
      </c>
      <c r="C1446" s="2" t="str">
        <f>TEXT(AutoPomodoro[[#This Row],[DATE]],"yyyy")</f>
        <v>2023</v>
      </c>
      <c r="D1446" s="8">
        <v>0.74652777777777779</v>
      </c>
      <c r="E1446" s="8">
        <v>0.80902777777777779</v>
      </c>
      <c r="F1446" s="3">
        <f>E1446-D1446</f>
        <v>6.25E-2</v>
      </c>
      <c r="G1446" t="s">
        <v>19</v>
      </c>
      <c r="H1446" t="s">
        <v>1</v>
      </c>
    </row>
    <row r="1447" spans="1:8" x14ac:dyDescent="0.3">
      <c r="A1447" s="2">
        <v>44966</v>
      </c>
      <c r="B1447" s="2" t="str">
        <f>TEXT(AutoPomodoro[[#This Row],[DATE]],"mmmm")</f>
        <v>February</v>
      </c>
      <c r="C1447" s="2" t="str">
        <f>TEXT(AutoPomodoro[[#This Row],[DATE]],"yyyy")</f>
        <v>2023</v>
      </c>
      <c r="D1447" s="8">
        <v>0.9243055555555556</v>
      </c>
      <c r="E1447" s="8">
        <v>0.96597222222222223</v>
      </c>
      <c r="F1447" s="3">
        <f>E1447-D1447</f>
        <v>4.166666666666663E-2</v>
      </c>
      <c r="G1447" t="s">
        <v>19</v>
      </c>
      <c r="H1447" t="s">
        <v>1</v>
      </c>
    </row>
    <row r="1448" spans="1:8" x14ac:dyDescent="0.3">
      <c r="A1448" s="2">
        <v>44967</v>
      </c>
      <c r="B1448" s="2" t="str">
        <f>TEXT(AutoPomodoro[[#This Row],[DATE]],"mmmm")</f>
        <v>February</v>
      </c>
      <c r="C1448" s="2" t="str">
        <f>TEXT(AutoPomodoro[[#This Row],[DATE]],"yyyy")</f>
        <v>2023</v>
      </c>
      <c r="D1448" s="8">
        <v>0.67361111111111116</v>
      </c>
      <c r="E1448" s="8">
        <v>0.70833333333333337</v>
      </c>
      <c r="F1448" s="3">
        <f>E1448-D1448</f>
        <v>3.472222222222221E-2</v>
      </c>
      <c r="G1448" t="s">
        <v>16</v>
      </c>
      <c r="H1448" t="s">
        <v>1</v>
      </c>
    </row>
    <row r="1449" spans="1:8" x14ac:dyDescent="0.3">
      <c r="A1449" s="2">
        <v>44967</v>
      </c>
      <c r="B1449" s="2" t="str">
        <f>TEXT(AutoPomodoro[[#This Row],[DATE]],"mmmm")</f>
        <v>February</v>
      </c>
      <c r="C1449" s="2" t="str">
        <f>TEXT(AutoPomodoro[[#This Row],[DATE]],"yyyy")</f>
        <v>2023</v>
      </c>
      <c r="D1449" s="8">
        <v>0.71319444444444446</v>
      </c>
      <c r="E1449" s="8">
        <f>D1449+$T$15</f>
        <v>0.73055555555555562</v>
      </c>
      <c r="F1449" s="3">
        <v>1.3888888888888888E-2</v>
      </c>
      <c r="G1449" t="s">
        <v>16</v>
      </c>
      <c r="H1449" t="s">
        <v>1</v>
      </c>
    </row>
    <row r="1450" spans="1:8" x14ac:dyDescent="0.3">
      <c r="A1450" s="2">
        <v>44967</v>
      </c>
      <c r="B1450" s="2" t="str">
        <f>TEXT(AutoPomodoro[[#This Row],[DATE]],"mmmm")</f>
        <v>February</v>
      </c>
      <c r="C1450" s="2" t="str">
        <f>TEXT(AutoPomodoro[[#This Row],[DATE]],"yyyy")</f>
        <v>2023</v>
      </c>
      <c r="D1450" s="8">
        <f>E1449+$T$16</f>
        <v>0.73402777777777783</v>
      </c>
      <c r="E1450" s="8">
        <f>D1450+$T$15</f>
        <v>0.75138888888888899</v>
      </c>
      <c r="F1450" s="3">
        <f>E1450-D1450</f>
        <v>1.736111111111116E-2</v>
      </c>
      <c r="G1450" t="s">
        <v>16</v>
      </c>
      <c r="H1450" t="s">
        <v>1</v>
      </c>
    </row>
    <row r="1451" spans="1:8" x14ac:dyDescent="0.3">
      <c r="A1451" s="2">
        <v>44967</v>
      </c>
      <c r="B1451" s="2" t="str">
        <f>TEXT(AutoPomodoro[[#This Row],[DATE]],"mmmm")</f>
        <v>February</v>
      </c>
      <c r="C1451" s="2" t="str">
        <f>TEXT(AutoPomodoro[[#This Row],[DATE]],"yyyy")</f>
        <v>2023</v>
      </c>
      <c r="D1451" s="8">
        <f>E1450+$T$16</f>
        <v>0.7548611111111112</v>
      </c>
      <c r="E1451" s="8">
        <f>D1451+$T$15</f>
        <v>0.77222222222222237</v>
      </c>
      <c r="F1451" s="3">
        <f>E1451-D1451</f>
        <v>1.736111111111116E-2</v>
      </c>
      <c r="G1451" t="s">
        <v>16</v>
      </c>
      <c r="H1451" t="s">
        <v>1</v>
      </c>
    </row>
    <row r="1452" spans="1:8" x14ac:dyDescent="0.3">
      <c r="A1452" s="2">
        <v>44968</v>
      </c>
      <c r="B1452" s="2" t="str">
        <f>TEXT(AutoPomodoro[[#This Row],[DATE]],"mmmm")</f>
        <v>February</v>
      </c>
      <c r="C1452" s="2" t="str">
        <f>TEXT(AutoPomodoro[[#This Row],[DATE]],"yyyy")</f>
        <v>2023</v>
      </c>
      <c r="D1452" s="8">
        <v>0.68055555555555547</v>
      </c>
      <c r="E1452" s="8">
        <v>0.72222222222222221</v>
      </c>
      <c r="F1452" s="3">
        <v>3.8194444444444441E-2</v>
      </c>
      <c r="G1452" t="s">
        <v>16</v>
      </c>
      <c r="H1452" t="s">
        <v>1</v>
      </c>
    </row>
    <row r="1453" spans="1:8" x14ac:dyDescent="0.3">
      <c r="A1453" s="2">
        <v>44968</v>
      </c>
      <c r="B1453" s="2" t="str">
        <f>TEXT(AutoPomodoro[[#This Row],[DATE]],"mmmm")</f>
        <v>February</v>
      </c>
      <c r="C1453" s="2" t="str">
        <f>TEXT(AutoPomodoro[[#This Row],[DATE]],"yyyy")</f>
        <v>2023</v>
      </c>
      <c r="D1453" s="8">
        <v>0.7270833333333333</v>
      </c>
      <c r="E1453" s="8">
        <f t="shared" ref="E1453:E1458" si="115">D1453+$T$15</f>
        <v>0.74444444444444446</v>
      </c>
      <c r="F1453" s="3">
        <v>1.9444444444444445E-2</v>
      </c>
      <c r="G1453" t="s">
        <v>16</v>
      </c>
      <c r="H1453" t="s">
        <v>1</v>
      </c>
    </row>
    <row r="1454" spans="1:8" x14ac:dyDescent="0.3">
      <c r="A1454" s="2">
        <v>44968</v>
      </c>
      <c r="B1454" s="2" t="str">
        <f>TEXT(AutoPomodoro[[#This Row],[DATE]],"mmmm")</f>
        <v>February</v>
      </c>
      <c r="C1454" s="2" t="str">
        <f>TEXT(AutoPomodoro[[#This Row],[DATE]],"yyyy")</f>
        <v>2023</v>
      </c>
      <c r="D1454" s="8">
        <f>E1453+$T$16</f>
        <v>0.74791666666666667</v>
      </c>
      <c r="E1454" s="8">
        <f t="shared" si="115"/>
        <v>0.76527777777777783</v>
      </c>
      <c r="F1454" s="3">
        <f>E1454-D1454</f>
        <v>1.736111111111116E-2</v>
      </c>
      <c r="G1454" t="s">
        <v>16</v>
      </c>
      <c r="H1454" t="s">
        <v>1</v>
      </c>
    </row>
    <row r="1455" spans="1:8" x14ac:dyDescent="0.3">
      <c r="A1455" s="2">
        <v>44968</v>
      </c>
      <c r="B1455" s="2" t="str">
        <f>TEXT(AutoPomodoro[[#This Row],[DATE]],"mmmm")</f>
        <v>February</v>
      </c>
      <c r="C1455" s="2" t="str">
        <f>TEXT(AutoPomodoro[[#This Row],[DATE]],"yyyy")</f>
        <v>2023</v>
      </c>
      <c r="D1455" s="8">
        <f>E1454+$T$16</f>
        <v>0.76875000000000004</v>
      </c>
      <c r="E1455" s="8">
        <f t="shared" si="115"/>
        <v>0.7861111111111112</v>
      </c>
      <c r="F1455" s="3">
        <v>2.1527777777777781E-2</v>
      </c>
      <c r="G1455" t="s">
        <v>16</v>
      </c>
      <c r="H1455" t="s">
        <v>1</v>
      </c>
    </row>
    <row r="1456" spans="1:8" x14ac:dyDescent="0.3">
      <c r="A1456" s="2">
        <v>44971</v>
      </c>
      <c r="B1456" s="2" t="str">
        <f>TEXT(AutoPomodoro[[#This Row],[DATE]],"mmmm")</f>
        <v>February</v>
      </c>
      <c r="C1456" s="2" t="str">
        <f>TEXT(AutoPomodoro[[#This Row],[DATE]],"yyyy")</f>
        <v>2023</v>
      </c>
      <c r="D1456" s="8">
        <v>3.4722222222222224E-2</v>
      </c>
      <c r="E1456" s="8">
        <f t="shared" si="115"/>
        <v>5.2083333333333336E-2</v>
      </c>
      <c r="F1456" s="3">
        <f>E1456-D1456</f>
        <v>1.7361111111111112E-2</v>
      </c>
      <c r="G1456" t="s">
        <v>16</v>
      </c>
      <c r="H1456" t="s">
        <v>1</v>
      </c>
    </row>
    <row r="1457" spans="1:8" x14ac:dyDescent="0.3">
      <c r="A1457" s="2">
        <v>44971</v>
      </c>
      <c r="B1457" s="2" t="str">
        <f>TEXT(AutoPomodoro[[#This Row],[DATE]],"mmmm")</f>
        <v>February</v>
      </c>
      <c r="C1457" s="2" t="str">
        <f>TEXT(AutoPomodoro[[#This Row],[DATE]],"yyyy")</f>
        <v>2023</v>
      </c>
      <c r="D1457" s="8">
        <f>E1456+$T$16</f>
        <v>5.5555555555555559E-2</v>
      </c>
      <c r="E1457" s="8">
        <f t="shared" si="115"/>
        <v>7.2916666666666671E-2</v>
      </c>
      <c r="F1457" s="3">
        <f>E1457-D1457</f>
        <v>1.7361111111111112E-2</v>
      </c>
      <c r="G1457" t="s">
        <v>16</v>
      </c>
      <c r="H1457" t="s">
        <v>1</v>
      </c>
    </row>
    <row r="1458" spans="1:8" x14ac:dyDescent="0.3">
      <c r="A1458" s="2">
        <v>44971</v>
      </c>
      <c r="B1458" s="2" t="str">
        <f>TEXT(AutoPomodoro[[#This Row],[DATE]],"mmmm")</f>
        <v>February</v>
      </c>
      <c r="C1458" s="2" t="str">
        <f>TEXT(AutoPomodoro[[#This Row],[DATE]],"yyyy")</f>
        <v>2023</v>
      </c>
      <c r="D1458" s="8">
        <f>E1457+$T$16</f>
        <v>7.6388888888888895E-2</v>
      </c>
      <c r="E1458" s="8">
        <f t="shared" si="115"/>
        <v>9.375E-2</v>
      </c>
      <c r="F1458" s="3">
        <v>4.8611111111111112E-2</v>
      </c>
      <c r="G1458" t="s">
        <v>16</v>
      </c>
      <c r="H1458" t="s">
        <v>1</v>
      </c>
    </row>
    <row r="1459" spans="1:8" x14ac:dyDescent="0.3">
      <c r="A1459" s="2">
        <v>44971</v>
      </c>
      <c r="B1459" s="2" t="str">
        <f>TEXT(AutoPomodoro[[#This Row],[DATE]],"mmmm")</f>
        <v>February</v>
      </c>
      <c r="C1459" s="2" t="str">
        <f>TEXT(AutoPomodoro[[#This Row],[DATE]],"yyyy")</f>
        <v>2023</v>
      </c>
      <c r="D1459" s="8">
        <v>0.63888888888888895</v>
      </c>
      <c r="E1459" s="8">
        <v>0.6875</v>
      </c>
      <c r="F1459" s="3">
        <f>E1459-D1459</f>
        <v>4.8611111111111049E-2</v>
      </c>
      <c r="G1459" t="s">
        <v>16</v>
      </c>
      <c r="H1459" t="s">
        <v>1</v>
      </c>
    </row>
    <row r="1460" spans="1:8" x14ac:dyDescent="0.3">
      <c r="A1460" s="2">
        <v>44971</v>
      </c>
      <c r="B1460" s="2" t="str">
        <f>TEXT(AutoPomodoro[[#This Row],[DATE]],"mmmm")</f>
        <v>February</v>
      </c>
      <c r="C1460" s="2" t="str">
        <f>TEXT(AutoPomodoro[[#This Row],[DATE]],"yyyy")</f>
        <v>2023</v>
      </c>
      <c r="D1460" s="8">
        <v>0.69236111111111109</v>
      </c>
      <c r="E1460" s="8">
        <f t="shared" ref="E1460:E1467" si="116">D1460+$T$15</f>
        <v>0.70972222222222225</v>
      </c>
      <c r="F1460" s="3">
        <f>E1460-D1460</f>
        <v>1.736111111111116E-2</v>
      </c>
      <c r="G1460" t="s">
        <v>16</v>
      </c>
      <c r="H1460" t="s">
        <v>1</v>
      </c>
    </row>
    <row r="1461" spans="1:8" x14ac:dyDescent="0.3">
      <c r="A1461" s="2">
        <v>44971</v>
      </c>
      <c r="B1461" s="2" t="str">
        <f>TEXT(AutoPomodoro[[#This Row],[DATE]],"mmmm")</f>
        <v>February</v>
      </c>
      <c r="C1461" s="2" t="str">
        <f>TEXT(AutoPomodoro[[#This Row],[DATE]],"yyyy")</f>
        <v>2023</v>
      </c>
      <c r="D1461" s="8">
        <f>E1460+$T$16</f>
        <v>0.71319444444444446</v>
      </c>
      <c r="E1461" s="8">
        <f t="shared" si="116"/>
        <v>0.73055555555555562</v>
      </c>
      <c r="F1461" s="3">
        <v>1.8749999999999999E-2</v>
      </c>
      <c r="G1461" t="s">
        <v>16</v>
      </c>
      <c r="H1461" t="s">
        <v>1</v>
      </c>
    </row>
    <row r="1462" spans="1:8" x14ac:dyDescent="0.3">
      <c r="A1462" s="2">
        <v>44971</v>
      </c>
      <c r="B1462" s="2" t="str">
        <f>TEXT(AutoPomodoro[[#This Row],[DATE]],"mmmm")</f>
        <v>February</v>
      </c>
      <c r="C1462" s="2" t="str">
        <f>TEXT(AutoPomodoro[[#This Row],[DATE]],"yyyy")</f>
        <v>2023</v>
      </c>
      <c r="D1462" s="8">
        <f>E1461+$T$16</f>
        <v>0.73402777777777783</v>
      </c>
      <c r="E1462" s="8">
        <f t="shared" si="116"/>
        <v>0.75138888888888899</v>
      </c>
      <c r="F1462" s="3">
        <f>E1462-D1462</f>
        <v>1.736111111111116E-2</v>
      </c>
      <c r="G1462" t="s">
        <v>16</v>
      </c>
      <c r="H1462" t="s">
        <v>2</v>
      </c>
    </row>
    <row r="1463" spans="1:8" x14ac:dyDescent="0.3">
      <c r="A1463" s="2">
        <v>44972</v>
      </c>
      <c r="B1463" s="2" t="str">
        <f>TEXT(AutoPomodoro[[#This Row],[DATE]],"mmmm")</f>
        <v>February</v>
      </c>
      <c r="C1463" s="2" t="str">
        <f>TEXT(AutoPomodoro[[#This Row],[DATE]],"yyyy")</f>
        <v>2023</v>
      </c>
      <c r="D1463" s="8">
        <v>0.74097222222222225</v>
      </c>
      <c r="E1463" s="8">
        <f t="shared" si="116"/>
        <v>0.75833333333333341</v>
      </c>
      <c r="F1463" s="3">
        <v>2.013888888888889E-2</v>
      </c>
      <c r="G1463" t="s">
        <v>0</v>
      </c>
      <c r="H1463" t="s">
        <v>1</v>
      </c>
    </row>
    <row r="1464" spans="1:8" x14ac:dyDescent="0.3">
      <c r="A1464" s="2">
        <v>44972</v>
      </c>
      <c r="B1464" s="2" t="str">
        <f>TEXT(AutoPomodoro[[#This Row],[DATE]],"mmmm")</f>
        <v>February</v>
      </c>
      <c r="C1464" s="2" t="str">
        <f>TEXT(AutoPomodoro[[#This Row],[DATE]],"yyyy")</f>
        <v>2023</v>
      </c>
      <c r="D1464" s="8">
        <f>E1463+$T$16</f>
        <v>0.76180555555555562</v>
      </c>
      <c r="E1464" s="8">
        <f t="shared" si="116"/>
        <v>0.77916666666666679</v>
      </c>
      <c r="F1464" s="3">
        <v>1.8055555555555557E-2</v>
      </c>
      <c r="G1464" t="s">
        <v>16</v>
      </c>
      <c r="H1464" t="s">
        <v>1</v>
      </c>
    </row>
    <row r="1465" spans="1:8" x14ac:dyDescent="0.3">
      <c r="A1465" s="2">
        <v>44972</v>
      </c>
      <c r="B1465" s="2" t="str">
        <f>TEXT(AutoPomodoro[[#This Row],[DATE]],"mmmm")</f>
        <v>February</v>
      </c>
      <c r="C1465" s="2" t="str">
        <f>TEXT(AutoPomodoro[[#This Row],[DATE]],"yyyy")</f>
        <v>2023</v>
      </c>
      <c r="D1465" s="8">
        <v>0.79166666666666663</v>
      </c>
      <c r="E1465" s="8">
        <f t="shared" si="116"/>
        <v>0.80902777777777779</v>
      </c>
      <c r="F1465" s="3">
        <v>9.7222222222222224E-3</v>
      </c>
      <c r="G1465" t="s">
        <v>16</v>
      </c>
      <c r="H1465" t="s">
        <v>1</v>
      </c>
    </row>
    <row r="1466" spans="1:8" x14ac:dyDescent="0.3">
      <c r="A1466" s="2">
        <v>44972</v>
      </c>
      <c r="B1466" s="2" t="str">
        <f>TEXT(AutoPomodoro[[#This Row],[DATE]],"mmmm")</f>
        <v>February</v>
      </c>
      <c r="C1466" s="2" t="str">
        <f>TEXT(AutoPomodoro[[#This Row],[DATE]],"yyyy")</f>
        <v>2023</v>
      </c>
      <c r="D1466" s="8">
        <f>E1465+$T$16</f>
        <v>0.8125</v>
      </c>
      <c r="E1466" s="8">
        <f t="shared" si="116"/>
        <v>0.82986111111111116</v>
      </c>
      <c r="F1466" s="3">
        <f>E1466-D1466</f>
        <v>1.736111111111116E-2</v>
      </c>
      <c r="G1466" t="s">
        <v>16</v>
      </c>
      <c r="H1466" t="s">
        <v>1</v>
      </c>
    </row>
    <row r="1467" spans="1:8" x14ac:dyDescent="0.3">
      <c r="A1467" s="2">
        <v>44972</v>
      </c>
      <c r="B1467" s="2" t="str">
        <f>TEXT(AutoPomodoro[[#This Row],[DATE]],"mmmm")</f>
        <v>February</v>
      </c>
      <c r="C1467" s="2" t="str">
        <f>TEXT(AutoPomodoro[[#This Row],[DATE]],"yyyy")</f>
        <v>2023</v>
      </c>
      <c r="D1467" s="8">
        <f>E1466+$T$16</f>
        <v>0.83333333333333337</v>
      </c>
      <c r="E1467" s="8">
        <f t="shared" si="116"/>
        <v>0.85069444444444453</v>
      </c>
      <c r="F1467" s="3">
        <v>2.4305555555555556E-2</v>
      </c>
      <c r="G1467" t="s">
        <v>16</v>
      </c>
      <c r="H1467" t="s">
        <v>1</v>
      </c>
    </row>
    <row r="1468" spans="1:8" x14ac:dyDescent="0.3">
      <c r="A1468" s="2">
        <v>44973</v>
      </c>
      <c r="B1468" s="2" t="str">
        <f>TEXT(AutoPomodoro[[#This Row],[DATE]],"mmmm")</f>
        <v>February</v>
      </c>
      <c r="C1468" s="2" t="str">
        <f>TEXT(AutoPomodoro[[#This Row],[DATE]],"yyyy")</f>
        <v>2023</v>
      </c>
      <c r="D1468" s="8">
        <v>0.64166666666666672</v>
      </c>
      <c r="E1468" s="8">
        <v>0.66319444444444442</v>
      </c>
      <c r="F1468" s="3">
        <f>E1468-D1468</f>
        <v>2.1527777777777701E-2</v>
      </c>
      <c r="G1468" t="s">
        <v>16</v>
      </c>
      <c r="H1468" t="s">
        <v>1</v>
      </c>
    </row>
    <row r="1469" spans="1:8" x14ac:dyDescent="0.3">
      <c r="A1469" s="2">
        <v>44975</v>
      </c>
      <c r="B1469" s="2" t="str">
        <f>TEXT(AutoPomodoro[[#This Row],[DATE]],"mmmm")</f>
        <v>February</v>
      </c>
      <c r="C1469" s="2" t="str">
        <f>TEXT(AutoPomodoro[[#This Row],[DATE]],"yyyy")</f>
        <v>2023</v>
      </c>
      <c r="D1469" s="8">
        <v>0.79375000000000007</v>
      </c>
      <c r="E1469" s="8">
        <v>0.81874999999999998</v>
      </c>
      <c r="F1469" s="3">
        <f>E1469-D1469</f>
        <v>2.4999999999999911E-2</v>
      </c>
      <c r="G1469" t="s">
        <v>16</v>
      </c>
      <c r="H1469" t="s">
        <v>1</v>
      </c>
    </row>
    <row r="1470" spans="1:8" x14ac:dyDescent="0.3">
      <c r="A1470" s="2">
        <v>44977</v>
      </c>
      <c r="B1470" s="2" t="str">
        <f>TEXT(AutoPomodoro[[#This Row],[DATE]],"mmmm")</f>
        <v>February</v>
      </c>
      <c r="C1470" s="2" t="str">
        <f>TEXT(AutoPomodoro[[#This Row],[DATE]],"yyyy")</f>
        <v>2023</v>
      </c>
      <c r="D1470" s="8">
        <v>0.61111111111111105</v>
      </c>
      <c r="E1470" s="8">
        <v>0.65972222222222221</v>
      </c>
      <c r="F1470" s="3">
        <v>6.25E-2</v>
      </c>
      <c r="G1470" t="s">
        <v>16</v>
      </c>
      <c r="H1470" t="s">
        <v>1</v>
      </c>
    </row>
    <row r="1471" spans="1:8" x14ac:dyDescent="0.3">
      <c r="A1471" s="2">
        <v>44977</v>
      </c>
      <c r="B1471" s="2" t="str">
        <f>TEXT(AutoPomodoro[[#This Row],[DATE]],"mmmm")</f>
        <v>February</v>
      </c>
      <c r="C1471" s="2" t="str">
        <f>TEXT(AutoPomodoro[[#This Row],[DATE]],"yyyy")</f>
        <v>2023</v>
      </c>
      <c r="D1471" s="8">
        <v>0.67013888888888884</v>
      </c>
      <c r="E1471" s="8">
        <f>D1471+$T$15</f>
        <v>0.6875</v>
      </c>
      <c r="F1471" s="3">
        <f>E1471-D1471</f>
        <v>1.736111111111116E-2</v>
      </c>
      <c r="G1471" t="s">
        <v>16</v>
      </c>
      <c r="H1471" t="s">
        <v>2</v>
      </c>
    </row>
    <row r="1472" spans="1:8" x14ac:dyDescent="0.3">
      <c r="A1472" s="2">
        <v>44977</v>
      </c>
      <c r="B1472" s="2" t="str">
        <f>TEXT(AutoPomodoro[[#This Row],[DATE]],"mmmm")</f>
        <v>February</v>
      </c>
      <c r="C1472" s="2" t="str">
        <f>TEXT(AutoPomodoro[[#This Row],[DATE]],"yyyy")</f>
        <v>2023</v>
      </c>
      <c r="D1472" s="8">
        <f>E1471+$T$16</f>
        <v>0.69097222222222221</v>
      </c>
      <c r="E1472" s="8">
        <f>D1472+$T$15</f>
        <v>0.70833333333333337</v>
      </c>
      <c r="F1472" s="3">
        <f>E1472-D1472</f>
        <v>1.736111111111116E-2</v>
      </c>
      <c r="G1472" t="s">
        <v>16</v>
      </c>
      <c r="H1472" t="s">
        <v>2</v>
      </c>
    </row>
    <row r="1473" spans="1:8" x14ac:dyDescent="0.3">
      <c r="A1473" s="2">
        <v>44977</v>
      </c>
      <c r="B1473" s="2" t="str">
        <f>TEXT(AutoPomodoro[[#This Row],[DATE]],"mmmm")</f>
        <v>February</v>
      </c>
      <c r="C1473" s="2" t="str">
        <f>TEXT(AutoPomodoro[[#This Row],[DATE]],"yyyy")</f>
        <v>2023</v>
      </c>
      <c r="D1473" s="8">
        <f>E1472+$T$16</f>
        <v>0.71180555555555558</v>
      </c>
      <c r="E1473" s="8">
        <f>D1473+$T$15</f>
        <v>0.72916666666666674</v>
      </c>
      <c r="F1473" s="3">
        <v>1.8749999999999999E-2</v>
      </c>
      <c r="G1473" t="s">
        <v>16</v>
      </c>
      <c r="H1473" t="s">
        <v>1</v>
      </c>
    </row>
    <row r="1474" spans="1:8" x14ac:dyDescent="0.3">
      <c r="A1474" s="2">
        <v>44978</v>
      </c>
      <c r="B1474" s="2" t="str">
        <f>TEXT(AutoPomodoro[[#This Row],[DATE]],"mmmm")</f>
        <v>February</v>
      </c>
      <c r="C1474" s="2" t="str">
        <f>TEXT(AutoPomodoro[[#This Row],[DATE]],"yyyy")</f>
        <v>2023</v>
      </c>
      <c r="D1474" s="8">
        <v>0.95833333333333337</v>
      </c>
      <c r="E1474" s="8">
        <v>0.97361111111111109</v>
      </c>
      <c r="F1474" s="3">
        <f>E1474-D1474</f>
        <v>1.5277777777777724E-2</v>
      </c>
      <c r="G1474" t="s">
        <v>16</v>
      </c>
      <c r="H1474" t="s">
        <v>1</v>
      </c>
    </row>
    <row r="1475" spans="1:8" x14ac:dyDescent="0.3">
      <c r="A1475" s="2">
        <v>44982</v>
      </c>
      <c r="B1475" s="2" t="str">
        <f>TEXT(AutoPomodoro[[#This Row],[DATE]],"mmmm")</f>
        <v>February</v>
      </c>
      <c r="C1475" s="2" t="str">
        <f>TEXT(AutoPomodoro[[#This Row],[DATE]],"yyyy")</f>
        <v>2023</v>
      </c>
      <c r="D1475" s="8">
        <v>0.59375</v>
      </c>
      <c r="E1475" s="8">
        <v>0.60763888888888895</v>
      </c>
      <c r="F1475" s="3">
        <f>E1475-D1475</f>
        <v>1.3888888888888951E-2</v>
      </c>
      <c r="G1475" t="s">
        <v>0</v>
      </c>
      <c r="H1475" t="s">
        <v>1</v>
      </c>
    </row>
    <row r="1476" spans="1:8" x14ac:dyDescent="0.3">
      <c r="A1476" s="2">
        <v>44982</v>
      </c>
      <c r="B1476" s="2" t="str">
        <f>TEXT(AutoPomodoro[[#This Row],[DATE]],"mmmm")</f>
        <v>February</v>
      </c>
      <c r="C1476" s="2" t="str">
        <f>TEXT(AutoPomodoro[[#This Row],[DATE]],"yyyy")</f>
        <v>2023</v>
      </c>
      <c r="D1476" s="8">
        <v>0.60972222222222217</v>
      </c>
      <c r="E1476" s="8">
        <v>0.65138888888888891</v>
      </c>
      <c r="F1476" s="3">
        <f>E1476-D1476</f>
        <v>4.1666666666666741E-2</v>
      </c>
      <c r="G1476" t="s">
        <v>16</v>
      </c>
      <c r="H1476" t="s">
        <v>1</v>
      </c>
    </row>
    <row r="1477" spans="1:8" x14ac:dyDescent="0.3">
      <c r="A1477" s="2">
        <v>44982</v>
      </c>
      <c r="B1477" s="2" t="str">
        <f>TEXT(AutoPomodoro[[#This Row],[DATE]],"mmmm")</f>
        <v>February</v>
      </c>
      <c r="C1477" s="2" t="str">
        <f>TEXT(AutoPomodoro[[#This Row],[DATE]],"yyyy")</f>
        <v>2023</v>
      </c>
      <c r="D1477" s="8">
        <v>0.65625</v>
      </c>
      <c r="E1477" s="8">
        <f t="shared" ref="E1477:E1482" si="117">D1477+$T$15</f>
        <v>0.67361111111111116</v>
      </c>
      <c r="F1477" s="3">
        <v>1.5277777777777777E-2</v>
      </c>
      <c r="G1477" t="s">
        <v>16</v>
      </c>
      <c r="H1477" t="s">
        <v>1</v>
      </c>
    </row>
    <row r="1478" spans="1:8" x14ac:dyDescent="0.3">
      <c r="A1478" s="2">
        <v>44982</v>
      </c>
      <c r="B1478" s="2" t="str">
        <f>TEXT(AutoPomodoro[[#This Row],[DATE]],"mmmm")</f>
        <v>February</v>
      </c>
      <c r="C1478" s="2" t="str">
        <f>TEXT(AutoPomodoro[[#This Row],[DATE]],"yyyy")</f>
        <v>2023</v>
      </c>
      <c r="D1478" s="8">
        <f>E1477+$T$16</f>
        <v>0.67708333333333337</v>
      </c>
      <c r="E1478" s="8">
        <f t="shared" si="117"/>
        <v>0.69444444444444453</v>
      </c>
      <c r="F1478" s="3">
        <f>E1478-D1478</f>
        <v>1.736111111111116E-2</v>
      </c>
      <c r="G1478" t="s">
        <v>16</v>
      </c>
      <c r="H1478" t="s">
        <v>1</v>
      </c>
    </row>
    <row r="1479" spans="1:8" x14ac:dyDescent="0.3">
      <c r="A1479" s="2">
        <v>44982</v>
      </c>
      <c r="B1479" s="2" t="str">
        <f>TEXT(AutoPomodoro[[#This Row],[DATE]],"mmmm")</f>
        <v>February</v>
      </c>
      <c r="C1479" s="2" t="str">
        <f>TEXT(AutoPomodoro[[#This Row],[DATE]],"yyyy")</f>
        <v>2023</v>
      </c>
      <c r="D1479" s="8">
        <f>E1478+$T$16</f>
        <v>0.69791666666666674</v>
      </c>
      <c r="E1479" s="8">
        <f t="shared" si="117"/>
        <v>0.7152777777777779</v>
      </c>
      <c r="F1479" s="3">
        <f>E1479-D1479</f>
        <v>1.736111111111116E-2</v>
      </c>
      <c r="G1479" t="s">
        <v>16</v>
      </c>
      <c r="H1479" t="s">
        <v>1</v>
      </c>
    </row>
    <row r="1480" spans="1:8" x14ac:dyDescent="0.3">
      <c r="A1480" s="2">
        <v>44982</v>
      </c>
      <c r="B1480" s="2" t="str">
        <f>TEXT(AutoPomodoro[[#This Row],[DATE]],"mmmm")</f>
        <v>February</v>
      </c>
      <c r="C1480" s="2" t="str">
        <f>TEXT(AutoPomodoro[[#This Row],[DATE]],"yyyy")</f>
        <v>2023</v>
      </c>
      <c r="D1480" s="8">
        <v>0.72569444444444453</v>
      </c>
      <c r="E1480" s="8">
        <f t="shared" si="117"/>
        <v>0.74305555555555569</v>
      </c>
      <c r="F1480" s="3">
        <v>6.9444444444444441E-3</v>
      </c>
      <c r="G1480" t="s">
        <v>16</v>
      </c>
      <c r="H1480" t="s">
        <v>1</v>
      </c>
    </row>
    <row r="1481" spans="1:8" x14ac:dyDescent="0.3">
      <c r="A1481" s="2">
        <v>44982</v>
      </c>
      <c r="B1481" s="2" t="str">
        <f>TEXT(AutoPomodoro[[#This Row],[DATE]],"mmmm")</f>
        <v>February</v>
      </c>
      <c r="C1481" s="2" t="str">
        <f>TEXT(AutoPomodoro[[#This Row],[DATE]],"yyyy")</f>
        <v>2023</v>
      </c>
      <c r="D1481" s="8">
        <f>E1480+$T$16</f>
        <v>0.7465277777777779</v>
      </c>
      <c r="E1481" s="8">
        <f t="shared" si="117"/>
        <v>0.76388888888888906</v>
      </c>
      <c r="F1481" s="3">
        <v>2.0833333333333332E-2</v>
      </c>
      <c r="G1481" t="s">
        <v>16</v>
      </c>
      <c r="H1481" t="s">
        <v>1</v>
      </c>
    </row>
    <row r="1482" spans="1:8" x14ac:dyDescent="0.3">
      <c r="A1482" s="2">
        <v>44982</v>
      </c>
      <c r="B1482" s="2" t="str">
        <f>TEXT(AutoPomodoro[[#This Row],[DATE]],"mmmm")</f>
        <v>February</v>
      </c>
      <c r="C1482" s="2" t="str">
        <f>TEXT(AutoPomodoro[[#This Row],[DATE]],"yyyy")</f>
        <v>2023</v>
      </c>
      <c r="D1482" s="8">
        <f>E1481+$T$16</f>
        <v>0.76736111111111127</v>
      </c>
      <c r="E1482" s="8">
        <f t="shared" si="117"/>
        <v>0.78472222222222243</v>
      </c>
      <c r="F1482" s="3">
        <f>E1482-D1482</f>
        <v>1.736111111111116E-2</v>
      </c>
      <c r="G1482" t="s">
        <v>16</v>
      </c>
      <c r="H1482" t="s">
        <v>1</v>
      </c>
    </row>
    <row r="1483" spans="1:8" x14ac:dyDescent="0.3">
      <c r="A1483" s="2">
        <v>44983</v>
      </c>
      <c r="B1483" s="2" t="str">
        <f>TEXT(AutoPomodoro[[#This Row],[DATE]],"mmmm")</f>
        <v>February</v>
      </c>
      <c r="C1483" s="2" t="str">
        <f>TEXT(AutoPomodoro[[#This Row],[DATE]],"yyyy")</f>
        <v>2023</v>
      </c>
      <c r="D1483" s="8">
        <v>0.92083333333333339</v>
      </c>
      <c r="E1483" s="8">
        <v>0.94791666666666663</v>
      </c>
      <c r="F1483" s="3">
        <f>E1483-D1483</f>
        <v>2.7083333333333237E-2</v>
      </c>
      <c r="G1483" t="s">
        <v>16</v>
      </c>
      <c r="H1483" t="s">
        <v>1</v>
      </c>
    </row>
    <row r="1484" spans="1:8" x14ac:dyDescent="0.3">
      <c r="A1484" s="2">
        <v>44984</v>
      </c>
      <c r="B1484" s="2" t="str">
        <f>TEXT(AutoPomodoro[[#This Row],[DATE]],"mmmm")</f>
        <v>February</v>
      </c>
      <c r="C1484" s="2" t="str">
        <f>TEXT(AutoPomodoro[[#This Row],[DATE]],"yyyy")</f>
        <v>2023</v>
      </c>
      <c r="D1484" s="8">
        <v>0.59027777777777779</v>
      </c>
      <c r="E1484" s="8">
        <v>0.63888888888888895</v>
      </c>
      <c r="F1484" s="3">
        <v>5.5555555555555552E-2</v>
      </c>
      <c r="G1484" t="s">
        <v>16</v>
      </c>
      <c r="H1484" t="s">
        <v>1</v>
      </c>
    </row>
    <row r="1485" spans="1:8" x14ac:dyDescent="0.3">
      <c r="A1485" s="2">
        <v>44984</v>
      </c>
      <c r="B1485" s="2" t="str">
        <f>TEXT(AutoPomodoro[[#This Row],[DATE]],"mmmm")</f>
        <v>February</v>
      </c>
      <c r="C1485" s="2" t="str">
        <f>TEXT(AutoPomodoro[[#This Row],[DATE]],"yyyy")</f>
        <v>2023</v>
      </c>
      <c r="D1485" s="8">
        <v>0.64374999999999993</v>
      </c>
      <c r="E1485" s="8">
        <f t="shared" ref="E1485:E1491" si="118">D1485+$T$15</f>
        <v>0.66111111111111109</v>
      </c>
      <c r="F1485" s="3">
        <v>1.0416666666666666E-2</v>
      </c>
      <c r="G1485" t="s">
        <v>0</v>
      </c>
      <c r="H1485" t="s">
        <v>1</v>
      </c>
    </row>
    <row r="1486" spans="1:8" x14ac:dyDescent="0.3">
      <c r="A1486" s="2">
        <v>44984</v>
      </c>
      <c r="B1486" s="2" t="str">
        <f>TEXT(AutoPomodoro[[#This Row],[DATE]],"mmmm")</f>
        <v>February</v>
      </c>
      <c r="C1486" s="2" t="str">
        <f>TEXT(AutoPomodoro[[#This Row],[DATE]],"yyyy")</f>
        <v>2023</v>
      </c>
      <c r="D1486" s="8">
        <f>E1485+$T$16</f>
        <v>0.6645833333333333</v>
      </c>
      <c r="E1486" s="8">
        <f t="shared" si="118"/>
        <v>0.68194444444444446</v>
      </c>
      <c r="F1486" s="3">
        <f>E1486-D1486</f>
        <v>1.736111111111116E-2</v>
      </c>
      <c r="G1486" t="s">
        <v>16</v>
      </c>
      <c r="H1486" t="s">
        <v>1</v>
      </c>
    </row>
    <row r="1487" spans="1:8" x14ac:dyDescent="0.3">
      <c r="A1487" s="2">
        <v>44984</v>
      </c>
      <c r="B1487" s="2" t="str">
        <f>TEXT(AutoPomodoro[[#This Row],[DATE]],"mmmm")</f>
        <v>February</v>
      </c>
      <c r="C1487" s="2" t="str">
        <f>TEXT(AutoPomodoro[[#This Row],[DATE]],"yyyy")</f>
        <v>2023</v>
      </c>
      <c r="D1487" s="8">
        <f>E1486+$T$16</f>
        <v>0.68541666666666667</v>
      </c>
      <c r="E1487" s="8">
        <f t="shared" si="118"/>
        <v>0.70277777777777783</v>
      </c>
      <c r="F1487" s="3">
        <f>E1487-D1487</f>
        <v>1.736111111111116E-2</v>
      </c>
      <c r="G1487" t="s">
        <v>16</v>
      </c>
      <c r="H1487" t="s">
        <v>1</v>
      </c>
    </row>
    <row r="1488" spans="1:8" x14ac:dyDescent="0.3">
      <c r="A1488" s="2">
        <v>44984</v>
      </c>
      <c r="B1488" s="2" t="str">
        <f>TEXT(AutoPomodoro[[#This Row],[DATE]],"mmmm")</f>
        <v>February</v>
      </c>
      <c r="C1488" s="2" t="str">
        <f>TEXT(AutoPomodoro[[#This Row],[DATE]],"yyyy")</f>
        <v>2023</v>
      </c>
      <c r="D1488" s="8">
        <v>0.71319444444444446</v>
      </c>
      <c r="E1488" s="8">
        <f t="shared" si="118"/>
        <v>0.73055555555555562</v>
      </c>
      <c r="F1488" s="3">
        <f>E1488-D1488</f>
        <v>1.736111111111116E-2</v>
      </c>
      <c r="G1488" t="s">
        <v>16</v>
      </c>
      <c r="H1488" t="s">
        <v>1</v>
      </c>
    </row>
    <row r="1489" spans="1:8" x14ac:dyDescent="0.3">
      <c r="A1489" s="2">
        <v>44984</v>
      </c>
      <c r="B1489" s="2" t="str">
        <f>TEXT(AutoPomodoro[[#This Row],[DATE]],"mmmm")</f>
        <v>February</v>
      </c>
      <c r="C1489" s="2" t="str">
        <f>TEXT(AutoPomodoro[[#This Row],[DATE]],"yyyy")</f>
        <v>2023</v>
      </c>
      <c r="D1489" s="8">
        <f>E1488+$T$16</f>
        <v>0.73402777777777783</v>
      </c>
      <c r="E1489" s="8">
        <f t="shared" si="118"/>
        <v>0.75138888888888899</v>
      </c>
      <c r="F1489" s="3">
        <v>1.1111111111111112E-2</v>
      </c>
      <c r="G1489" t="s">
        <v>16</v>
      </c>
      <c r="H1489" t="s">
        <v>1</v>
      </c>
    </row>
    <row r="1490" spans="1:8" x14ac:dyDescent="0.3">
      <c r="A1490" s="2">
        <v>44984</v>
      </c>
      <c r="B1490" s="2" t="str">
        <f>TEXT(AutoPomodoro[[#This Row],[DATE]],"mmmm")</f>
        <v>February</v>
      </c>
      <c r="C1490" s="2" t="str">
        <f>TEXT(AutoPomodoro[[#This Row],[DATE]],"yyyy")</f>
        <v>2023</v>
      </c>
      <c r="D1490" s="8">
        <f>E1489+$T$16</f>
        <v>0.7548611111111112</v>
      </c>
      <c r="E1490" s="8">
        <f t="shared" si="118"/>
        <v>0.77222222222222237</v>
      </c>
      <c r="F1490" s="3">
        <f>E1490-D1490</f>
        <v>1.736111111111116E-2</v>
      </c>
      <c r="G1490" t="s">
        <v>16</v>
      </c>
      <c r="H1490" t="s">
        <v>1</v>
      </c>
    </row>
    <row r="1491" spans="1:8" x14ac:dyDescent="0.3">
      <c r="A1491" s="2">
        <v>44984</v>
      </c>
      <c r="B1491" s="2" t="str">
        <f>TEXT(AutoPomodoro[[#This Row],[DATE]],"mmmm")</f>
        <v>February</v>
      </c>
      <c r="C1491" s="2" t="str">
        <f>TEXT(AutoPomodoro[[#This Row],[DATE]],"yyyy")</f>
        <v>2023</v>
      </c>
      <c r="D1491" s="8">
        <f>E1490+$T$17</f>
        <v>0.77708333333333346</v>
      </c>
      <c r="E1491" s="8">
        <f t="shared" si="118"/>
        <v>0.79444444444444462</v>
      </c>
      <c r="F1491" s="3">
        <v>2.2222222222222223E-2</v>
      </c>
      <c r="G1491" t="s">
        <v>16</v>
      </c>
      <c r="H1491" t="s">
        <v>1</v>
      </c>
    </row>
    <row r="1492" spans="1:8" x14ac:dyDescent="0.3">
      <c r="A1492" s="2">
        <v>44985</v>
      </c>
      <c r="B1492" s="2" t="str">
        <f>TEXT(AutoPomodoro[[#This Row],[DATE]],"mmmm")</f>
        <v>February</v>
      </c>
      <c r="C1492" s="2" t="str">
        <f>TEXT(AutoPomodoro[[#This Row],[DATE]],"yyyy")</f>
        <v>2023</v>
      </c>
      <c r="D1492" s="8">
        <v>0.64583333333333337</v>
      </c>
      <c r="E1492" s="8">
        <v>0.6875</v>
      </c>
      <c r="F1492" s="3">
        <f t="shared" ref="F1492:F1498" si="119">E1492-D1492</f>
        <v>4.166666666666663E-2</v>
      </c>
      <c r="G1492" t="s">
        <v>16</v>
      </c>
      <c r="H1492" t="s">
        <v>1</v>
      </c>
    </row>
    <row r="1493" spans="1:8" x14ac:dyDescent="0.3">
      <c r="A1493" s="2">
        <v>44985</v>
      </c>
      <c r="B1493" s="2" t="str">
        <f>TEXT(AutoPomodoro[[#This Row],[DATE]],"mmmm")</f>
        <v>February</v>
      </c>
      <c r="C1493" s="2" t="str">
        <f>TEXT(AutoPomodoro[[#This Row],[DATE]],"yyyy")</f>
        <v>2023</v>
      </c>
      <c r="D1493" s="8">
        <v>0.69236111111111109</v>
      </c>
      <c r="E1493" s="8">
        <v>0.70972222222222225</v>
      </c>
      <c r="F1493" s="3">
        <f t="shared" si="119"/>
        <v>1.736111111111116E-2</v>
      </c>
      <c r="G1493" t="s">
        <v>16</v>
      </c>
      <c r="H1493" t="s">
        <v>1</v>
      </c>
    </row>
    <row r="1494" spans="1:8" x14ac:dyDescent="0.3">
      <c r="A1494" s="2">
        <v>44988</v>
      </c>
      <c r="B1494" s="2" t="str">
        <f>TEXT(AutoPomodoro[[#This Row],[DATE]],"mmmm")</f>
        <v>March</v>
      </c>
      <c r="C1494" s="2" t="str">
        <f>TEXT(AutoPomodoro[[#This Row],[DATE]],"yyyy")</f>
        <v>2023</v>
      </c>
      <c r="D1494" s="8">
        <v>0.53472222222222221</v>
      </c>
      <c r="E1494" s="8">
        <v>0.58333333333333337</v>
      </c>
      <c r="F1494" s="3">
        <f t="shared" si="119"/>
        <v>4.861111111111116E-2</v>
      </c>
      <c r="G1494" t="s">
        <v>16</v>
      </c>
      <c r="H1494" t="s">
        <v>1</v>
      </c>
    </row>
    <row r="1495" spans="1:8" x14ac:dyDescent="0.3">
      <c r="A1495" s="2">
        <v>44988</v>
      </c>
      <c r="B1495" s="2" t="str">
        <f>TEXT(AutoPomodoro[[#This Row],[DATE]],"mmmm")</f>
        <v>March</v>
      </c>
      <c r="C1495" s="2" t="str">
        <f>TEXT(AutoPomodoro[[#This Row],[DATE]],"yyyy")</f>
        <v>2023</v>
      </c>
      <c r="D1495" s="8">
        <v>0.58819444444444446</v>
      </c>
      <c r="E1495" s="8">
        <f t="shared" ref="E1495:E1500" si="120">D1495+$T$15</f>
        <v>0.60555555555555562</v>
      </c>
      <c r="F1495" s="3">
        <f t="shared" si="119"/>
        <v>1.736111111111116E-2</v>
      </c>
      <c r="G1495" t="s">
        <v>16</v>
      </c>
      <c r="H1495" t="s">
        <v>1</v>
      </c>
    </row>
    <row r="1496" spans="1:8" x14ac:dyDescent="0.3">
      <c r="A1496" s="2">
        <v>44988</v>
      </c>
      <c r="B1496" s="2" t="str">
        <f>TEXT(AutoPomodoro[[#This Row],[DATE]],"mmmm")</f>
        <v>March</v>
      </c>
      <c r="C1496" s="2" t="str">
        <f>TEXT(AutoPomodoro[[#This Row],[DATE]],"yyyy")</f>
        <v>2023</v>
      </c>
      <c r="D1496" s="8">
        <f>E1495+$T$16</f>
        <v>0.60902777777777783</v>
      </c>
      <c r="E1496" s="8">
        <f t="shared" si="120"/>
        <v>0.62638888888888899</v>
      </c>
      <c r="F1496" s="3">
        <f t="shared" si="119"/>
        <v>1.736111111111116E-2</v>
      </c>
      <c r="G1496" t="s">
        <v>16</v>
      </c>
      <c r="H1496" t="s">
        <v>1</v>
      </c>
    </row>
    <row r="1497" spans="1:8" x14ac:dyDescent="0.3">
      <c r="A1497" s="2">
        <v>44988</v>
      </c>
      <c r="B1497" s="2" t="str">
        <f>TEXT(AutoPomodoro[[#This Row],[DATE]],"mmmm")</f>
        <v>March</v>
      </c>
      <c r="C1497" s="2" t="str">
        <f>TEXT(AutoPomodoro[[#This Row],[DATE]],"yyyy")</f>
        <v>2023</v>
      </c>
      <c r="D1497" s="8">
        <f>E1496+$T$16</f>
        <v>0.6298611111111112</v>
      </c>
      <c r="E1497" s="8">
        <f t="shared" si="120"/>
        <v>0.64722222222222237</v>
      </c>
      <c r="F1497" s="3">
        <f t="shared" si="119"/>
        <v>1.736111111111116E-2</v>
      </c>
      <c r="G1497" t="s">
        <v>16</v>
      </c>
      <c r="H1497" t="s">
        <v>1</v>
      </c>
    </row>
    <row r="1498" spans="1:8" x14ac:dyDescent="0.3">
      <c r="A1498" s="2">
        <v>44988</v>
      </c>
      <c r="B1498" s="2" t="str">
        <f>TEXT(AutoPomodoro[[#This Row],[DATE]],"mmmm")</f>
        <v>March</v>
      </c>
      <c r="C1498" s="2" t="str">
        <f>TEXT(AutoPomodoro[[#This Row],[DATE]],"yyyy")</f>
        <v>2023</v>
      </c>
      <c r="D1498" s="8">
        <v>0.65763888888888888</v>
      </c>
      <c r="E1498" s="8">
        <f t="shared" si="120"/>
        <v>0.67500000000000004</v>
      </c>
      <c r="F1498" s="3">
        <f t="shared" si="119"/>
        <v>1.736111111111116E-2</v>
      </c>
      <c r="G1498" t="s">
        <v>16</v>
      </c>
      <c r="H1498" t="s">
        <v>2</v>
      </c>
    </row>
    <row r="1499" spans="1:8" x14ac:dyDescent="0.3">
      <c r="A1499" s="2">
        <v>44988</v>
      </c>
      <c r="B1499" s="2" t="str">
        <f>TEXT(AutoPomodoro[[#This Row],[DATE]],"mmmm")</f>
        <v>March</v>
      </c>
      <c r="C1499" s="2" t="str">
        <f>TEXT(AutoPomodoro[[#This Row],[DATE]],"yyyy")</f>
        <v>2023</v>
      </c>
      <c r="D1499" s="8">
        <f>E1498+$T$16</f>
        <v>0.67847222222222225</v>
      </c>
      <c r="E1499" s="8">
        <f t="shared" si="120"/>
        <v>0.69583333333333341</v>
      </c>
      <c r="F1499" s="3">
        <v>2.0833333333333332E-2</v>
      </c>
      <c r="G1499" t="s">
        <v>16</v>
      </c>
      <c r="H1499" t="s">
        <v>1</v>
      </c>
    </row>
    <row r="1500" spans="1:8" x14ac:dyDescent="0.3">
      <c r="A1500" s="2">
        <v>44988</v>
      </c>
      <c r="B1500" s="2" t="str">
        <f>TEXT(AutoPomodoro[[#This Row],[DATE]],"mmmm")</f>
        <v>March</v>
      </c>
      <c r="C1500" s="2" t="str">
        <f>TEXT(AutoPomodoro[[#This Row],[DATE]],"yyyy")</f>
        <v>2023</v>
      </c>
      <c r="D1500" s="8">
        <f>E1499+$T$16</f>
        <v>0.69930555555555562</v>
      </c>
      <c r="E1500" s="8">
        <f t="shared" si="120"/>
        <v>0.71666666666666679</v>
      </c>
      <c r="F1500" s="3">
        <v>3.2638888888888891E-2</v>
      </c>
      <c r="G1500" t="s">
        <v>16</v>
      </c>
      <c r="H1500" t="s">
        <v>1</v>
      </c>
    </row>
    <row r="1501" spans="1:8" x14ac:dyDescent="0.3">
      <c r="A1501" s="2">
        <v>44989</v>
      </c>
      <c r="B1501" s="2" t="str">
        <f>TEXT(AutoPomodoro[[#This Row],[DATE]],"mmmm")</f>
        <v>March</v>
      </c>
      <c r="C1501" s="2" t="str">
        <f>TEXT(AutoPomodoro[[#This Row],[DATE]],"yyyy")</f>
        <v>2023</v>
      </c>
      <c r="D1501" s="8">
        <v>0.68333333333333324</v>
      </c>
      <c r="E1501" s="8">
        <v>0.70763888888888893</v>
      </c>
      <c r="F1501" s="3">
        <f>E1501-D1501</f>
        <v>2.4305555555555691E-2</v>
      </c>
      <c r="G1501" t="s">
        <v>16</v>
      </c>
      <c r="H1501" t="s">
        <v>1</v>
      </c>
    </row>
    <row r="1502" spans="1:8" x14ac:dyDescent="0.3">
      <c r="A1502" s="2">
        <v>44989</v>
      </c>
      <c r="B1502" s="2" t="str">
        <f>TEXT(AutoPomodoro[[#This Row],[DATE]],"mmmm")</f>
        <v>March</v>
      </c>
      <c r="C1502" s="2" t="str">
        <f>TEXT(AutoPomodoro[[#This Row],[DATE]],"yyyy")</f>
        <v>2023</v>
      </c>
      <c r="D1502" s="8">
        <v>0.72777777777777775</v>
      </c>
      <c r="E1502" s="8">
        <v>0.73958333333333337</v>
      </c>
      <c r="F1502" s="3">
        <f>E1502-D1502</f>
        <v>1.1805555555555625E-2</v>
      </c>
      <c r="G1502" t="s">
        <v>16</v>
      </c>
      <c r="H1502" t="s">
        <v>1</v>
      </c>
    </row>
    <row r="1503" spans="1:8" x14ac:dyDescent="0.3">
      <c r="A1503" s="2">
        <v>44991</v>
      </c>
      <c r="B1503" s="2" t="str">
        <f>TEXT(AutoPomodoro[[#This Row],[DATE]],"mmmm")</f>
        <v>March</v>
      </c>
      <c r="C1503" s="2" t="str">
        <f>TEXT(AutoPomodoro[[#This Row],[DATE]],"yyyy")</f>
        <v>2023</v>
      </c>
      <c r="D1503" s="8">
        <v>0.72291666666666676</v>
      </c>
      <c r="E1503" s="8">
        <v>0.74236111111111114</v>
      </c>
      <c r="F1503" s="3">
        <f>E1503-D1503</f>
        <v>1.9444444444444375E-2</v>
      </c>
      <c r="G1503" t="s">
        <v>16</v>
      </c>
      <c r="H1503" t="s">
        <v>1</v>
      </c>
    </row>
    <row r="1504" spans="1:8" x14ac:dyDescent="0.3">
      <c r="A1504" s="2">
        <v>44992</v>
      </c>
      <c r="B1504" s="2" t="str">
        <f>TEXT(AutoPomodoro[[#This Row],[DATE]],"mmmm")</f>
        <v>March</v>
      </c>
      <c r="C1504" s="2" t="str">
        <f>TEXT(AutoPomodoro[[#This Row],[DATE]],"yyyy")</f>
        <v>2023</v>
      </c>
      <c r="D1504" s="8">
        <v>0.12222222222222223</v>
      </c>
      <c r="E1504" s="8">
        <v>0.15277777777777776</v>
      </c>
      <c r="F1504" s="3">
        <v>3.125E-2</v>
      </c>
      <c r="G1504" t="s">
        <v>16</v>
      </c>
      <c r="H1504" t="s">
        <v>1</v>
      </c>
    </row>
    <row r="1505" spans="1:8" x14ac:dyDescent="0.3">
      <c r="A1505" s="2">
        <v>44992</v>
      </c>
      <c r="B1505" s="2" t="str">
        <f>TEXT(AutoPomodoro[[#This Row],[DATE]],"mmmm")</f>
        <v>March</v>
      </c>
      <c r="C1505" s="2" t="str">
        <f>TEXT(AutoPomodoro[[#This Row],[DATE]],"yyyy")</f>
        <v>2023</v>
      </c>
      <c r="D1505" s="8">
        <v>0.60416666666666663</v>
      </c>
      <c r="E1505" s="8">
        <v>0.64583333333333337</v>
      </c>
      <c r="F1505" s="3">
        <v>2.0833333333333332E-2</v>
      </c>
      <c r="G1505" t="s">
        <v>16</v>
      </c>
      <c r="H1505" t="s">
        <v>1</v>
      </c>
    </row>
    <row r="1506" spans="1:8" x14ac:dyDescent="0.3">
      <c r="A1506" s="2">
        <v>44992</v>
      </c>
      <c r="B1506" s="2" t="str">
        <f>TEXT(AutoPomodoro[[#This Row],[DATE]],"mmmm")</f>
        <v>March</v>
      </c>
      <c r="C1506" s="2" t="str">
        <f>TEXT(AutoPomodoro[[#This Row],[DATE]],"yyyy")</f>
        <v>2023</v>
      </c>
      <c r="D1506" s="8">
        <v>0.65208333333333335</v>
      </c>
      <c r="E1506" s="8">
        <f>D1506+$T$15</f>
        <v>0.66944444444444451</v>
      </c>
      <c r="F1506" s="3">
        <f>E1506-D1506</f>
        <v>1.736111111111116E-2</v>
      </c>
      <c r="G1506" t="s">
        <v>16</v>
      </c>
      <c r="H1506" t="s">
        <v>1</v>
      </c>
    </row>
    <row r="1507" spans="1:8" x14ac:dyDescent="0.3">
      <c r="A1507" s="2">
        <v>44992</v>
      </c>
      <c r="B1507" s="2" t="str">
        <f>TEXT(AutoPomodoro[[#This Row],[DATE]],"mmmm")</f>
        <v>March</v>
      </c>
      <c r="C1507" s="2" t="str">
        <f>TEXT(AutoPomodoro[[#This Row],[DATE]],"yyyy")</f>
        <v>2023</v>
      </c>
      <c r="D1507" s="8">
        <f>E1506+$T$16</f>
        <v>0.67291666666666672</v>
      </c>
      <c r="E1507" s="8">
        <f>D1507+$T$15</f>
        <v>0.69027777777777788</v>
      </c>
      <c r="F1507" s="3">
        <f>E1507-D1507</f>
        <v>1.736111111111116E-2</v>
      </c>
      <c r="G1507" t="s">
        <v>16</v>
      </c>
      <c r="H1507" t="s">
        <v>1</v>
      </c>
    </row>
    <row r="1508" spans="1:8" x14ac:dyDescent="0.3">
      <c r="A1508" s="2">
        <v>44992</v>
      </c>
      <c r="B1508" s="2" t="str">
        <f>TEXT(AutoPomodoro[[#This Row],[DATE]],"mmmm")</f>
        <v>March</v>
      </c>
      <c r="C1508" s="2" t="str">
        <f>TEXT(AutoPomodoro[[#This Row],[DATE]],"yyyy")</f>
        <v>2023</v>
      </c>
      <c r="D1508" s="8">
        <f>E1507+$T$16</f>
        <v>0.69375000000000009</v>
      </c>
      <c r="E1508" s="8">
        <f>D1508+$T$15</f>
        <v>0.71111111111111125</v>
      </c>
      <c r="F1508" s="3">
        <v>1.1805555555555555E-2</v>
      </c>
      <c r="G1508" t="s">
        <v>16</v>
      </c>
      <c r="H1508" t="s">
        <v>1</v>
      </c>
    </row>
    <row r="1509" spans="1:8" x14ac:dyDescent="0.3">
      <c r="A1509" s="2">
        <v>44993</v>
      </c>
      <c r="B1509" s="2" t="str">
        <f>TEXT(AutoPomodoro[[#This Row],[DATE]],"mmmm")</f>
        <v>March</v>
      </c>
      <c r="C1509" s="2" t="str">
        <f>TEXT(AutoPomodoro[[#This Row],[DATE]],"yyyy")</f>
        <v>2023</v>
      </c>
      <c r="D1509" s="8">
        <v>0.11805555555555557</v>
      </c>
      <c r="E1509" s="8">
        <v>0.13749999999999998</v>
      </c>
      <c r="F1509" s="3">
        <f>E1509-D1509</f>
        <v>1.9444444444444417E-2</v>
      </c>
      <c r="G1509" t="s">
        <v>16</v>
      </c>
      <c r="H1509" t="s">
        <v>1</v>
      </c>
    </row>
    <row r="1510" spans="1:8" x14ac:dyDescent="0.3">
      <c r="A1510" s="2">
        <v>44993</v>
      </c>
      <c r="B1510" s="2" t="str">
        <f>TEXT(AutoPomodoro[[#This Row],[DATE]],"mmmm")</f>
        <v>March</v>
      </c>
      <c r="C1510" s="2" t="str">
        <f>TEXT(AutoPomodoro[[#This Row],[DATE]],"yyyy")</f>
        <v>2023</v>
      </c>
      <c r="D1510" s="8">
        <v>0.63541666666666663</v>
      </c>
      <c r="E1510" s="8">
        <v>0.67708333333333337</v>
      </c>
      <c r="F1510" s="3">
        <v>3.8194444444444441E-2</v>
      </c>
      <c r="G1510" t="s">
        <v>16</v>
      </c>
      <c r="H1510" t="s">
        <v>1</v>
      </c>
    </row>
    <row r="1511" spans="1:8" x14ac:dyDescent="0.3">
      <c r="A1511" s="2">
        <v>44994</v>
      </c>
      <c r="B1511" s="2" t="str">
        <f>TEXT(AutoPomodoro[[#This Row],[DATE]],"mmmm")</f>
        <v>March</v>
      </c>
      <c r="C1511" s="2" t="str">
        <f>TEXT(AutoPomodoro[[#This Row],[DATE]],"yyyy")</f>
        <v>2023</v>
      </c>
      <c r="D1511" s="8">
        <v>0.65625</v>
      </c>
      <c r="E1511" s="8">
        <v>0.69444444444444453</v>
      </c>
      <c r="F1511" s="3">
        <f>E1511-D1511</f>
        <v>3.8194444444444531E-2</v>
      </c>
      <c r="G1511" t="s">
        <v>16</v>
      </c>
      <c r="H1511" t="s">
        <v>1</v>
      </c>
    </row>
    <row r="1512" spans="1:8" x14ac:dyDescent="0.3">
      <c r="A1512" s="2">
        <v>44995</v>
      </c>
      <c r="B1512" s="2" t="str">
        <f>TEXT(AutoPomodoro[[#This Row],[DATE]],"mmmm")</f>
        <v>March</v>
      </c>
      <c r="C1512" s="2" t="str">
        <f>TEXT(AutoPomodoro[[#This Row],[DATE]],"yyyy")</f>
        <v>2023</v>
      </c>
      <c r="D1512" s="8">
        <v>0.57986111111111105</v>
      </c>
      <c r="E1512" s="8">
        <v>0.625</v>
      </c>
      <c r="F1512" s="3">
        <v>3.9583333333333331E-2</v>
      </c>
      <c r="G1512" t="s">
        <v>16</v>
      </c>
      <c r="H1512" t="s">
        <v>1</v>
      </c>
    </row>
    <row r="1513" spans="1:8" x14ac:dyDescent="0.3">
      <c r="A1513" s="2">
        <v>44995</v>
      </c>
      <c r="B1513" s="2" t="str">
        <f>TEXT(AutoPomodoro[[#This Row],[DATE]],"mmmm")</f>
        <v>March</v>
      </c>
      <c r="C1513" s="2" t="str">
        <f>TEXT(AutoPomodoro[[#This Row],[DATE]],"yyyy")</f>
        <v>2023</v>
      </c>
      <c r="D1513" s="8">
        <v>0.62986111111111109</v>
      </c>
      <c r="E1513" s="8">
        <f>D1513+$T$15</f>
        <v>0.64722222222222225</v>
      </c>
      <c r="F1513" s="3">
        <f>E1513-D1513</f>
        <v>1.736111111111116E-2</v>
      </c>
      <c r="G1513" t="s">
        <v>16</v>
      </c>
      <c r="H1513" t="s">
        <v>1</v>
      </c>
    </row>
    <row r="1514" spans="1:8" x14ac:dyDescent="0.3">
      <c r="A1514" s="2">
        <v>44995</v>
      </c>
      <c r="B1514" s="2" t="str">
        <f>TEXT(AutoPomodoro[[#This Row],[DATE]],"mmmm")</f>
        <v>March</v>
      </c>
      <c r="C1514" s="2" t="str">
        <f>TEXT(AutoPomodoro[[#This Row],[DATE]],"yyyy")</f>
        <v>2023</v>
      </c>
      <c r="D1514" s="8">
        <f>E1513+$T$16</f>
        <v>0.65069444444444446</v>
      </c>
      <c r="E1514" s="8">
        <f>D1514+$T$15</f>
        <v>0.66805555555555562</v>
      </c>
      <c r="F1514" s="3">
        <f>E1514-D1514</f>
        <v>1.736111111111116E-2</v>
      </c>
      <c r="G1514" t="s">
        <v>16</v>
      </c>
      <c r="H1514" t="s">
        <v>1</v>
      </c>
    </row>
    <row r="1515" spans="1:8" x14ac:dyDescent="0.3">
      <c r="A1515" s="2">
        <v>44995</v>
      </c>
      <c r="B1515" s="2" t="str">
        <f>TEXT(AutoPomodoro[[#This Row],[DATE]],"mmmm")</f>
        <v>March</v>
      </c>
      <c r="C1515" s="2" t="str">
        <f>TEXT(AutoPomodoro[[#This Row],[DATE]],"yyyy")</f>
        <v>2023</v>
      </c>
      <c r="D1515" s="8">
        <f>E1514+$T$16</f>
        <v>0.67152777777777783</v>
      </c>
      <c r="E1515" s="8">
        <f>D1515+$T$15</f>
        <v>0.68888888888888899</v>
      </c>
      <c r="F1515" s="3">
        <f>E1515-D1515</f>
        <v>1.736111111111116E-2</v>
      </c>
      <c r="G1515" t="s">
        <v>16</v>
      </c>
      <c r="H1515" t="s">
        <v>1</v>
      </c>
    </row>
    <row r="1516" spans="1:8" x14ac:dyDescent="0.3">
      <c r="A1516" s="2">
        <v>44995</v>
      </c>
      <c r="B1516" s="2" t="str">
        <f>TEXT(AutoPomodoro[[#This Row],[DATE]],"mmmm")</f>
        <v>March</v>
      </c>
      <c r="C1516" s="2" t="str">
        <f>TEXT(AutoPomodoro[[#This Row],[DATE]],"yyyy")</f>
        <v>2023</v>
      </c>
      <c r="D1516" s="8">
        <v>0.69444444444444453</v>
      </c>
      <c r="E1516" s="8">
        <v>0.72569444444444453</v>
      </c>
      <c r="F1516" s="3">
        <v>2.5694444444444447E-2</v>
      </c>
      <c r="G1516" t="s">
        <v>16</v>
      </c>
      <c r="H1516" t="s">
        <v>1</v>
      </c>
    </row>
    <row r="1517" spans="1:8" x14ac:dyDescent="0.3">
      <c r="A1517" s="2">
        <v>44995</v>
      </c>
      <c r="B1517" s="2" t="str">
        <f>TEXT(AutoPomodoro[[#This Row],[DATE]],"mmmm")</f>
        <v>March</v>
      </c>
      <c r="C1517" s="2" t="str">
        <f>TEXT(AutoPomodoro[[#This Row],[DATE]],"yyyy")</f>
        <v>2023</v>
      </c>
      <c r="D1517" s="8">
        <v>0.86875000000000002</v>
      </c>
      <c r="E1517" s="8">
        <v>0.89236111111111116</v>
      </c>
      <c r="F1517" s="3">
        <f>E1517-D1517</f>
        <v>2.3611111111111138E-2</v>
      </c>
      <c r="G1517" t="s">
        <v>16</v>
      </c>
      <c r="H1517" t="s">
        <v>1</v>
      </c>
    </row>
    <row r="1518" spans="1:8" x14ac:dyDescent="0.3">
      <c r="A1518" s="2">
        <v>44996</v>
      </c>
      <c r="B1518" s="2" t="str">
        <f>TEXT(AutoPomodoro[[#This Row],[DATE]],"mmmm")</f>
        <v>March</v>
      </c>
      <c r="C1518" s="2" t="str">
        <f>TEXT(AutoPomodoro[[#This Row],[DATE]],"yyyy")</f>
        <v>2023</v>
      </c>
      <c r="D1518" s="8">
        <v>0.72916666666666663</v>
      </c>
      <c r="E1518" s="8">
        <v>0.77777777777777779</v>
      </c>
      <c r="F1518" s="3">
        <v>4.9999999999999996E-2</v>
      </c>
      <c r="G1518" t="s">
        <v>16</v>
      </c>
      <c r="H1518" t="s">
        <v>1</v>
      </c>
    </row>
    <row r="1519" spans="1:8" x14ac:dyDescent="0.3">
      <c r="A1519" s="2">
        <v>44996</v>
      </c>
      <c r="B1519" s="2" t="str">
        <f>TEXT(AutoPomodoro[[#This Row],[DATE]],"mmmm")</f>
        <v>March</v>
      </c>
      <c r="C1519" s="2" t="str">
        <f>TEXT(AutoPomodoro[[#This Row],[DATE]],"yyyy")</f>
        <v>2023</v>
      </c>
      <c r="D1519" s="8">
        <v>0.78333333333333333</v>
      </c>
      <c r="E1519" s="8">
        <f>D1519+$T$15</f>
        <v>0.80069444444444449</v>
      </c>
      <c r="F1519" s="3">
        <f t="shared" ref="F1519:F1524" si="121">E1519-D1519</f>
        <v>1.736111111111116E-2</v>
      </c>
      <c r="G1519" t="s">
        <v>16</v>
      </c>
      <c r="H1519" t="s">
        <v>1</v>
      </c>
    </row>
    <row r="1520" spans="1:8" x14ac:dyDescent="0.3">
      <c r="A1520" s="2">
        <v>44996</v>
      </c>
      <c r="B1520" s="2" t="str">
        <f>TEXT(AutoPomodoro[[#This Row],[DATE]],"mmmm")</f>
        <v>March</v>
      </c>
      <c r="C1520" s="2" t="str">
        <f>TEXT(AutoPomodoro[[#This Row],[DATE]],"yyyy")</f>
        <v>2023</v>
      </c>
      <c r="D1520" s="8">
        <f>E1519+$T$16</f>
        <v>0.8041666666666667</v>
      </c>
      <c r="E1520" s="8">
        <f>D1520+$T$15</f>
        <v>0.82152777777777786</v>
      </c>
      <c r="F1520" s="3">
        <f t="shared" si="121"/>
        <v>1.736111111111116E-2</v>
      </c>
      <c r="G1520" t="s">
        <v>16</v>
      </c>
      <c r="H1520" t="s">
        <v>1</v>
      </c>
    </row>
    <row r="1521" spans="1:8" x14ac:dyDescent="0.3">
      <c r="A1521" s="2">
        <v>44996</v>
      </c>
      <c r="B1521" s="2" t="str">
        <f>TEXT(AutoPomodoro[[#This Row],[DATE]],"mmmm")</f>
        <v>March</v>
      </c>
      <c r="C1521" s="2" t="str">
        <f>TEXT(AutoPomodoro[[#This Row],[DATE]],"yyyy")</f>
        <v>2023</v>
      </c>
      <c r="D1521" s="8">
        <f>E1520+$T$16</f>
        <v>0.82500000000000007</v>
      </c>
      <c r="E1521" s="8">
        <f>D1521+$T$15</f>
        <v>0.84236111111111123</v>
      </c>
      <c r="F1521" s="3">
        <f t="shared" si="121"/>
        <v>1.736111111111116E-2</v>
      </c>
      <c r="G1521" t="s">
        <v>16</v>
      </c>
      <c r="H1521" t="s">
        <v>1</v>
      </c>
    </row>
    <row r="1522" spans="1:8" x14ac:dyDescent="0.3">
      <c r="A1522" s="2">
        <v>44996</v>
      </c>
      <c r="B1522" s="2" t="str">
        <f>TEXT(AutoPomodoro[[#This Row],[DATE]],"mmmm")</f>
        <v>March</v>
      </c>
      <c r="C1522" s="2" t="str">
        <f>TEXT(AutoPomodoro[[#This Row],[DATE]],"yyyy")</f>
        <v>2023</v>
      </c>
      <c r="D1522" s="8">
        <v>0.97083333333333333</v>
      </c>
      <c r="E1522" s="8">
        <v>0.98958333333333337</v>
      </c>
      <c r="F1522" s="3">
        <f t="shared" si="121"/>
        <v>1.8750000000000044E-2</v>
      </c>
      <c r="G1522" t="s">
        <v>16</v>
      </c>
      <c r="H1522" t="s">
        <v>1</v>
      </c>
    </row>
    <row r="1523" spans="1:8" x14ac:dyDescent="0.3">
      <c r="A1523" s="2">
        <v>44997</v>
      </c>
      <c r="B1523" s="2" t="str">
        <f>TEXT(AutoPomodoro[[#This Row],[DATE]],"mmmm")</f>
        <v>March</v>
      </c>
      <c r="C1523" s="2" t="str">
        <f>TEXT(AutoPomodoro[[#This Row],[DATE]],"yyyy")</f>
        <v>2023</v>
      </c>
      <c r="D1523" s="8">
        <v>1.3888888888888888E-2</v>
      </c>
      <c r="E1523" s="8">
        <v>2.5694444444444447E-2</v>
      </c>
      <c r="F1523" s="3">
        <f t="shared" si="121"/>
        <v>1.1805555555555559E-2</v>
      </c>
      <c r="G1523" t="s">
        <v>16</v>
      </c>
      <c r="H1523" t="s">
        <v>1</v>
      </c>
    </row>
    <row r="1524" spans="1:8" x14ac:dyDescent="0.3">
      <c r="A1524" s="2">
        <v>44997</v>
      </c>
      <c r="B1524" s="2" t="str">
        <f>TEXT(AutoPomodoro[[#This Row],[DATE]],"mmmm")</f>
        <v>March</v>
      </c>
      <c r="C1524" s="2" t="str">
        <f>TEXT(AutoPomodoro[[#This Row],[DATE]],"yyyy")</f>
        <v>2023</v>
      </c>
      <c r="D1524" s="8">
        <v>2.9166666666666664E-2</v>
      </c>
      <c r="E1524" s="8">
        <v>3.6805555555555557E-2</v>
      </c>
      <c r="F1524" s="3">
        <f t="shared" si="121"/>
        <v>7.638888888888893E-3</v>
      </c>
      <c r="G1524" t="s">
        <v>16</v>
      </c>
      <c r="H1524" t="s">
        <v>1</v>
      </c>
    </row>
    <row r="1525" spans="1:8" x14ac:dyDescent="0.3">
      <c r="A1525" s="2">
        <v>44997</v>
      </c>
      <c r="B1525" s="2" t="str">
        <f>TEXT(AutoPomodoro[[#This Row],[DATE]],"mmmm")</f>
        <v>March</v>
      </c>
      <c r="C1525" s="2" t="str">
        <f>TEXT(AutoPomodoro[[#This Row],[DATE]],"yyyy")</f>
        <v>2023</v>
      </c>
      <c r="D1525" s="8">
        <v>0.5625</v>
      </c>
      <c r="E1525" s="8">
        <v>0.625</v>
      </c>
      <c r="F1525" s="3">
        <v>5.5555555555555552E-2</v>
      </c>
      <c r="G1525" t="s">
        <v>16</v>
      </c>
      <c r="H1525" t="s">
        <v>1</v>
      </c>
    </row>
    <row r="1526" spans="1:8" x14ac:dyDescent="0.3">
      <c r="A1526" s="2">
        <v>44997</v>
      </c>
      <c r="B1526" s="2" t="str">
        <f>TEXT(AutoPomodoro[[#This Row],[DATE]],"mmmm")</f>
        <v>March</v>
      </c>
      <c r="C1526" s="2" t="str">
        <f>TEXT(AutoPomodoro[[#This Row],[DATE]],"yyyy")</f>
        <v>2023</v>
      </c>
      <c r="D1526" s="8">
        <v>0.62986111111111109</v>
      </c>
      <c r="E1526" s="8">
        <f>D1526+$T$15</f>
        <v>0.64722222222222225</v>
      </c>
      <c r="F1526" s="3">
        <v>2.1527777777777781E-2</v>
      </c>
      <c r="G1526" t="s">
        <v>16</v>
      </c>
      <c r="H1526" t="s">
        <v>1</v>
      </c>
    </row>
    <row r="1527" spans="1:8" x14ac:dyDescent="0.3">
      <c r="A1527" s="2">
        <v>44997</v>
      </c>
      <c r="B1527" s="2" t="str">
        <f>TEXT(AutoPomodoro[[#This Row],[DATE]],"mmmm")</f>
        <v>March</v>
      </c>
      <c r="C1527" s="2" t="str">
        <f>TEXT(AutoPomodoro[[#This Row],[DATE]],"yyyy")</f>
        <v>2023</v>
      </c>
      <c r="D1527" s="8">
        <v>0.66666666666666663</v>
      </c>
      <c r="E1527" s="8">
        <f>D1527+$T$15</f>
        <v>0.68402777777777779</v>
      </c>
      <c r="F1527" s="3">
        <v>1.3194444444444444E-2</v>
      </c>
      <c r="G1527" t="s">
        <v>16</v>
      </c>
      <c r="H1527" t="s">
        <v>1</v>
      </c>
    </row>
    <row r="1528" spans="1:8" x14ac:dyDescent="0.3">
      <c r="A1528" s="2">
        <v>44997</v>
      </c>
      <c r="B1528" s="2" t="str">
        <f>TEXT(AutoPomodoro[[#This Row],[DATE]],"mmmm")</f>
        <v>March</v>
      </c>
      <c r="C1528" s="2" t="str">
        <f>TEXT(AutoPomodoro[[#This Row],[DATE]],"yyyy")</f>
        <v>2023</v>
      </c>
      <c r="D1528" s="8">
        <f>E1527+$T$16</f>
        <v>0.6875</v>
      </c>
      <c r="E1528" s="8">
        <f>D1528+$T$15</f>
        <v>0.70486111111111116</v>
      </c>
      <c r="F1528" s="3">
        <f>E1528-D1528</f>
        <v>1.736111111111116E-2</v>
      </c>
      <c r="G1528" t="s">
        <v>16</v>
      </c>
      <c r="H1528" t="s">
        <v>1</v>
      </c>
    </row>
    <row r="1529" spans="1:8" x14ac:dyDescent="0.3">
      <c r="A1529" s="2">
        <v>44997</v>
      </c>
      <c r="B1529" s="2" t="str">
        <f>TEXT(AutoPomodoro[[#This Row],[DATE]],"mmmm")</f>
        <v>March</v>
      </c>
      <c r="C1529" s="2" t="str">
        <f>TEXT(AutoPomodoro[[#This Row],[DATE]],"yyyy")</f>
        <v>2023</v>
      </c>
      <c r="D1529" s="8">
        <v>0.70833333333333337</v>
      </c>
      <c r="E1529" s="8">
        <f>D1529+$T$15</f>
        <v>0.72569444444444453</v>
      </c>
      <c r="F1529" s="3">
        <f>E1529-D1529</f>
        <v>1.736111111111116E-2</v>
      </c>
      <c r="G1529" t="s">
        <v>16</v>
      </c>
      <c r="H1529" t="s">
        <v>1</v>
      </c>
    </row>
    <row r="1530" spans="1:8" x14ac:dyDescent="0.3">
      <c r="A1530" s="2">
        <v>44999</v>
      </c>
      <c r="B1530" s="2" t="str">
        <f>TEXT(AutoPomodoro[[#This Row],[DATE]],"mmmm")</f>
        <v>March</v>
      </c>
      <c r="C1530" s="2" t="str">
        <f>TEXT(AutoPomodoro[[#This Row],[DATE]],"yyyy")</f>
        <v>2023</v>
      </c>
      <c r="D1530" s="8">
        <v>0</v>
      </c>
      <c r="E1530" s="8">
        <v>7.7777777777777779E-2</v>
      </c>
      <c r="F1530" s="3">
        <f>E1530-D1530</f>
        <v>7.7777777777777779E-2</v>
      </c>
      <c r="G1530" t="s">
        <v>16</v>
      </c>
      <c r="H1530" t="s">
        <v>1</v>
      </c>
    </row>
    <row r="1531" spans="1:8" x14ac:dyDescent="0.3">
      <c r="A1531" s="2">
        <v>45000</v>
      </c>
      <c r="B1531" s="2" t="str">
        <f>TEXT(AutoPomodoro[[#This Row],[DATE]],"mmmm")</f>
        <v>March</v>
      </c>
      <c r="C1531" s="2" t="str">
        <f>TEXT(AutoPomodoro[[#This Row],[DATE]],"yyyy")</f>
        <v>2023</v>
      </c>
      <c r="D1531" s="8">
        <v>0.60486111111111118</v>
      </c>
      <c r="E1531" s="8">
        <v>0.65347222222222223</v>
      </c>
      <c r="F1531" s="3">
        <v>4.5138888888888888E-2</v>
      </c>
      <c r="G1531" t="s">
        <v>16</v>
      </c>
      <c r="H1531" t="s">
        <v>1</v>
      </c>
    </row>
    <row r="1532" spans="1:8" x14ac:dyDescent="0.3">
      <c r="A1532" s="2">
        <v>45000</v>
      </c>
      <c r="B1532" s="2" t="str">
        <f>TEXT(AutoPomodoro[[#This Row],[DATE]],"mmmm")</f>
        <v>March</v>
      </c>
      <c r="C1532" s="2" t="str">
        <f>TEXT(AutoPomodoro[[#This Row],[DATE]],"yyyy")</f>
        <v>2023</v>
      </c>
      <c r="D1532" s="8">
        <v>0.65833333333333333</v>
      </c>
      <c r="E1532" s="8">
        <v>0.68055555555555547</v>
      </c>
      <c r="F1532" s="3">
        <f>E1532-D1532</f>
        <v>2.2222222222222143E-2</v>
      </c>
      <c r="G1532" t="s">
        <v>16</v>
      </c>
      <c r="H1532" t="s">
        <v>1</v>
      </c>
    </row>
    <row r="1533" spans="1:8" x14ac:dyDescent="0.3">
      <c r="A1533" s="2">
        <v>45001</v>
      </c>
      <c r="B1533" s="2" t="str">
        <f>TEXT(AutoPomodoro[[#This Row],[DATE]],"mmmm")</f>
        <v>March</v>
      </c>
      <c r="C1533" s="2" t="str">
        <f>TEXT(AutoPomodoro[[#This Row],[DATE]],"yyyy")</f>
        <v>2023</v>
      </c>
      <c r="D1533" s="8">
        <v>1.5277777777777777E-2</v>
      </c>
      <c r="E1533" s="8">
        <v>4.9999999999999996E-2</v>
      </c>
      <c r="F1533" s="3">
        <f>E1533-D1533</f>
        <v>3.4722222222222217E-2</v>
      </c>
      <c r="G1533" t="s">
        <v>16</v>
      </c>
      <c r="H1533" t="s">
        <v>1</v>
      </c>
    </row>
    <row r="1534" spans="1:8" x14ac:dyDescent="0.3">
      <c r="A1534" s="2">
        <v>45001</v>
      </c>
      <c r="B1534" s="2" t="str">
        <f>TEXT(AutoPomodoro[[#This Row],[DATE]],"mmmm")</f>
        <v>March</v>
      </c>
      <c r="C1534" s="2" t="str">
        <f>TEXT(AutoPomodoro[[#This Row],[DATE]],"yyyy")</f>
        <v>2023</v>
      </c>
      <c r="D1534" s="8">
        <v>6.25E-2</v>
      </c>
      <c r="E1534" s="8">
        <v>8.9583333333333334E-2</v>
      </c>
      <c r="F1534" s="3">
        <f>E1534-D1534</f>
        <v>2.7083333333333334E-2</v>
      </c>
      <c r="G1534" t="s">
        <v>16</v>
      </c>
      <c r="H1534" t="s">
        <v>1</v>
      </c>
    </row>
    <row r="1535" spans="1:8" x14ac:dyDescent="0.3">
      <c r="A1535" s="2">
        <v>45001</v>
      </c>
      <c r="B1535" s="2" t="str">
        <f>TEXT(AutoPomodoro[[#This Row],[DATE]],"mmmm")</f>
        <v>March</v>
      </c>
      <c r="C1535" s="2" t="str">
        <f>TEXT(AutoPomodoro[[#This Row],[DATE]],"yyyy")</f>
        <v>2023</v>
      </c>
      <c r="D1535" s="8">
        <v>0.58819444444444446</v>
      </c>
      <c r="E1535" s="8">
        <v>0.63680555555555551</v>
      </c>
      <c r="F1535" s="3">
        <v>4.1666666666666664E-2</v>
      </c>
      <c r="G1535" t="s">
        <v>16</v>
      </c>
      <c r="H1535" t="s">
        <v>1</v>
      </c>
    </row>
    <row r="1536" spans="1:8" x14ac:dyDescent="0.3">
      <c r="A1536" s="2">
        <v>45006</v>
      </c>
      <c r="B1536" s="2" t="str">
        <f>TEXT(AutoPomodoro[[#This Row],[DATE]],"mmmm")</f>
        <v>March</v>
      </c>
      <c r="C1536" s="2" t="str">
        <f>TEXT(AutoPomodoro[[#This Row],[DATE]],"yyyy")</f>
        <v>2023</v>
      </c>
      <c r="D1536" s="8">
        <v>0.60763888888888895</v>
      </c>
      <c r="E1536" s="8">
        <v>0.65625</v>
      </c>
      <c r="F1536" s="3">
        <v>3.8194444444444441E-2</v>
      </c>
      <c r="G1536" t="s">
        <v>16</v>
      </c>
      <c r="H1536" t="s">
        <v>1</v>
      </c>
    </row>
    <row r="1537" spans="1:8" x14ac:dyDescent="0.3">
      <c r="A1537" s="2">
        <v>45006</v>
      </c>
      <c r="B1537" s="2" t="str">
        <f>TEXT(AutoPomodoro[[#This Row],[DATE]],"mmmm")</f>
        <v>March</v>
      </c>
      <c r="C1537" s="2" t="str">
        <f>TEXT(AutoPomodoro[[#This Row],[DATE]],"yyyy")</f>
        <v>2023</v>
      </c>
      <c r="D1537" s="8">
        <v>0.66111111111111109</v>
      </c>
      <c r="E1537" s="8">
        <f>D1537+$T$15</f>
        <v>0.67847222222222225</v>
      </c>
      <c r="F1537" s="3">
        <v>1.7361111111111112E-2</v>
      </c>
      <c r="G1537" t="s">
        <v>16</v>
      </c>
      <c r="H1537" t="s">
        <v>1</v>
      </c>
    </row>
    <row r="1538" spans="1:8" x14ac:dyDescent="0.3">
      <c r="A1538" s="2">
        <v>45006</v>
      </c>
      <c r="B1538" s="2" t="str">
        <f>TEXT(AutoPomodoro[[#This Row],[DATE]],"mmmm")</f>
        <v>March</v>
      </c>
      <c r="C1538" s="2" t="str">
        <f>TEXT(AutoPomodoro[[#This Row],[DATE]],"yyyy")</f>
        <v>2023</v>
      </c>
      <c r="D1538" s="8">
        <f>E1537+$T$16</f>
        <v>0.68194444444444446</v>
      </c>
      <c r="E1538" s="8">
        <f>D1538+$T$15</f>
        <v>0.69930555555555562</v>
      </c>
      <c r="F1538" s="3">
        <v>1.3194444444444444E-2</v>
      </c>
      <c r="G1538" t="s">
        <v>16</v>
      </c>
      <c r="H1538" t="s">
        <v>1</v>
      </c>
    </row>
    <row r="1539" spans="1:8" x14ac:dyDescent="0.3">
      <c r="A1539" s="2">
        <v>45008</v>
      </c>
      <c r="B1539" s="2" t="str">
        <f>TEXT(AutoPomodoro[[#This Row],[DATE]],"mmmm")</f>
        <v>March</v>
      </c>
      <c r="C1539" s="2" t="str">
        <f>TEXT(AutoPomodoro[[#This Row],[DATE]],"yyyy")</f>
        <v>2023</v>
      </c>
      <c r="D1539" s="8">
        <v>0.57291666666666663</v>
      </c>
      <c r="E1539" s="8">
        <v>0.62152777777777779</v>
      </c>
      <c r="F1539" s="3">
        <v>4.6527777777777779E-2</v>
      </c>
      <c r="G1539" t="s">
        <v>16</v>
      </c>
      <c r="H1539" t="s">
        <v>1</v>
      </c>
    </row>
    <row r="1540" spans="1:8" x14ac:dyDescent="0.3">
      <c r="A1540" s="2">
        <v>45008</v>
      </c>
      <c r="B1540" s="2" t="str">
        <f>TEXT(AutoPomodoro[[#This Row],[DATE]],"mmmm")</f>
        <v>March</v>
      </c>
      <c r="C1540" s="2" t="str">
        <f>TEXT(AutoPomodoro[[#This Row],[DATE]],"yyyy")</f>
        <v>2023</v>
      </c>
      <c r="D1540" s="8">
        <v>0.62638888888888888</v>
      </c>
      <c r="E1540" s="8">
        <f>D1540+$T$15</f>
        <v>0.64375000000000004</v>
      </c>
      <c r="F1540" s="3">
        <v>1.1805555555555555E-2</v>
      </c>
      <c r="G1540" t="s">
        <v>16</v>
      </c>
      <c r="H1540" t="s">
        <v>1</v>
      </c>
    </row>
    <row r="1541" spans="1:8" x14ac:dyDescent="0.3">
      <c r="A1541" s="2">
        <v>45009</v>
      </c>
      <c r="B1541" s="2" t="str">
        <f>TEXT(AutoPomodoro[[#This Row],[DATE]],"mmmm")</f>
        <v>March</v>
      </c>
      <c r="C1541" s="2" t="str">
        <f>TEXT(AutoPomodoro[[#This Row],[DATE]],"yyyy")</f>
        <v>2023</v>
      </c>
      <c r="D1541" s="8">
        <v>0.64930555555555558</v>
      </c>
      <c r="E1541" s="8">
        <v>0.69791666666666663</v>
      </c>
      <c r="F1541" s="3">
        <f>E1541-D1541</f>
        <v>4.8611111111111049E-2</v>
      </c>
      <c r="G1541" t="s">
        <v>16</v>
      </c>
      <c r="H1541" t="s">
        <v>1</v>
      </c>
    </row>
    <row r="1542" spans="1:8" x14ac:dyDescent="0.3">
      <c r="A1542" s="2">
        <v>45010</v>
      </c>
      <c r="B1542" s="2" t="str">
        <f>TEXT(AutoPomodoro[[#This Row],[DATE]],"mmmm")</f>
        <v>March</v>
      </c>
      <c r="C1542" s="2" t="str">
        <f>TEXT(AutoPomodoro[[#This Row],[DATE]],"yyyy")</f>
        <v>2023</v>
      </c>
      <c r="D1542" s="8">
        <v>0.56944444444444442</v>
      </c>
      <c r="E1542" s="8">
        <f>D1542+$T$15</f>
        <v>0.58680555555555558</v>
      </c>
      <c r="F1542" s="3">
        <v>1.3888888888888888E-2</v>
      </c>
      <c r="G1542" t="s">
        <v>0</v>
      </c>
      <c r="H1542" t="s">
        <v>1</v>
      </c>
    </row>
    <row r="1543" spans="1:8" x14ac:dyDescent="0.3">
      <c r="A1543" s="2">
        <v>45010</v>
      </c>
      <c r="B1543" s="2" t="str">
        <f>TEXT(AutoPomodoro[[#This Row],[DATE]],"mmmm")</f>
        <v>March</v>
      </c>
      <c r="C1543" s="2" t="str">
        <f>TEXT(AutoPomodoro[[#This Row],[DATE]],"yyyy")</f>
        <v>2023</v>
      </c>
      <c r="D1543" s="8">
        <f>E1542+$T$16</f>
        <v>0.59027777777777779</v>
      </c>
      <c r="E1543" s="8">
        <f>D1543+$T$15</f>
        <v>0.60763888888888895</v>
      </c>
      <c r="F1543" s="3">
        <f>E1543-D1543</f>
        <v>1.736111111111116E-2</v>
      </c>
      <c r="G1543" t="s">
        <v>16</v>
      </c>
      <c r="H1543" t="s">
        <v>1</v>
      </c>
    </row>
    <row r="1544" spans="1:8" x14ac:dyDescent="0.3">
      <c r="A1544" s="2">
        <v>45010</v>
      </c>
      <c r="B1544" s="2" t="str">
        <f>TEXT(AutoPomodoro[[#This Row],[DATE]],"mmmm")</f>
        <v>March</v>
      </c>
      <c r="C1544" s="2" t="str">
        <f>TEXT(AutoPomodoro[[#This Row],[DATE]],"yyyy")</f>
        <v>2023</v>
      </c>
      <c r="D1544" s="8">
        <f>E1543+$T$16</f>
        <v>0.61111111111111116</v>
      </c>
      <c r="E1544" s="8">
        <f>D1544+$T$15</f>
        <v>0.62847222222222232</v>
      </c>
      <c r="F1544" s="3">
        <v>1.2499999999999999E-2</v>
      </c>
      <c r="G1544" t="s">
        <v>16</v>
      </c>
      <c r="H1544" t="s">
        <v>1</v>
      </c>
    </row>
    <row r="1545" spans="1:8" x14ac:dyDescent="0.3">
      <c r="A1545" s="2">
        <v>45010</v>
      </c>
      <c r="B1545" s="2" t="str">
        <f>TEXT(AutoPomodoro[[#This Row],[DATE]],"mmmm")</f>
        <v>March</v>
      </c>
      <c r="C1545" s="2" t="str">
        <f>TEXT(AutoPomodoro[[#This Row],[DATE]],"yyyy")</f>
        <v>2023</v>
      </c>
      <c r="D1545" s="8">
        <f>E1544+$T$17</f>
        <v>0.63333333333333341</v>
      </c>
      <c r="E1545" s="8">
        <f>D1545+$T$15</f>
        <v>0.65069444444444458</v>
      </c>
      <c r="F1545" s="3">
        <f>E1545-D1545</f>
        <v>1.736111111111116E-2</v>
      </c>
      <c r="G1545" t="s">
        <v>16</v>
      </c>
      <c r="H1545" t="s">
        <v>1</v>
      </c>
    </row>
    <row r="1546" spans="1:8" x14ac:dyDescent="0.3">
      <c r="A1546" s="2">
        <v>45010</v>
      </c>
      <c r="B1546" s="2" t="str">
        <f>TEXT(AutoPomodoro[[#This Row],[DATE]],"mmmm")</f>
        <v>March</v>
      </c>
      <c r="C1546" s="2" t="str">
        <f>TEXT(AutoPomodoro[[#This Row],[DATE]],"yyyy")</f>
        <v>2023</v>
      </c>
      <c r="D1546" s="8">
        <v>0.65555555555555556</v>
      </c>
      <c r="E1546" s="8">
        <v>0.67291666666666661</v>
      </c>
      <c r="F1546" s="3">
        <f>E1546-D1546</f>
        <v>1.7361111111111049E-2</v>
      </c>
      <c r="G1546" t="s">
        <v>16</v>
      </c>
      <c r="H1546" t="s">
        <v>1</v>
      </c>
    </row>
    <row r="1547" spans="1:8" x14ac:dyDescent="0.3">
      <c r="A1547" s="2">
        <v>45010</v>
      </c>
      <c r="B1547" s="2" t="str">
        <f>TEXT(AutoPomodoro[[#This Row],[DATE]],"mmmm")</f>
        <v>March</v>
      </c>
      <c r="C1547" s="2" t="str">
        <f>TEXT(AutoPomodoro[[#This Row],[DATE]],"yyyy")</f>
        <v>2023</v>
      </c>
      <c r="D1547" s="8">
        <v>0.71875</v>
      </c>
      <c r="E1547" s="8">
        <f>D1547+$T$15</f>
        <v>0.73611111111111116</v>
      </c>
      <c r="F1547" s="3">
        <v>2.013888888888889E-2</v>
      </c>
      <c r="G1547" t="s">
        <v>16</v>
      </c>
      <c r="H1547" t="s">
        <v>1</v>
      </c>
    </row>
    <row r="1548" spans="1:8" x14ac:dyDescent="0.3">
      <c r="A1548" s="2">
        <v>45010</v>
      </c>
      <c r="B1548" s="2" t="str">
        <f>TEXT(AutoPomodoro[[#This Row],[DATE]],"mmmm")</f>
        <v>March</v>
      </c>
      <c r="C1548" s="2" t="str">
        <f>TEXT(AutoPomodoro[[#This Row],[DATE]],"yyyy")</f>
        <v>2023</v>
      </c>
      <c r="D1548" s="8">
        <f>E1547+$T$16</f>
        <v>0.73958333333333337</v>
      </c>
      <c r="E1548" s="8">
        <f>D1548+$T$15</f>
        <v>0.75694444444444453</v>
      </c>
      <c r="F1548" s="3">
        <f t="shared" ref="F1548:F1564" si="122">E1548-D1548</f>
        <v>1.736111111111116E-2</v>
      </c>
      <c r="G1548" t="s">
        <v>16</v>
      </c>
      <c r="H1548" t="s">
        <v>1</v>
      </c>
    </row>
    <row r="1549" spans="1:8" x14ac:dyDescent="0.3">
      <c r="A1549" s="2">
        <v>45010</v>
      </c>
      <c r="B1549" s="2" t="str">
        <f>TEXT(AutoPomodoro[[#This Row],[DATE]],"mmmm")</f>
        <v>March</v>
      </c>
      <c r="C1549" s="2" t="str">
        <f>TEXT(AutoPomodoro[[#This Row],[DATE]],"yyyy")</f>
        <v>2023</v>
      </c>
      <c r="D1549" s="8">
        <f>E1548+$T$16</f>
        <v>0.76041666666666674</v>
      </c>
      <c r="E1549" s="8">
        <f>D1549+$T$15</f>
        <v>0.7777777777777779</v>
      </c>
      <c r="F1549" s="3">
        <f t="shared" si="122"/>
        <v>1.736111111111116E-2</v>
      </c>
      <c r="G1549" t="s">
        <v>16</v>
      </c>
      <c r="H1549" t="s">
        <v>1</v>
      </c>
    </row>
    <row r="1550" spans="1:8" x14ac:dyDescent="0.3">
      <c r="A1550" s="2">
        <v>45010</v>
      </c>
      <c r="B1550" s="2" t="str">
        <f>TEXT(AutoPomodoro[[#This Row],[DATE]],"mmmm")</f>
        <v>March</v>
      </c>
      <c r="C1550" s="2" t="str">
        <f>TEXT(AutoPomodoro[[#This Row],[DATE]],"yyyy")</f>
        <v>2023</v>
      </c>
      <c r="D1550" s="8">
        <f>E1549+$T$17</f>
        <v>0.78263888888888899</v>
      </c>
      <c r="E1550" s="8">
        <v>0.80555555555555547</v>
      </c>
      <c r="F1550" s="3">
        <f t="shared" si="122"/>
        <v>2.2916666666666474E-2</v>
      </c>
      <c r="G1550" t="s">
        <v>16</v>
      </c>
      <c r="H1550" t="s">
        <v>1</v>
      </c>
    </row>
    <row r="1551" spans="1:8" x14ac:dyDescent="0.3">
      <c r="A1551" s="2">
        <v>45011</v>
      </c>
      <c r="B1551" s="2" t="str">
        <f>TEXT(AutoPomodoro[[#This Row],[DATE]],"mmmm")</f>
        <v>March</v>
      </c>
      <c r="C1551" s="2" t="str">
        <f>TEXT(AutoPomodoro[[#This Row],[DATE]],"yyyy")</f>
        <v>2023</v>
      </c>
      <c r="D1551" s="8">
        <v>0.60416666666666663</v>
      </c>
      <c r="E1551" s="8">
        <f t="shared" ref="E1551:E1557" si="123">D1551+$T$15</f>
        <v>0.62152777777777779</v>
      </c>
      <c r="F1551" s="3">
        <f t="shared" si="122"/>
        <v>1.736111111111116E-2</v>
      </c>
      <c r="G1551" t="s">
        <v>0</v>
      </c>
      <c r="H1551" t="s">
        <v>1</v>
      </c>
    </row>
    <row r="1552" spans="1:8" x14ac:dyDescent="0.3">
      <c r="A1552" s="2">
        <v>45011</v>
      </c>
      <c r="B1552" s="2" t="str">
        <f>TEXT(AutoPomodoro[[#This Row],[DATE]],"mmmm")</f>
        <v>March</v>
      </c>
      <c r="C1552" s="2" t="str">
        <f>TEXT(AutoPomodoro[[#This Row],[DATE]],"yyyy")</f>
        <v>2023</v>
      </c>
      <c r="D1552" s="8">
        <f>E1551+$T$16</f>
        <v>0.625</v>
      </c>
      <c r="E1552" s="8">
        <f t="shared" si="123"/>
        <v>0.64236111111111116</v>
      </c>
      <c r="F1552" s="3">
        <f t="shared" si="122"/>
        <v>1.736111111111116E-2</v>
      </c>
      <c r="G1552" t="s">
        <v>16</v>
      </c>
      <c r="H1552" t="s">
        <v>1</v>
      </c>
    </row>
    <row r="1553" spans="1:8" x14ac:dyDescent="0.3">
      <c r="A1553" s="2">
        <v>45011</v>
      </c>
      <c r="B1553" s="2" t="str">
        <f>TEXT(AutoPomodoro[[#This Row],[DATE]],"mmmm")</f>
        <v>March</v>
      </c>
      <c r="C1553" s="2" t="str">
        <f>TEXT(AutoPomodoro[[#This Row],[DATE]],"yyyy")</f>
        <v>2023</v>
      </c>
      <c r="D1553" s="8">
        <f>E1552+$T$16</f>
        <v>0.64583333333333337</v>
      </c>
      <c r="E1553" s="8">
        <f t="shared" si="123"/>
        <v>0.66319444444444453</v>
      </c>
      <c r="F1553" s="3">
        <f t="shared" si="122"/>
        <v>1.736111111111116E-2</v>
      </c>
      <c r="G1553" t="s">
        <v>16</v>
      </c>
      <c r="H1553" t="s">
        <v>1</v>
      </c>
    </row>
    <row r="1554" spans="1:8" x14ac:dyDescent="0.3">
      <c r="A1554" s="2">
        <v>45011</v>
      </c>
      <c r="B1554" s="2" t="str">
        <f>TEXT(AutoPomodoro[[#This Row],[DATE]],"mmmm")</f>
        <v>March</v>
      </c>
      <c r="C1554" s="2" t="str">
        <f>TEXT(AutoPomodoro[[#This Row],[DATE]],"yyyy")</f>
        <v>2023</v>
      </c>
      <c r="D1554" s="8">
        <f>E1553+$T$17</f>
        <v>0.66805555555555562</v>
      </c>
      <c r="E1554" s="8">
        <f t="shared" si="123"/>
        <v>0.68541666666666679</v>
      </c>
      <c r="F1554" s="3">
        <f t="shared" si="122"/>
        <v>1.736111111111116E-2</v>
      </c>
      <c r="G1554" t="s">
        <v>16</v>
      </c>
      <c r="H1554" t="s">
        <v>1</v>
      </c>
    </row>
    <row r="1555" spans="1:8" x14ac:dyDescent="0.3">
      <c r="A1555" s="2">
        <v>45013</v>
      </c>
      <c r="B1555" s="2" t="str">
        <f>TEXT(AutoPomodoro[[#This Row],[DATE]],"mmmm")</f>
        <v>March</v>
      </c>
      <c r="C1555" s="2" t="str">
        <f>TEXT(AutoPomodoro[[#This Row],[DATE]],"yyyy")</f>
        <v>2023</v>
      </c>
      <c r="D1555" s="8">
        <v>0.60416666666666663</v>
      </c>
      <c r="E1555" s="8">
        <f t="shared" si="123"/>
        <v>0.62152777777777779</v>
      </c>
      <c r="F1555" s="3">
        <f t="shared" si="122"/>
        <v>1.736111111111116E-2</v>
      </c>
      <c r="G1555" t="s">
        <v>0</v>
      </c>
      <c r="H1555" t="s">
        <v>1</v>
      </c>
    </row>
    <row r="1556" spans="1:8" x14ac:dyDescent="0.3">
      <c r="A1556" s="2">
        <v>45013</v>
      </c>
      <c r="B1556" s="2" t="str">
        <f>TEXT(AutoPomodoro[[#This Row],[DATE]],"mmmm")</f>
        <v>March</v>
      </c>
      <c r="C1556" s="2" t="str">
        <f>TEXT(AutoPomodoro[[#This Row],[DATE]],"yyyy")</f>
        <v>2023</v>
      </c>
      <c r="D1556" s="8">
        <f>E1555+$T$16</f>
        <v>0.625</v>
      </c>
      <c r="E1556" s="8">
        <f t="shared" si="123"/>
        <v>0.64236111111111116</v>
      </c>
      <c r="F1556" s="3">
        <f t="shared" si="122"/>
        <v>1.736111111111116E-2</v>
      </c>
      <c r="G1556" t="s">
        <v>16</v>
      </c>
      <c r="H1556" t="s">
        <v>1</v>
      </c>
    </row>
    <row r="1557" spans="1:8" x14ac:dyDescent="0.3">
      <c r="A1557" s="2">
        <v>45013</v>
      </c>
      <c r="B1557" s="2" t="str">
        <f>TEXT(AutoPomodoro[[#This Row],[DATE]],"mmmm")</f>
        <v>March</v>
      </c>
      <c r="C1557" s="2" t="str">
        <f>TEXT(AutoPomodoro[[#This Row],[DATE]],"yyyy")</f>
        <v>2023</v>
      </c>
      <c r="D1557" s="8">
        <f>E1556+$T$16</f>
        <v>0.64583333333333337</v>
      </c>
      <c r="E1557" s="8">
        <f t="shared" si="123"/>
        <v>0.66319444444444453</v>
      </c>
      <c r="F1557" s="3">
        <f t="shared" si="122"/>
        <v>1.736111111111116E-2</v>
      </c>
      <c r="G1557" t="s">
        <v>16</v>
      </c>
      <c r="H1557" t="s">
        <v>1</v>
      </c>
    </row>
    <row r="1558" spans="1:8" x14ac:dyDescent="0.3">
      <c r="A1558" s="2">
        <v>45013</v>
      </c>
      <c r="B1558" s="2" t="str">
        <f>TEXT(AutoPomodoro[[#This Row],[DATE]],"mmmm")</f>
        <v>March</v>
      </c>
      <c r="C1558" s="2" t="str">
        <f>TEXT(AutoPomodoro[[#This Row],[DATE]],"yyyy")</f>
        <v>2023</v>
      </c>
      <c r="D1558" s="8">
        <f>E1557+$T$17</f>
        <v>0.66805555555555562</v>
      </c>
      <c r="E1558" s="8">
        <v>0.69444444444444453</v>
      </c>
      <c r="F1558" s="3">
        <f t="shared" si="122"/>
        <v>2.6388888888888906E-2</v>
      </c>
      <c r="G1558" t="s">
        <v>16</v>
      </c>
      <c r="H1558" t="s">
        <v>1</v>
      </c>
    </row>
    <row r="1559" spans="1:8" x14ac:dyDescent="0.3">
      <c r="A1559" s="2">
        <v>45013</v>
      </c>
      <c r="B1559" s="2" t="str">
        <f>TEXT(AutoPomodoro[[#This Row],[DATE]],"mmmm")</f>
        <v>March</v>
      </c>
      <c r="C1559" s="2" t="str">
        <f>TEXT(AutoPomodoro[[#This Row],[DATE]],"yyyy")</f>
        <v>2023</v>
      </c>
      <c r="D1559" s="8">
        <v>0.82291666666666663</v>
      </c>
      <c r="E1559" s="8">
        <f>D1559+$T$15</f>
        <v>0.84027777777777779</v>
      </c>
      <c r="F1559" s="3">
        <f t="shared" si="122"/>
        <v>1.736111111111116E-2</v>
      </c>
      <c r="G1559" t="s">
        <v>16</v>
      </c>
      <c r="H1559" t="s">
        <v>1</v>
      </c>
    </row>
    <row r="1560" spans="1:8" x14ac:dyDescent="0.3">
      <c r="A1560" s="2">
        <v>45013</v>
      </c>
      <c r="B1560" s="2" t="str">
        <f>TEXT(AutoPomodoro[[#This Row],[DATE]],"mmmm")</f>
        <v>March</v>
      </c>
      <c r="C1560" s="2" t="str">
        <f>TEXT(AutoPomodoro[[#This Row],[DATE]],"yyyy")</f>
        <v>2023</v>
      </c>
      <c r="D1560" s="8">
        <f>E1559+$T$16</f>
        <v>0.84375</v>
      </c>
      <c r="E1560" s="8">
        <f>D1560+$T$15</f>
        <v>0.86111111111111116</v>
      </c>
      <c r="F1560" s="3">
        <f t="shared" si="122"/>
        <v>1.736111111111116E-2</v>
      </c>
      <c r="G1560" t="s">
        <v>16</v>
      </c>
      <c r="H1560" t="s">
        <v>1</v>
      </c>
    </row>
    <row r="1561" spans="1:8" x14ac:dyDescent="0.3">
      <c r="A1561" s="2">
        <v>45020</v>
      </c>
      <c r="B1561" s="2" t="str">
        <f>TEXT(AutoPomodoro[[#This Row],[DATE]],"mmmm")</f>
        <v>April</v>
      </c>
      <c r="C1561" s="2" t="str">
        <f>TEXT(AutoPomodoro[[#This Row],[DATE]],"yyyy")</f>
        <v>2023</v>
      </c>
      <c r="D1561" s="8">
        <v>0.53263888888888888</v>
      </c>
      <c r="E1561" s="8">
        <v>0.5444444444444444</v>
      </c>
      <c r="F1561" s="3">
        <f t="shared" si="122"/>
        <v>1.1805555555555514E-2</v>
      </c>
      <c r="G1561" t="s">
        <v>16</v>
      </c>
      <c r="H1561" t="s">
        <v>1</v>
      </c>
    </row>
    <row r="1562" spans="1:8" x14ac:dyDescent="0.3">
      <c r="A1562" s="2">
        <v>45020</v>
      </c>
      <c r="B1562" s="2" t="str">
        <f>TEXT(AutoPomodoro[[#This Row],[DATE]],"mmmm")</f>
        <v>April</v>
      </c>
      <c r="C1562" s="2" t="str">
        <f>TEXT(AutoPomodoro[[#This Row],[DATE]],"yyyy")</f>
        <v>2023</v>
      </c>
      <c r="D1562" s="8">
        <v>0.55694444444444446</v>
      </c>
      <c r="E1562" s="8">
        <v>0.6020833333333333</v>
      </c>
      <c r="F1562" s="3">
        <f t="shared" si="122"/>
        <v>4.513888888888884E-2</v>
      </c>
      <c r="G1562" t="s">
        <v>16</v>
      </c>
      <c r="H1562" t="s">
        <v>1</v>
      </c>
    </row>
    <row r="1563" spans="1:8" x14ac:dyDescent="0.3">
      <c r="A1563" s="2">
        <v>45020</v>
      </c>
      <c r="B1563" s="2" t="str">
        <f>TEXT(AutoPomodoro[[#This Row],[DATE]],"mmmm")</f>
        <v>April</v>
      </c>
      <c r="C1563" s="2" t="str">
        <f>TEXT(AutoPomodoro[[#This Row],[DATE]],"yyyy")</f>
        <v>2023</v>
      </c>
      <c r="D1563" s="8">
        <v>0.61249999999999993</v>
      </c>
      <c r="E1563" s="8">
        <v>0.66041666666666665</v>
      </c>
      <c r="F1563" s="3">
        <f t="shared" si="122"/>
        <v>4.7916666666666718E-2</v>
      </c>
      <c r="G1563" t="s">
        <v>16</v>
      </c>
      <c r="H1563" t="s">
        <v>1</v>
      </c>
    </row>
    <row r="1564" spans="1:8" x14ac:dyDescent="0.3">
      <c r="A1564" s="2">
        <v>45021</v>
      </c>
      <c r="B1564" s="2" t="str">
        <f>TEXT(AutoPomodoro[[#This Row],[DATE]],"mmmm")</f>
        <v>April</v>
      </c>
      <c r="C1564" s="2" t="str">
        <f>TEXT(AutoPomodoro[[#This Row],[DATE]],"yyyy")</f>
        <v>2023</v>
      </c>
      <c r="D1564" s="8">
        <v>0.60416666666666663</v>
      </c>
      <c r="E1564" s="8">
        <v>0.62013888888888891</v>
      </c>
      <c r="F1564" s="3">
        <f t="shared" si="122"/>
        <v>1.5972222222222276E-2</v>
      </c>
      <c r="G1564" t="s">
        <v>16</v>
      </c>
      <c r="H1564" t="s">
        <v>1</v>
      </c>
    </row>
    <row r="1565" spans="1:8" x14ac:dyDescent="0.3">
      <c r="A1565" s="2">
        <v>45022</v>
      </c>
      <c r="B1565" s="2" t="str">
        <f>TEXT(AutoPomodoro[[#This Row],[DATE]],"mmmm")</f>
        <v>April</v>
      </c>
      <c r="C1565" s="2" t="str">
        <f>TEXT(AutoPomodoro[[#This Row],[DATE]],"yyyy")</f>
        <v>2023</v>
      </c>
      <c r="D1565" s="8">
        <v>0.59027777777777779</v>
      </c>
      <c r="E1565" s="8">
        <v>0.60416666666666663</v>
      </c>
      <c r="F1565" s="3">
        <v>1.5277777777777777E-2</v>
      </c>
      <c r="G1565" t="s">
        <v>0</v>
      </c>
      <c r="H1565" t="s">
        <v>1</v>
      </c>
    </row>
    <row r="1566" spans="1:8" x14ac:dyDescent="0.3">
      <c r="A1566" s="2">
        <v>45022</v>
      </c>
      <c r="B1566" s="2" t="str">
        <f>TEXT(AutoPomodoro[[#This Row],[DATE]],"mmmm")</f>
        <v>April</v>
      </c>
      <c r="C1566" s="2" t="str">
        <f>TEXT(AutoPomodoro[[#This Row],[DATE]],"yyyy")</f>
        <v>2023</v>
      </c>
      <c r="D1566" s="8">
        <v>0.60625000000000007</v>
      </c>
      <c r="E1566" s="8">
        <f>D1566+$T$15</f>
        <v>0.62361111111111123</v>
      </c>
      <c r="F1566" s="3">
        <f>E1566-D1566</f>
        <v>1.736111111111116E-2</v>
      </c>
      <c r="G1566" t="s">
        <v>16</v>
      </c>
      <c r="H1566" t="s">
        <v>1</v>
      </c>
    </row>
    <row r="1567" spans="1:8" x14ac:dyDescent="0.3">
      <c r="A1567" s="2">
        <v>45022</v>
      </c>
      <c r="B1567" s="2" t="str">
        <f>TEXT(AutoPomodoro[[#This Row],[DATE]],"mmmm")</f>
        <v>April</v>
      </c>
      <c r="C1567" s="2" t="str">
        <f>TEXT(AutoPomodoro[[#This Row],[DATE]],"yyyy")</f>
        <v>2023</v>
      </c>
      <c r="D1567" s="8">
        <f>E1566+$T$16</f>
        <v>0.62708333333333344</v>
      </c>
      <c r="E1567" s="8">
        <f>D1567+$T$15</f>
        <v>0.6444444444444446</v>
      </c>
      <c r="F1567" s="3">
        <f>E1567-D1567</f>
        <v>1.736111111111116E-2</v>
      </c>
      <c r="G1567" t="s">
        <v>16</v>
      </c>
      <c r="H1567" t="s">
        <v>1</v>
      </c>
    </row>
    <row r="1568" spans="1:8" x14ac:dyDescent="0.3">
      <c r="A1568" s="2">
        <v>45022</v>
      </c>
      <c r="B1568" s="2" t="str">
        <f>TEXT(AutoPomodoro[[#This Row],[DATE]],"mmmm")</f>
        <v>April</v>
      </c>
      <c r="C1568" s="2" t="str">
        <f>TEXT(AutoPomodoro[[#This Row],[DATE]],"yyyy")</f>
        <v>2023</v>
      </c>
      <c r="D1568" s="8">
        <f>E1567+$T$16</f>
        <v>0.64791666666666681</v>
      </c>
      <c r="E1568" s="8">
        <v>0.67708333333333337</v>
      </c>
      <c r="F1568" s="3">
        <v>2.7777777777777776E-2</v>
      </c>
      <c r="G1568" t="s">
        <v>16</v>
      </c>
      <c r="H1568" t="s">
        <v>1</v>
      </c>
    </row>
    <row r="1569" spans="1:8" x14ac:dyDescent="0.3">
      <c r="A1569" s="2">
        <v>45025</v>
      </c>
      <c r="B1569" s="2" t="str">
        <f>TEXT(AutoPomodoro[[#This Row],[DATE]],"mmmm")</f>
        <v>April</v>
      </c>
      <c r="C1569" s="2" t="str">
        <f>TEXT(AutoPomodoro[[#This Row],[DATE]],"yyyy")</f>
        <v>2023</v>
      </c>
      <c r="D1569" s="8">
        <v>0.79375000000000007</v>
      </c>
      <c r="E1569" s="8">
        <v>0.80555555555555547</v>
      </c>
      <c r="F1569" s="3">
        <f>E1569-D1569</f>
        <v>1.1805555555555403E-2</v>
      </c>
      <c r="G1569" t="s">
        <v>16</v>
      </c>
      <c r="H1569" t="s">
        <v>1</v>
      </c>
    </row>
    <row r="1570" spans="1:8" x14ac:dyDescent="0.3">
      <c r="A1570" s="2">
        <v>45026</v>
      </c>
      <c r="B1570" s="2" t="str">
        <f>TEXT(AutoPomodoro[[#This Row],[DATE]],"mmmm")</f>
        <v>April</v>
      </c>
      <c r="C1570" s="2" t="str">
        <f>TEXT(AutoPomodoro[[#This Row],[DATE]],"yyyy")</f>
        <v>2023</v>
      </c>
      <c r="D1570" s="8">
        <v>0.81180555555555556</v>
      </c>
      <c r="E1570" s="8">
        <f>D1570+$T$15</f>
        <v>0.82916666666666672</v>
      </c>
      <c r="F1570" s="3">
        <f>E1570-D1570</f>
        <v>1.736111111111116E-2</v>
      </c>
      <c r="G1570" t="s">
        <v>16</v>
      </c>
      <c r="H1570" t="s">
        <v>1</v>
      </c>
    </row>
    <row r="1571" spans="1:8" x14ac:dyDescent="0.3">
      <c r="A1571" s="2">
        <v>45026</v>
      </c>
      <c r="B1571" s="2" t="str">
        <f>TEXT(AutoPomodoro[[#This Row],[DATE]],"mmmm")</f>
        <v>April</v>
      </c>
      <c r="C1571" s="2" t="str">
        <f>TEXT(AutoPomodoro[[#This Row],[DATE]],"yyyy")</f>
        <v>2023</v>
      </c>
      <c r="D1571" s="8">
        <f>E1570+$T$16</f>
        <v>0.83263888888888893</v>
      </c>
      <c r="E1571" s="8">
        <v>0.85416666666666663</v>
      </c>
      <c r="F1571" s="3">
        <v>1.4583333333333332E-2</v>
      </c>
      <c r="G1571" t="s">
        <v>16</v>
      </c>
      <c r="H1571" t="s">
        <v>1</v>
      </c>
    </row>
    <row r="1572" spans="1:8" x14ac:dyDescent="0.3">
      <c r="A1572" s="2">
        <v>45027</v>
      </c>
      <c r="B1572" s="2" t="str">
        <f>TEXT(AutoPomodoro[[#This Row],[DATE]],"mmmm")</f>
        <v>April</v>
      </c>
      <c r="C1572" s="2" t="str">
        <f>TEXT(AutoPomodoro[[#This Row],[DATE]],"yyyy")</f>
        <v>2023</v>
      </c>
      <c r="D1572" s="8">
        <v>0.59375</v>
      </c>
      <c r="E1572" s="8">
        <v>0.6381944444444444</v>
      </c>
      <c r="F1572" s="3">
        <f t="shared" ref="F1572:F1580" si="124">E1572-D1572</f>
        <v>4.4444444444444398E-2</v>
      </c>
      <c r="G1572" t="s">
        <v>16</v>
      </c>
      <c r="H1572" t="s">
        <v>1</v>
      </c>
    </row>
    <row r="1573" spans="1:8" x14ac:dyDescent="0.3">
      <c r="A1573" s="2">
        <v>45027</v>
      </c>
      <c r="B1573" s="2" t="str">
        <f>TEXT(AutoPomodoro[[#This Row],[DATE]],"mmmm")</f>
        <v>April</v>
      </c>
      <c r="C1573" s="2" t="str">
        <f>TEXT(AutoPomodoro[[#This Row],[DATE]],"yyyy")</f>
        <v>2023</v>
      </c>
      <c r="D1573" s="8">
        <v>0.64930555555555558</v>
      </c>
      <c r="E1573" s="8">
        <v>0.66527777777777775</v>
      </c>
      <c r="F1573" s="3">
        <f t="shared" si="124"/>
        <v>1.5972222222222165E-2</v>
      </c>
      <c r="G1573" t="s">
        <v>16</v>
      </c>
      <c r="H1573" t="s">
        <v>1</v>
      </c>
    </row>
    <row r="1574" spans="1:8" x14ac:dyDescent="0.3">
      <c r="A1574" s="2">
        <v>45028</v>
      </c>
      <c r="B1574" s="2" t="str">
        <f>TEXT(AutoPomodoro[[#This Row],[DATE]],"mmmm")</f>
        <v>April</v>
      </c>
      <c r="C1574" s="2" t="str">
        <f>TEXT(AutoPomodoro[[#This Row],[DATE]],"yyyy")</f>
        <v>2023</v>
      </c>
      <c r="D1574" s="8">
        <v>0.58194444444444449</v>
      </c>
      <c r="E1574" s="8">
        <v>0.60763888888888895</v>
      </c>
      <c r="F1574" s="3">
        <f t="shared" si="124"/>
        <v>2.5694444444444464E-2</v>
      </c>
      <c r="G1574" t="s">
        <v>16</v>
      </c>
      <c r="H1574" t="s">
        <v>1</v>
      </c>
    </row>
    <row r="1575" spans="1:8" x14ac:dyDescent="0.3">
      <c r="A1575" s="2">
        <v>45028</v>
      </c>
      <c r="B1575" s="2" t="str">
        <f>TEXT(AutoPomodoro[[#This Row],[DATE]],"mmmm")</f>
        <v>April</v>
      </c>
      <c r="C1575" s="2" t="str">
        <f>TEXT(AutoPomodoro[[#This Row],[DATE]],"yyyy")</f>
        <v>2023</v>
      </c>
      <c r="D1575" s="8">
        <v>0.63888888888888895</v>
      </c>
      <c r="E1575" s="8">
        <v>0.65069444444444446</v>
      </c>
      <c r="F1575" s="3">
        <f t="shared" si="124"/>
        <v>1.1805555555555514E-2</v>
      </c>
      <c r="G1575" t="s">
        <v>16</v>
      </c>
      <c r="H1575" t="s">
        <v>1</v>
      </c>
    </row>
    <row r="1576" spans="1:8" x14ac:dyDescent="0.3">
      <c r="A1576" s="2">
        <v>45028</v>
      </c>
      <c r="B1576" s="2" t="str">
        <f>TEXT(AutoPomodoro[[#This Row],[DATE]],"mmmm")</f>
        <v>April</v>
      </c>
      <c r="C1576" s="2" t="str">
        <f>TEXT(AutoPomodoro[[#This Row],[DATE]],"yyyy")</f>
        <v>2023</v>
      </c>
      <c r="D1576" s="8">
        <v>0.65486111111111112</v>
      </c>
      <c r="E1576" s="8">
        <v>0.6694444444444444</v>
      </c>
      <c r="F1576" s="3">
        <f t="shared" si="124"/>
        <v>1.4583333333333282E-2</v>
      </c>
      <c r="G1576" t="s">
        <v>16</v>
      </c>
      <c r="H1576" t="s">
        <v>1</v>
      </c>
    </row>
    <row r="1577" spans="1:8" x14ac:dyDescent="0.3">
      <c r="A1577" s="2">
        <v>45029</v>
      </c>
      <c r="B1577" s="2" t="str">
        <f>TEXT(AutoPomodoro[[#This Row],[DATE]],"mmmm")</f>
        <v>April</v>
      </c>
      <c r="C1577" s="2" t="str">
        <f>TEXT(AutoPomodoro[[#This Row],[DATE]],"yyyy")</f>
        <v>2023</v>
      </c>
      <c r="D1577" s="8">
        <v>0.51874999999999993</v>
      </c>
      <c r="E1577" s="8">
        <v>0.56736111111111109</v>
      </c>
      <c r="F1577" s="3">
        <f t="shared" si="124"/>
        <v>4.861111111111116E-2</v>
      </c>
      <c r="G1577" t="s">
        <v>16</v>
      </c>
      <c r="H1577" t="s">
        <v>1</v>
      </c>
    </row>
    <row r="1578" spans="1:8" x14ac:dyDescent="0.3">
      <c r="A1578" s="2">
        <v>45033</v>
      </c>
      <c r="B1578" s="2" t="str">
        <f>TEXT(AutoPomodoro[[#This Row],[DATE]],"mmmm")</f>
        <v>April</v>
      </c>
      <c r="C1578" s="2" t="str">
        <f>TEXT(AutoPomodoro[[#This Row],[DATE]],"yyyy")</f>
        <v>2023</v>
      </c>
      <c r="D1578" s="8">
        <v>0.67708333333333337</v>
      </c>
      <c r="E1578" s="8">
        <f>D1578+$T$15</f>
        <v>0.69444444444444453</v>
      </c>
      <c r="F1578" s="3">
        <f t="shared" si="124"/>
        <v>1.736111111111116E-2</v>
      </c>
      <c r="G1578" t="s">
        <v>16</v>
      </c>
      <c r="H1578" t="s">
        <v>1</v>
      </c>
    </row>
    <row r="1579" spans="1:8" x14ac:dyDescent="0.3">
      <c r="A1579" s="2">
        <v>45033</v>
      </c>
      <c r="B1579" s="2" t="str">
        <f>TEXT(AutoPomodoro[[#This Row],[DATE]],"mmmm")</f>
        <v>April</v>
      </c>
      <c r="C1579" s="2" t="str">
        <f>TEXT(AutoPomodoro[[#This Row],[DATE]],"yyyy")</f>
        <v>2023</v>
      </c>
      <c r="D1579" s="8">
        <f>E1578+$T$16</f>
        <v>0.69791666666666674</v>
      </c>
      <c r="E1579" s="8">
        <f>D1579+$T$15</f>
        <v>0.7152777777777779</v>
      </c>
      <c r="F1579" s="3">
        <f t="shared" si="124"/>
        <v>1.736111111111116E-2</v>
      </c>
      <c r="G1579" t="s">
        <v>16</v>
      </c>
      <c r="H1579" t="s">
        <v>1</v>
      </c>
    </row>
    <row r="1580" spans="1:8" x14ac:dyDescent="0.3">
      <c r="A1580" s="2">
        <v>45033</v>
      </c>
      <c r="B1580" s="2" t="str">
        <f>TEXT(AutoPomodoro[[#This Row],[DATE]],"mmmm")</f>
        <v>April</v>
      </c>
      <c r="C1580" s="2" t="str">
        <f>TEXT(AutoPomodoro[[#This Row],[DATE]],"yyyy")</f>
        <v>2023</v>
      </c>
      <c r="D1580" s="8">
        <f>E1579+$T$16</f>
        <v>0.71875000000000011</v>
      </c>
      <c r="E1580" s="8">
        <v>0.75138888888888899</v>
      </c>
      <c r="F1580" s="3">
        <f t="shared" si="124"/>
        <v>3.2638888888888884E-2</v>
      </c>
      <c r="G1580" t="s">
        <v>16</v>
      </c>
      <c r="H1580" t="s">
        <v>1</v>
      </c>
    </row>
    <row r="1581" spans="1:8" x14ac:dyDescent="0.3">
      <c r="A1581" s="2">
        <v>45034</v>
      </c>
      <c r="B1581" s="2" t="str">
        <f>TEXT(AutoPomodoro[[#This Row],[DATE]],"mmmm")</f>
        <v>April</v>
      </c>
      <c r="C1581" s="2" t="str">
        <f>TEXT(AutoPomodoro[[#This Row],[DATE]],"yyyy")</f>
        <v>2023</v>
      </c>
      <c r="D1581" s="8">
        <v>0.59722222222222221</v>
      </c>
      <c r="E1581" s="8">
        <f>D1581+$T$15</f>
        <v>0.61458333333333337</v>
      </c>
      <c r="F1581" s="3">
        <v>1.2499999999999999E-2</v>
      </c>
      <c r="G1581" t="s">
        <v>16</v>
      </c>
      <c r="H1581" t="s">
        <v>1</v>
      </c>
    </row>
    <row r="1582" spans="1:8" x14ac:dyDescent="0.3">
      <c r="A1582" s="2">
        <v>45034</v>
      </c>
      <c r="B1582" s="2" t="str">
        <f>TEXT(AutoPomodoro[[#This Row],[DATE]],"mmmm")</f>
        <v>April</v>
      </c>
      <c r="C1582" s="2" t="str">
        <f>TEXT(AutoPomodoro[[#This Row],[DATE]],"yyyy")</f>
        <v>2023</v>
      </c>
      <c r="D1582" s="8">
        <f>E1581+$T$16</f>
        <v>0.61805555555555558</v>
      </c>
      <c r="E1582" s="8">
        <f>D1582+$T$15</f>
        <v>0.63541666666666674</v>
      </c>
      <c r="F1582" s="3">
        <v>1.3888888888888888E-2</v>
      </c>
      <c r="G1582" t="s">
        <v>16</v>
      </c>
      <c r="H1582" t="s">
        <v>1</v>
      </c>
    </row>
    <row r="1583" spans="1:8" x14ac:dyDescent="0.3">
      <c r="A1583" s="2">
        <v>45034</v>
      </c>
      <c r="B1583" s="2" t="str">
        <f>TEXT(AutoPomodoro[[#This Row],[DATE]],"mmmm")</f>
        <v>April</v>
      </c>
      <c r="C1583" s="2" t="str">
        <f>TEXT(AutoPomodoro[[#This Row],[DATE]],"yyyy")</f>
        <v>2023</v>
      </c>
      <c r="D1583" s="8">
        <f>E1582+$T$16</f>
        <v>0.63888888888888895</v>
      </c>
      <c r="E1583" s="8">
        <f>D1583+$T$15</f>
        <v>0.65625000000000011</v>
      </c>
      <c r="F1583" s="3">
        <v>2.0833333333333332E-2</v>
      </c>
      <c r="G1583" t="s">
        <v>16</v>
      </c>
      <c r="H1583" t="s">
        <v>1</v>
      </c>
    </row>
    <row r="1584" spans="1:8" x14ac:dyDescent="0.3">
      <c r="A1584" s="2">
        <v>45034</v>
      </c>
      <c r="B1584" s="2" t="str">
        <f>TEXT(AutoPomodoro[[#This Row],[DATE]],"mmmm")</f>
        <v>April</v>
      </c>
      <c r="C1584" s="2" t="str">
        <f>TEXT(AutoPomodoro[[#This Row],[DATE]],"yyyy")</f>
        <v>2023</v>
      </c>
      <c r="D1584" s="8">
        <f>E1583+$T$17</f>
        <v>0.6611111111111112</v>
      </c>
      <c r="E1584" s="8">
        <f>D1584+$T$15</f>
        <v>0.67847222222222237</v>
      </c>
      <c r="F1584" s="3">
        <v>1.8749999999999999E-2</v>
      </c>
      <c r="G1584" t="s">
        <v>16</v>
      </c>
      <c r="H1584" t="s">
        <v>1</v>
      </c>
    </row>
    <row r="1585" spans="1:8" x14ac:dyDescent="0.3">
      <c r="A1585" s="2">
        <v>45034</v>
      </c>
      <c r="B1585" s="2" t="str">
        <f>TEXT(AutoPomodoro[[#This Row],[DATE]],"mmmm")</f>
        <v>April</v>
      </c>
      <c r="C1585" s="2" t="str">
        <f>TEXT(AutoPomodoro[[#This Row],[DATE]],"yyyy")</f>
        <v>2023</v>
      </c>
      <c r="D1585" s="8">
        <v>0.97222222222222221</v>
      </c>
      <c r="E1585" s="8">
        <f>D1585+$T$15</f>
        <v>0.98958333333333337</v>
      </c>
      <c r="F1585" s="3">
        <v>1.4583333333333332E-2</v>
      </c>
      <c r="G1585" t="s">
        <v>16</v>
      </c>
      <c r="H1585" t="s">
        <v>1</v>
      </c>
    </row>
    <row r="1586" spans="1:8" x14ac:dyDescent="0.3">
      <c r="A1586" s="2">
        <v>45034</v>
      </c>
      <c r="B1586" s="2" t="str">
        <f>TEXT(AutoPomodoro[[#This Row],[DATE]],"mmmm")</f>
        <v>April</v>
      </c>
      <c r="C1586" s="2" t="str">
        <f>TEXT(AutoPomodoro[[#This Row],[DATE]],"yyyy")</f>
        <v>2023</v>
      </c>
      <c r="D1586" s="8">
        <f>E1585+$T$16</f>
        <v>0.99305555555555558</v>
      </c>
      <c r="E1586" s="8">
        <v>1.0013888888888889</v>
      </c>
      <c r="F1586" s="3">
        <f>E1586-D1586</f>
        <v>8.3333333333333037E-3</v>
      </c>
      <c r="G1586" t="s">
        <v>16</v>
      </c>
      <c r="H1586" t="s">
        <v>1</v>
      </c>
    </row>
    <row r="1587" spans="1:8" x14ac:dyDescent="0.3">
      <c r="A1587" s="2">
        <v>45035</v>
      </c>
      <c r="B1587" s="2" t="str">
        <f>TEXT(AutoPomodoro[[#This Row],[DATE]],"mmmm")</f>
        <v>April</v>
      </c>
      <c r="C1587" s="2" t="str">
        <f>TEXT(AutoPomodoro[[#This Row],[DATE]],"yyyy")</f>
        <v>2023</v>
      </c>
      <c r="D1587" s="8">
        <v>0.75694444444444453</v>
      </c>
      <c r="E1587" s="8">
        <f>D1587+$T$15</f>
        <v>0.77430555555555569</v>
      </c>
      <c r="F1587" s="3">
        <v>1.2499999999999999E-2</v>
      </c>
      <c r="G1587" t="s">
        <v>16</v>
      </c>
      <c r="H1587" t="s">
        <v>1</v>
      </c>
    </row>
    <row r="1588" spans="1:8" x14ac:dyDescent="0.3">
      <c r="A1588" s="2">
        <v>45035</v>
      </c>
      <c r="B1588" s="2" t="str">
        <f>TEXT(AutoPomodoro[[#This Row],[DATE]],"mmmm")</f>
        <v>April</v>
      </c>
      <c r="C1588" s="2" t="str">
        <f>TEXT(AutoPomodoro[[#This Row],[DATE]],"yyyy")</f>
        <v>2023</v>
      </c>
      <c r="D1588" s="8">
        <f>E1587+$T$16</f>
        <v>0.7777777777777779</v>
      </c>
      <c r="E1588" s="8">
        <f>D1588+$T$15</f>
        <v>0.79513888888888906</v>
      </c>
      <c r="F1588" s="3">
        <f>E1588-D1588</f>
        <v>1.736111111111116E-2</v>
      </c>
      <c r="G1588" t="s">
        <v>16</v>
      </c>
      <c r="H1588" t="s">
        <v>1</v>
      </c>
    </row>
    <row r="1589" spans="1:8" x14ac:dyDescent="0.3">
      <c r="A1589" s="2">
        <v>45035</v>
      </c>
      <c r="B1589" s="2" t="str">
        <f>TEXT(AutoPomodoro[[#This Row],[DATE]],"mmmm")</f>
        <v>April</v>
      </c>
      <c r="C1589" s="2" t="str">
        <f>TEXT(AutoPomodoro[[#This Row],[DATE]],"yyyy")</f>
        <v>2023</v>
      </c>
      <c r="D1589" s="8">
        <f>E1588+$T$16</f>
        <v>0.79861111111111127</v>
      </c>
      <c r="E1589" s="8">
        <f>D1589+$T$15</f>
        <v>0.81597222222222243</v>
      </c>
      <c r="F1589" s="3">
        <v>4.1666666666666664E-2</v>
      </c>
      <c r="G1589" t="s">
        <v>16</v>
      </c>
      <c r="H1589" t="s">
        <v>1</v>
      </c>
    </row>
    <row r="1590" spans="1:8" x14ac:dyDescent="0.3">
      <c r="A1590" s="2">
        <v>45039</v>
      </c>
      <c r="B1590" s="2" t="str">
        <f>TEXT(AutoPomodoro[[#This Row],[DATE]],"mmmm")</f>
        <v>April</v>
      </c>
      <c r="C1590" s="2" t="str">
        <f>TEXT(AutoPomodoro[[#This Row],[DATE]],"yyyy")</f>
        <v>2023</v>
      </c>
      <c r="D1590" s="8">
        <v>0.81666666666666676</v>
      </c>
      <c r="E1590" s="8">
        <v>0.86458333333333337</v>
      </c>
      <c r="F1590" s="3">
        <v>5.1388888888888894E-2</v>
      </c>
      <c r="G1590" t="s">
        <v>16</v>
      </c>
      <c r="H1590" t="s">
        <v>1</v>
      </c>
    </row>
    <row r="1591" spans="1:8" x14ac:dyDescent="0.3">
      <c r="A1591" s="2">
        <v>45039</v>
      </c>
      <c r="B1591" s="2" t="str">
        <f>TEXT(AutoPomodoro[[#This Row],[DATE]],"mmmm")</f>
        <v>April</v>
      </c>
      <c r="C1591" s="2" t="str">
        <f>TEXT(AutoPomodoro[[#This Row],[DATE]],"yyyy")</f>
        <v>2023</v>
      </c>
      <c r="D1591" s="8">
        <v>0.8833333333333333</v>
      </c>
      <c r="E1591" s="8">
        <v>0.89583333333333337</v>
      </c>
      <c r="F1591" s="3">
        <f>E1591-D1591</f>
        <v>1.2500000000000067E-2</v>
      </c>
      <c r="G1591" t="s">
        <v>16</v>
      </c>
      <c r="H1591" t="s">
        <v>1</v>
      </c>
    </row>
    <row r="1592" spans="1:8" x14ac:dyDescent="0.3">
      <c r="A1592" s="2">
        <v>45042</v>
      </c>
      <c r="B1592" s="2" t="str">
        <f>TEXT(AutoPomodoro[[#This Row],[DATE]],"mmmm")</f>
        <v>April</v>
      </c>
      <c r="C1592" s="2" t="str">
        <f>TEXT(AutoPomodoro[[#This Row],[DATE]],"yyyy")</f>
        <v>2023</v>
      </c>
      <c r="D1592" s="8">
        <v>0.60069444444444442</v>
      </c>
      <c r="E1592" s="8">
        <f>D1592+$T$15</f>
        <v>0.61805555555555558</v>
      </c>
      <c r="F1592" s="3">
        <f>E1592-D1592</f>
        <v>1.736111111111116E-2</v>
      </c>
      <c r="G1592" t="s">
        <v>16</v>
      </c>
      <c r="H1592" t="s">
        <v>1</v>
      </c>
    </row>
    <row r="1593" spans="1:8" x14ac:dyDescent="0.3">
      <c r="A1593" s="2">
        <v>45042</v>
      </c>
      <c r="B1593" s="2" t="str">
        <f>TEXT(AutoPomodoro[[#This Row],[DATE]],"mmmm")</f>
        <v>April</v>
      </c>
      <c r="C1593" s="2" t="str">
        <f>TEXT(AutoPomodoro[[#This Row],[DATE]],"yyyy")</f>
        <v>2023</v>
      </c>
      <c r="D1593" s="8">
        <f>E1592+$T$16</f>
        <v>0.62152777777777779</v>
      </c>
      <c r="E1593" s="8">
        <f>D1593+$T$15</f>
        <v>0.63888888888888895</v>
      </c>
      <c r="F1593" s="3">
        <f>E1593-D1593</f>
        <v>1.736111111111116E-2</v>
      </c>
      <c r="G1593" t="s">
        <v>16</v>
      </c>
      <c r="H1593" t="s">
        <v>1</v>
      </c>
    </row>
    <row r="1594" spans="1:8" x14ac:dyDescent="0.3">
      <c r="A1594" s="2">
        <v>45042</v>
      </c>
      <c r="B1594" s="2" t="str">
        <f>TEXT(AutoPomodoro[[#This Row],[DATE]],"mmmm")</f>
        <v>April</v>
      </c>
      <c r="C1594" s="2" t="str">
        <f>TEXT(AutoPomodoro[[#This Row],[DATE]],"yyyy")</f>
        <v>2023</v>
      </c>
      <c r="D1594" s="8">
        <f>E1593+$T$16</f>
        <v>0.64236111111111116</v>
      </c>
      <c r="E1594" s="8">
        <f>D1594+$T$15</f>
        <v>0.65972222222222232</v>
      </c>
      <c r="F1594" s="3">
        <f>E1594-D1594</f>
        <v>1.736111111111116E-2</v>
      </c>
      <c r="G1594" t="s">
        <v>16</v>
      </c>
      <c r="H1594" t="s">
        <v>1</v>
      </c>
    </row>
    <row r="1595" spans="1:8" x14ac:dyDescent="0.3">
      <c r="A1595" s="2">
        <v>45042</v>
      </c>
      <c r="B1595" s="2" t="str">
        <f>TEXT(AutoPomodoro[[#This Row],[DATE]],"mmmm")</f>
        <v>April</v>
      </c>
      <c r="C1595" s="2" t="str">
        <f>TEXT(AutoPomodoro[[#This Row],[DATE]],"yyyy")</f>
        <v>2023</v>
      </c>
      <c r="D1595" s="8">
        <f>E1594+$T$17</f>
        <v>0.66458333333333341</v>
      </c>
      <c r="E1595" s="8">
        <f>D1595+$T$15</f>
        <v>0.68194444444444458</v>
      </c>
      <c r="F1595" s="3">
        <v>2.2222222222222223E-2</v>
      </c>
      <c r="G1595" t="s">
        <v>16</v>
      </c>
      <c r="H1595" t="s">
        <v>1</v>
      </c>
    </row>
    <row r="1596" spans="1:8" x14ac:dyDescent="0.3">
      <c r="A1596" s="2">
        <v>45042</v>
      </c>
      <c r="B1596" s="2" t="str">
        <f>TEXT(AutoPomodoro[[#This Row],[DATE]],"mmmm")</f>
        <v>April</v>
      </c>
      <c r="C1596" s="2" t="str">
        <f>TEXT(AutoPomodoro[[#This Row],[DATE]],"yyyy")</f>
        <v>2023</v>
      </c>
      <c r="D1596" s="8">
        <v>0.82152777777777775</v>
      </c>
      <c r="E1596" s="8">
        <v>0.85625000000000007</v>
      </c>
      <c r="F1596" s="3">
        <f t="shared" ref="F1596:F1602" si="125">E1596-D1596</f>
        <v>3.4722222222222321E-2</v>
      </c>
      <c r="G1596" t="s">
        <v>16</v>
      </c>
      <c r="H1596" t="s">
        <v>1</v>
      </c>
    </row>
    <row r="1597" spans="1:8" x14ac:dyDescent="0.3">
      <c r="A1597" s="2">
        <v>45043</v>
      </c>
      <c r="B1597" s="2" t="str">
        <f>TEXT(AutoPomodoro[[#This Row],[DATE]],"mmmm")</f>
        <v>April</v>
      </c>
      <c r="C1597" s="2" t="str">
        <f>TEXT(AutoPomodoro[[#This Row],[DATE]],"yyyy")</f>
        <v>2023</v>
      </c>
      <c r="D1597" s="8">
        <v>0.60486111111111118</v>
      </c>
      <c r="E1597" s="8">
        <v>0.64374999999999993</v>
      </c>
      <c r="F1597" s="3">
        <f t="shared" si="125"/>
        <v>3.8888888888888751E-2</v>
      </c>
      <c r="G1597" t="s">
        <v>16</v>
      </c>
      <c r="H1597" t="s">
        <v>1</v>
      </c>
    </row>
    <row r="1598" spans="1:8" x14ac:dyDescent="0.3">
      <c r="A1598" s="2">
        <v>45043</v>
      </c>
      <c r="B1598" s="2" t="str">
        <f>TEXT(AutoPomodoro[[#This Row],[DATE]],"mmmm")</f>
        <v>April</v>
      </c>
      <c r="C1598" s="2" t="str">
        <f>TEXT(AutoPomodoro[[#This Row],[DATE]],"yyyy")</f>
        <v>2023</v>
      </c>
      <c r="D1598" s="8">
        <v>0.65138888888888891</v>
      </c>
      <c r="E1598" s="8">
        <v>0.66319444444444442</v>
      </c>
      <c r="F1598" s="3">
        <f t="shared" si="125"/>
        <v>1.1805555555555514E-2</v>
      </c>
      <c r="G1598" t="s">
        <v>16</v>
      </c>
      <c r="H1598" t="s">
        <v>1</v>
      </c>
    </row>
    <row r="1599" spans="1:8" x14ac:dyDescent="0.3">
      <c r="A1599" s="2">
        <v>45043</v>
      </c>
      <c r="B1599" s="2" t="str">
        <f>TEXT(AutoPomodoro[[#This Row],[DATE]],"mmmm")</f>
        <v>April</v>
      </c>
      <c r="C1599" s="2" t="str">
        <f>TEXT(AutoPomodoro[[#This Row],[DATE]],"yyyy")</f>
        <v>2023</v>
      </c>
      <c r="D1599" s="8">
        <v>0.66666666666666663</v>
      </c>
      <c r="E1599" s="8">
        <v>0.69166666666666676</v>
      </c>
      <c r="F1599" s="3">
        <f t="shared" si="125"/>
        <v>2.5000000000000133E-2</v>
      </c>
      <c r="G1599" t="s">
        <v>16</v>
      </c>
      <c r="H1599" t="s">
        <v>1</v>
      </c>
    </row>
    <row r="1600" spans="1:8" x14ac:dyDescent="0.3">
      <c r="A1600" s="2">
        <v>45044</v>
      </c>
      <c r="B1600" s="2" t="str">
        <f>TEXT(AutoPomodoro[[#This Row],[DATE]],"mmmm")</f>
        <v>April</v>
      </c>
      <c r="C1600" s="2" t="str">
        <f>TEXT(AutoPomodoro[[#This Row],[DATE]],"yyyy")</f>
        <v>2023</v>
      </c>
      <c r="D1600" s="8">
        <v>0.63402777777777775</v>
      </c>
      <c r="E1600" s="8">
        <v>0.67361111111111116</v>
      </c>
      <c r="F1600" s="3">
        <f t="shared" si="125"/>
        <v>3.9583333333333415E-2</v>
      </c>
      <c r="G1600" t="s">
        <v>16</v>
      </c>
      <c r="H1600" t="s">
        <v>1</v>
      </c>
    </row>
    <row r="1601" spans="1:8" x14ac:dyDescent="0.3">
      <c r="A1601" s="2">
        <v>45044</v>
      </c>
      <c r="B1601" s="2" t="str">
        <f>TEXT(AutoPomodoro[[#This Row],[DATE]],"mmmm")</f>
        <v>April</v>
      </c>
      <c r="C1601" s="2" t="str">
        <f>TEXT(AutoPomodoro[[#This Row],[DATE]],"yyyy")</f>
        <v>2023</v>
      </c>
      <c r="D1601" s="8">
        <v>0.68263888888888891</v>
      </c>
      <c r="E1601" s="8">
        <v>0.69374999999999998</v>
      </c>
      <c r="F1601" s="3">
        <f t="shared" si="125"/>
        <v>1.1111111111111072E-2</v>
      </c>
      <c r="G1601" t="s">
        <v>16</v>
      </c>
      <c r="H1601" t="s">
        <v>1</v>
      </c>
    </row>
    <row r="1602" spans="1:8" x14ac:dyDescent="0.3">
      <c r="A1602" s="2">
        <v>45046</v>
      </c>
      <c r="B1602" s="2" t="str">
        <f>TEXT(AutoPomodoro[[#This Row],[DATE]],"mmmm")</f>
        <v>April</v>
      </c>
      <c r="C1602" s="2" t="str">
        <f>TEXT(AutoPomodoro[[#This Row],[DATE]],"yyyy")</f>
        <v>2023</v>
      </c>
      <c r="D1602" s="8">
        <v>0.74375000000000002</v>
      </c>
      <c r="E1602" s="8">
        <v>0.79722222222222217</v>
      </c>
      <c r="F1602" s="3">
        <f t="shared" si="125"/>
        <v>5.3472222222222143E-2</v>
      </c>
      <c r="G1602" t="s">
        <v>16</v>
      </c>
      <c r="H1602" t="s">
        <v>1</v>
      </c>
    </row>
    <row r="1603" spans="1:8" x14ac:dyDescent="0.3">
      <c r="A1603" s="2">
        <v>45047</v>
      </c>
      <c r="B1603" s="2" t="str">
        <f>TEXT(AutoPomodoro[[#This Row],[DATE]],"mmmm")</f>
        <v>May</v>
      </c>
      <c r="C1603" s="2" t="str">
        <f>TEXT(AutoPomodoro[[#This Row],[DATE]],"yyyy")</f>
        <v>2023</v>
      </c>
      <c r="D1603" s="8">
        <v>0.61458333333333337</v>
      </c>
      <c r="E1603" s="8">
        <f t="shared" ref="E1603:E1616" si="126">D1603+$T$15</f>
        <v>0.63194444444444453</v>
      </c>
      <c r="F1603" s="3">
        <v>6.9444444444444441E-3</v>
      </c>
      <c r="G1603" t="s">
        <v>16</v>
      </c>
      <c r="H1603" t="s">
        <v>1</v>
      </c>
    </row>
    <row r="1604" spans="1:8" x14ac:dyDescent="0.3">
      <c r="A1604" s="2">
        <v>45047</v>
      </c>
      <c r="B1604" s="2" t="str">
        <f>TEXT(AutoPomodoro[[#This Row],[DATE]],"mmmm")</f>
        <v>May</v>
      </c>
      <c r="C1604" s="2" t="str">
        <f>TEXT(AutoPomodoro[[#This Row],[DATE]],"yyyy")</f>
        <v>2023</v>
      </c>
      <c r="D1604" s="8">
        <f>E1603+$T$16</f>
        <v>0.63541666666666674</v>
      </c>
      <c r="E1604" s="8">
        <f t="shared" si="126"/>
        <v>0.6527777777777779</v>
      </c>
      <c r="F1604" s="3">
        <f>E1604-D1604</f>
        <v>1.736111111111116E-2</v>
      </c>
      <c r="G1604" t="s">
        <v>16</v>
      </c>
      <c r="H1604" t="s">
        <v>1</v>
      </c>
    </row>
    <row r="1605" spans="1:8" x14ac:dyDescent="0.3">
      <c r="A1605" s="2">
        <v>45047</v>
      </c>
      <c r="B1605" s="2" t="str">
        <f>TEXT(AutoPomodoro[[#This Row],[DATE]],"mmmm")</f>
        <v>May</v>
      </c>
      <c r="C1605" s="2" t="str">
        <f>TEXT(AutoPomodoro[[#This Row],[DATE]],"yyyy")</f>
        <v>2023</v>
      </c>
      <c r="D1605" s="8">
        <f>E1604+$T$16</f>
        <v>0.65625000000000011</v>
      </c>
      <c r="E1605" s="8">
        <f t="shared" si="126"/>
        <v>0.67361111111111127</v>
      </c>
      <c r="F1605" s="3">
        <f>E1605-D1605</f>
        <v>1.736111111111116E-2</v>
      </c>
      <c r="G1605" t="s">
        <v>16</v>
      </c>
      <c r="H1605" t="s">
        <v>1</v>
      </c>
    </row>
    <row r="1606" spans="1:8" x14ac:dyDescent="0.3">
      <c r="A1606" s="2">
        <v>45047</v>
      </c>
      <c r="B1606" s="2" t="str">
        <f>TEXT(AutoPomodoro[[#This Row],[DATE]],"mmmm")</f>
        <v>May</v>
      </c>
      <c r="C1606" s="2" t="str">
        <f>TEXT(AutoPomodoro[[#This Row],[DATE]],"yyyy")</f>
        <v>2023</v>
      </c>
      <c r="D1606" s="8">
        <f>E1605+$T$17</f>
        <v>0.67847222222222237</v>
      </c>
      <c r="E1606" s="8">
        <f t="shared" si="126"/>
        <v>0.69583333333333353</v>
      </c>
      <c r="F1606" s="3">
        <f>E1606-D1606</f>
        <v>1.736111111111116E-2</v>
      </c>
      <c r="G1606" t="s">
        <v>16</v>
      </c>
      <c r="H1606" t="s">
        <v>1</v>
      </c>
    </row>
    <row r="1607" spans="1:8" x14ac:dyDescent="0.3">
      <c r="A1607" s="2">
        <v>45047</v>
      </c>
      <c r="B1607" s="2" t="str">
        <f>TEXT(AutoPomodoro[[#This Row],[DATE]],"mmmm")</f>
        <v>May</v>
      </c>
      <c r="C1607" s="2" t="str">
        <f>TEXT(AutoPomodoro[[#This Row],[DATE]],"yyyy")</f>
        <v>2023</v>
      </c>
      <c r="D1607" s="8">
        <v>0.71527777777777779</v>
      </c>
      <c r="E1607" s="8">
        <f t="shared" si="126"/>
        <v>0.73263888888888895</v>
      </c>
      <c r="F1607" s="3">
        <v>8.3333333333333332E-3</v>
      </c>
      <c r="G1607" t="s">
        <v>16</v>
      </c>
      <c r="H1607" t="s">
        <v>1</v>
      </c>
    </row>
    <row r="1608" spans="1:8" x14ac:dyDescent="0.3">
      <c r="A1608" s="2">
        <v>45047</v>
      </c>
      <c r="B1608" s="2" t="str">
        <f>TEXT(AutoPomodoro[[#This Row],[DATE]],"mmmm")</f>
        <v>May</v>
      </c>
      <c r="C1608" s="2" t="str">
        <f>TEXT(AutoPomodoro[[#This Row],[DATE]],"yyyy")</f>
        <v>2023</v>
      </c>
      <c r="D1608" s="8">
        <f>E1607+$T$16</f>
        <v>0.73611111111111116</v>
      </c>
      <c r="E1608" s="8">
        <f t="shared" si="126"/>
        <v>0.75347222222222232</v>
      </c>
      <c r="F1608" s="3">
        <f>E1608-D1608</f>
        <v>1.736111111111116E-2</v>
      </c>
      <c r="G1608" t="s">
        <v>16</v>
      </c>
      <c r="H1608" t="s">
        <v>1</v>
      </c>
    </row>
    <row r="1609" spans="1:8" x14ac:dyDescent="0.3">
      <c r="A1609" s="2">
        <v>45047</v>
      </c>
      <c r="B1609" s="2" t="str">
        <f>TEXT(AutoPomodoro[[#This Row],[DATE]],"mmmm")</f>
        <v>May</v>
      </c>
      <c r="C1609" s="2" t="str">
        <f>TEXT(AutoPomodoro[[#This Row],[DATE]],"yyyy")</f>
        <v>2023</v>
      </c>
      <c r="D1609" s="8">
        <f>E1608+$T$16</f>
        <v>0.75694444444444453</v>
      </c>
      <c r="E1609" s="8">
        <f t="shared" si="126"/>
        <v>0.77430555555555569</v>
      </c>
      <c r="F1609" s="3">
        <v>1.8749999999999999E-2</v>
      </c>
      <c r="G1609" t="s">
        <v>16</v>
      </c>
      <c r="H1609" t="s">
        <v>1</v>
      </c>
    </row>
    <row r="1610" spans="1:8" x14ac:dyDescent="0.3">
      <c r="A1610" s="2">
        <v>45047</v>
      </c>
      <c r="B1610" s="2" t="str">
        <f>TEXT(AutoPomodoro[[#This Row],[DATE]],"mmmm")</f>
        <v>May</v>
      </c>
      <c r="C1610" s="2" t="str">
        <f>TEXT(AutoPomodoro[[#This Row],[DATE]],"yyyy")</f>
        <v>2023</v>
      </c>
      <c r="D1610" s="8">
        <f>E1609+$T$17</f>
        <v>0.77916666666666679</v>
      </c>
      <c r="E1610" s="8">
        <f t="shared" si="126"/>
        <v>0.79652777777777795</v>
      </c>
      <c r="F1610" s="3">
        <f>E1610-D1610</f>
        <v>1.736111111111116E-2</v>
      </c>
      <c r="G1610" t="s">
        <v>16</v>
      </c>
      <c r="H1610" t="s">
        <v>1</v>
      </c>
    </row>
    <row r="1611" spans="1:8" x14ac:dyDescent="0.3">
      <c r="A1611" s="2">
        <v>45047</v>
      </c>
      <c r="B1611" s="2" t="str">
        <f>TEXT(AutoPomodoro[[#This Row],[DATE]],"mmmm")</f>
        <v>May</v>
      </c>
      <c r="C1611" s="2" t="str">
        <f>TEXT(AutoPomodoro[[#This Row],[DATE]],"yyyy")</f>
        <v>2023</v>
      </c>
      <c r="D1611" s="8">
        <v>0.8125</v>
      </c>
      <c r="E1611" s="8">
        <f t="shared" si="126"/>
        <v>0.82986111111111116</v>
      </c>
      <c r="F1611" s="3">
        <f>E1611-D1611</f>
        <v>1.736111111111116E-2</v>
      </c>
      <c r="G1611" t="s">
        <v>16</v>
      </c>
      <c r="H1611" t="s">
        <v>2</v>
      </c>
    </row>
    <row r="1612" spans="1:8" x14ac:dyDescent="0.3">
      <c r="A1612" s="2">
        <v>45047</v>
      </c>
      <c r="B1612" s="2" t="str">
        <f>TEXT(AutoPomodoro[[#This Row],[DATE]],"mmmm")</f>
        <v>May</v>
      </c>
      <c r="C1612" s="2" t="str">
        <f>TEXT(AutoPomodoro[[#This Row],[DATE]],"yyyy")</f>
        <v>2023</v>
      </c>
      <c r="D1612" s="8">
        <f>E1611+$T$16</f>
        <v>0.83333333333333337</v>
      </c>
      <c r="E1612" s="8">
        <f t="shared" si="126"/>
        <v>0.85069444444444453</v>
      </c>
      <c r="F1612" s="3">
        <v>1.5277777777777777E-2</v>
      </c>
      <c r="G1612" t="s">
        <v>16</v>
      </c>
      <c r="H1612" t="s">
        <v>1</v>
      </c>
    </row>
    <row r="1613" spans="1:8" x14ac:dyDescent="0.3">
      <c r="A1613" s="2">
        <v>45054</v>
      </c>
      <c r="B1613" s="2" t="str">
        <f>TEXT(AutoPomodoro[[#This Row],[DATE]],"mmmm")</f>
        <v>May</v>
      </c>
      <c r="C1613" s="2" t="str">
        <f>TEXT(AutoPomodoro[[#This Row],[DATE]],"yyyy")</f>
        <v>2023</v>
      </c>
      <c r="D1613" s="8">
        <v>0.86944444444444446</v>
      </c>
      <c r="E1613" s="8">
        <f t="shared" si="126"/>
        <v>0.88680555555555562</v>
      </c>
      <c r="F1613" s="3">
        <f>E1613-D1613</f>
        <v>1.736111111111116E-2</v>
      </c>
      <c r="G1613" t="s">
        <v>16</v>
      </c>
      <c r="H1613" t="s">
        <v>1</v>
      </c>
    </row>
    <row r="1614" spans="1:8" x14ac:dyDescent="0.3">
      <c r="A1614" s="2">
        <v>45054</v>
      </c>
      <c r="B1614" s="2" t="str">
        <f>TEXT(AutoPomodoro[[#This Row],[DATE]],"mmmm")</f>
        <v>May</v>
      </c>
      <c r="C1614" s="2" t="str">
        <f>TEXT(AutoPomodoro[[#This Row],[DATE]],"yyyy")</f>
        <v>2023</v>
      </c>
      <c r="D1614" s="8">
        <f>E1613+$T$16</f>
        <v>0.89027777777777783</v>
      </c>
      <c r="E1614" s="8">
        <f t="shared" si="126"/>
        <v>0.90763888888888899</v>
      </c>
      <c r="F1614" s="3">
        <f>E1614-D1614</f>
        <v>1.736111111111116E-2</v>
      </c>
      <c r="G1614" t="s">
        <v>16</v>
      </c>
      <c r="H1614" t="s">
        <v>1</v>
      </c>
    </row>
    <row r="1615" spans="1:8" x14ac:dyDescent="0.3">
      <c r="A1615" s="2">
        <v>45054</v>
      </c>
      <c r="B1615" s="2" t="str">
        <f>TEXT(AutoPomodoro[[#This Row],[DATE]],"mmmm")</f>
        <v>May</v>
      </c>
      <c r="C1615" s="2" t="str">
        <f>TEXT(AutoPomodoro[[#This Row],[DATE]],"yyyy")</f>
        <v>2023</v>
      </c>
      <c r="D1615" s="8">
        <f>E1614+$T$16</f>
        <v>0.9111111111111112</v>
      </c>
      <c r="E1615" s="8">
        <f t="shared" si="126"/>
        <v>0.92847222222222237</v>
      </c>
      <c r="F1615" s="3">
        <f>E1615-D1615</f>
        <v>1.736111111111116E-2</v>
      </c>
      <c r="G1615" t="s">
        <v>16</v>
      </c>
      <c r="H1615" t="s">
        <v>1</v>
      </c>
    </row>
    <row r="1616" spans="1:8" x14ac:dyDescent="0.3">
      <c r="A1616" s="2">
        <v>45054</v>
      </c>
      <c r="B1616" s="2" t="str">
        <f>TEXT(AutoPomodoro[[#This Row],[DATE]],"mmmm")</f>
        <v>May</v>
      </c>
      <c r="C1616" s="2" t="str">
        <f>TEXT(AutoPomodoro[[#This Row],[DATE]],"yyyy")</f>
        <v>2023</v>
      </c>
      <c r="D1616" s="8">
        <f>E1615+$T$17</f>
        <v>0.93333333333333346</v>
      </c>
      <c r="E1616" s="8">
        <f t="shared" si="126"/>
        <v>0.95069444444444462</v>
      </c>
      <c r="F1616" s="3">
        <f>E1616-D1616</f>
        <v>1.736111111111116E-2</v>
      </c>
      <c r="G1616" t="s">
        <v>16</v>
      </c>
      <c r="H1616" t="s">
        <v>1</v>
      </c>
    </row>
    <row r="1617" spans="1:8" x14ac:dyDescent="0.3">
      <c r="A1617" s="2">
        <v>45054</v>
      </c>
      <c r="B1617" s="2" t="str">
        <f>TEXT(AutoPomodoro[[#This Row],[DATE]],"mmmm")</f>
        <v>May</v>
      </c>
      <c r="C1617" s="2" t="str">
        <f>TEXT(AutoPomodoro[[#This Row],[DATE]],"yyyy")</f>
        <v>2023</v>
      </c>
      <c r="D1617" s="8">
        <v>0.9555555555555556</v>
      </c>
      <c r="E1617" s="8">
        <v>0.97291666666666676</v>
      </c>
      <c r="F1617" s="3">
        <v>2.7777777777777776E-2</v>
      </c>
      <c r="G1617" t="s">
        <v>16</v>
      </c>
      <c r="H1617" t="s">
        <v>1</v>
      </c>
    </row>
    <row r="1618" spans="1:8" x14ac:dyDescent="0.3">
      <c r="A1618" s="2">
        <v>45055</v>
      </c>
      <c r="B1618" s="2" t="str">
        <f>TEXT(AutoPomodoro[[#This Row],[DATE]],"mmmm")</f>
        <v>May</v>
      </c>
      <c r="C1618" s="2" t="str">
        <f>TEXT(AutoPomodoro[[#This Row],[DATE]],"yyyy")</f>
        <v>2023</v>
      </c>
      <c r="D1618" s="8">
        <v>0.625</v>
      </c>
      <c r="E1618" s="8">
        <f>D1618+$T$15</f>
        <v>0.64236111111111116</v>
      </c>
      <c r="F1618" s="3">
        <f>E1618-D1618</f>
        <v>1.736111111111116E-2</v>
      </c>
      <c r="G1618" t="s">
        <v>16</v>
      </c>
      <c r="H1618" t="s">
        <v>1</v>
      </c>
    </row>
    <row r="1619" spans="1:8" x14ac:dyDescent="0.3">
      <c r="A1619" s="2">
        <v>45055</v>
      </c>
      <c r="B1619" s="2" t="str">
        <f>TEXT(AutoPomodoro[[#This Row],[DATE]],"mmmm")</f>
        <v>May</v>
      </c>
      <c r="C1619" s="2" t="str">
        <f>TEXT(AutoPomodoro[[#This Row],[DATE]],"yyyy")</f>
        <v>2023</v>
      </c>
      <c r="D1619" s="8">
        <f>E1618+$T$16</f>
        <v>0.64583333333333337</v>
      </c>
      <c r="E1619" s="8">
        <f>D1619+$T$15</f>
        <v>0.66319444444444453</v>
      </c>
      <c r="F1619" s="3">
        <f>E1619-D1619</f>
        <v>1.736111111111116E-2</v>
      </c>
      <c r="G1619" t="s">
        <v>16</v>
      </c>
      <c r="H1619" t="s">
        <v>1</v>
      </c>
    </row>
    <row r="1620" spans="1:8" x14ac:dyDescent="0.3">
      <c r="A1620" s="2">
        <v>45055</v>
      </c>
      <c r="B1620" s="2" t="str">
        <f>TEXT(AutoPomodoro[[#This Row],[DATE]],"mmmm")</f>
        <v>May</v>
      </c>
      <c r="C1620" s="2" t="str">
        <f>TEXT(AutoPomodoro[[#This Row],[DATE]],"yyyy")</f>
        <v>2023</v>
      </c>
      <c r="D1620" s="8">
        <f>E1619+$T$16</f>
        <v>0.66666666666666674</v>
      </c>
      <c r="E1620" s="8">
        <f>D1620+$T$15</f>
        <v>0.6840277777777779</v>
      </c>
      <c r="F1620" s="3">
        <f>E1620-D1620</f>
        <v>1.736111111111116E-2</v>
      </c>
      <c r="G1620" t="s">
        <v>16</v>
      </c>
      <c r="H1620" t="s">
        <v>1</v>
      </c>
    </row>
    <row r="1621" spans="1:8" x14ac:dyDescent="0.3">
      <c r="A1621" s="2">
        <v>45055</v>
      </c>
      <c r="B1621" s="2" t="str">
        <f>TEXT(AutoPomodoro[[#This Row],[DATE]],"mmmm")</f>
        <v>May</v>
      </c>
      <c r="C1621" s="2" t="str">
        <f>TEXT(AutoPomodoro[[#This Row],[DATE]],"yyyy")</f>
        <v>2023</v>
      </c>
      <c r="D1621" s="8">
        <f>E1620+$T$17</f>
        <v>0.68888888888888899</v>
      </c>
      <c r="E1621" s="8">
        <f>D1621+$T$15</f>
        <v>0.70625000000000016</v>
      </c>
      <c r="F1621" s="3">
        <v>2.0833333333333332E-2</v>
      </c>
      <c r="G1621" t="s">
        <v>16</v>
      </c>
      <c r="H1621" t="s">
        <v>1</v>
      </c>
    </row>
    <row r="1622" spans="1:8" x14ac:dyDescent="0.3">
      <c r="A1622" s="2">
        <v>45056</v>
      </c>
      <c r="B1622" s="2" t="str">
        <f>TEXT(AutoPomodoro[[#This Row],[DATE]],"mmmm")</f>
        <v>May</v>
      </c>
      <c r="C1622" s="2" t="str">
        <f>TEXT(AutoPomodoro[[#This Row],[DATE]],"yyyy")</f>
        <v>2023</v>
      </c>
      <c r="D1622" s="8">
        <v>0.52430555555555558</v>
      </c>
      <c r="E1622" s="8">
        <v>0.56736111111111109</v>
      </c>
      <c r="F1622" s="3">
        <f>E1622-D1622</f>
        <v>4.3055555555555514E-2</v>
      </c>
      <c r="G1622" t="s">
        <v>16</v>
      </c>
      <c r="H1622" t="s">
        <v>1</v>
      </c>
    </row>
    <row r="1623" spans="1:8" x14ac:dyDescent="0.3">
      <c r="A1623" s="2">
        <v>45056</v>
      </c>
      <c r="B1623" s="2" t="str">
        <f>TEXT(AutoPomodoro[[#This Row],[DATE]],"mmmm")</f>
        <v>May</v>
      </c>
      <c r="C1623" s="2" t="str">
        <f>TEXT(AutoPomodoro[[#This Row],[DATE]],"yyyy")</f>
        <v>2023</v>
      </c>
      <c r="D1623" s="8">
        <v>0.58750000000000002</v>
      </c>
      <c r="E1623" s="8">
        <v>0.60833333333333328</v>
      </c>
      <c r="F1623" s="3">
        <f>E1623-D1623</f>
        <v>2.0833333333333259E-2</v>
      </c>
      <c r="G1623" t="s">
        <v>16</v>
      </c>
      <c r="H1623" t="s">
        <v>1</v>
      </c>
    </row>
    <row r="1624" spans="1:8" x14ac:dyDescent="0.3">
      <c r="A1624" s="2">
        <v>45056</v>
      </c>
      <c r="B1624" s="2" t="str">
        <f>TEXT(AutoPomodoro[[#This Row],[DATE]],"mmmm")</f>
        <v>May</v>
      </c>
      <c r="C1624" s="2" t="str">
        <f>TEXT(AutoPomodoro[[#This Row],[DATE]],"yyyy")</f>
        <v>2023</v>
      </c>
      <c r="D1624" s="8">
        <v>0.61249999999999993</v>
      </c>
      <c r="E1624" s="8">
        <v>0.67708333333333337</v>
      </c>
      <c r="F1624" s="3">
        <f>E1624-D1624</f>
        <v>6.4583333333333437E-2</v>
      </c>
      <c r="G1624" t="s">
        <v>16</v>
      </c>
      <c r="H1624" t="s">
        <v>1</v>
      </c>
    </row>
    <row r="1625" spans="1:8" x14ac:dyDescent="0.3">
      <c r="A1625" s="2">
        <v>45056</v>
      </c>
      <c r="B1625" s="2" t="str">
        <f>TEXT(AutoPomodoro[[#This Row],[DATE]],"mmmm")</f>
        <v>May</v>
      </c>
      <c r="C1625" s="2" t="str">
        <f>TEXT(AutoPomodoro[[#This Row],[DATE]],"yyyy")</f>
        <v>2023</v>
      </c>
      <c r="D1625" s="8">
        <v>0.68125000000000002</v>
      </c>
      <c r="E1625" s="8">
        <v>0.69166666666666676</v>
      </c>
      <c r="F1625" s="3">
        <v>1.3888888888888888E-2</v>
      </c>
      <c r="G1625" t="s">
        <v>16</v>
      </c>
      <c r="H1625" t="s">
        <v>1</v>
      </c>
    </row>
    <row r="1626" spans="1:8" x14ac:dyDescent="0.3">
      <c r="A1626" s="2">
        <v>45057</v>
      </c>
      <c r="B1626" s="2" t="str">
        <f>TEXT(AutoPomodoro[[#This Row],[DATE]],"mmmm")</f>
        <v>May</v>
      </c>
      <c r="C1626" s="2" t="str">
        <f>TEXT(AutoPomodoro[[#This Row],[DATE]],"yyyy")</f>
        <v>2023</v>
      </c>
      <c r="D1626" s="8">
        <v>0.60763888888888895</v>
      </c>
      <c r="E1626" s="8">
        <f>D1626+$T$15</f>
        <v>0.62500000000000011</v>
      </c>
      <c r="F1626" s="3">
        <v>2.0833333333333332E-2</v>
      </c>
      <c r="G1626" t="s">
        <v>16</v>
      </c>
      <c r="H1626" t="s">
        <v>1</v>
      </c>
    </row>
    <row r="1627" spans="1:8" x14ac:dyDescent="0.3">
      <c r="A1627" s="2">
        <v>45057</v>
      </c>
      <c r="B1627" s="2" t="str">
        <f>TEXT(AutoPomodoro[[#This Row],[DATE]],"mmmm")</f>
        <v>May</v>
      </c>
      <c r="C1627" s="2" t="str">
        <f>TEXT(AutoPomodoro[[#This Row],[DATE]],"yyyy")</f>
        <v>2023</v>
      </c>
      <c r="D1627" s="8">
        <f>E1626+$T$16</f>
        <v>0.62847222222222232</v>
      </c>
      <c r="E1627" s="8">
        <f>D1627+$T$15</f>
        <v>0.64583333333333348</v>
      </c>
      <c r="F1627" s="3">
        <f>E1627-D1627</f>
        <v>1.736111111111116E-2</v>
      </c>
      <c r="G1627" t="s">
        <v>16</v>
      </c>
      <c r="H1627" t="s">
        <v>1</v>
      </c>
    </row>
    <row r="1628" spans="1:8" x14ac:dyDescent="0.3">
      <c r="A1628" s="2">
        <v>45057</v>
      </c>
      <c r="B1628" s="2" t="str">
        <f>TEXT(AutoPomodoro[[#This Row],[DATE]],"mmmm")</f>
        <v>May</v>
      </c>
      <c r="C1628" s="2" t="str">
        <f>TEXT(AutoPomodoro[[#This Row],[DATE]],"yyyy")</f>
        <v>2023</v>
      </c>
      <c r="D1628" s="8">
        <v>0.80347222222222225</v>
      </c>
      <c r="E1628" s="8">
        <f>D1628+$T$15</f>
        <v>0.82083333333333341</v>
      </c>
      <c r="F1628" s="3">
        <v>1.5972222222222224E-2</v>
      </c>
      <c r="G1628" t="s">
        <v>16</v>
      </c>
      <c r="H1628" t="s">
        <v>1</v>
      </c>
    </row>
    <row r="1629" spans="1:8" x14ac:dyDescent="0.3">
      <c r="A1629" s="2">
        <v>45057</v>
      </c>
      <c r="B1629" s="2" t="str">
        <f>TEXT(AutoPomodoro[[#This Row],[DATE]],"mmmm")</f>
        <v>May</v>
      </c>
      <c r="C1629" s="2" t="str">
        <f>TEXT(AutoPomodoro[[#This Row],[DATE]],"yyyy")</f>
        <v>2023</v>
      </c>
      <c r="D1629" s="8">
        <f>E1628+$T$16</f>
        <v>0.82430555555555562</v>
      </c>
      <c r="E1629" s="8">
        <f>D1629+$T$15</f>
        <v>0.84166666666666679</v>
      </c>
      <c r="F1629" s="3">
        <f>E1629-D1629</f>
        <v>1.736111111111116E-2</v>
      </c>
      <c r="G1629" t="s">
        <v>16</v>
      </c>
      <c r="H1629" t="s">
        <v>1</v>
      </c>
    </row>
    <row r="1630" spans="1:8" x14ac:dyDescent="0.3">
      <c r="A1630" s="2">
        <v>45057</v>
      </c>
      <c r="B1630" s="2" t="str">
        <f>TEXT(AutoPomodoro[[#This Row],[DATE]],"mmmm")</f>
        <v>May</v>
      </c>
      <c r="C1630" s="2" t="str">
        <f>TEXT(AutoPomodoro[[#This Row],[DATE]],"yyyy")</f>
        <v>2023</v>
      </c>
      <c r="D1630" s="8">
        <f>E1629+$T$16</f>
        <v>0.84513888888888899</v>
      </c>
      <c r="E1630" s="8">
        <v>0.86805555555555547</v>
      </c>
      <c r="F1630" s="3">
        <v>2.9166666666666664E-2</v>
      </c>
      <c r="G1630" t="s">
        <v>16</v>
      </c>
      <c r="H1630" t="s">
        <v>1</v>
      </c>
    </row>
    <row r="1631" spans="1:8" x14ac:dyDescent="0.3">
      <c r="A1631" s="2">
        <v>45058</v>
      </c>
      <c r="B1631" s="2" t="str">
        <f>TEXT(AutoPomodoro[[#This Row],[DATE]],"mmmm")</f>
        <v>May</v>
      </c>
      <c r="C1631" s="2" t="str">
        <f>TEXT(AutoPomodoro[[#This Row],[DATE]],"yyyy")</f>
        <v>2023</v>
      </c>
      <c r="D1631" s="8">
        <v>0.57638888888888895</v>
      </c>
      <c r="E1631" s="8">
        <v>0.61805555555555558</v>
      </c>
      <c r="F1631" s="3">
        <v>4.1666666666666664E-2</v>
      </c>
      <c r="G1631" t="s">
        <v>16</v>
      </c>
      <c r="H1631" t="s">
        <v>1</v>
      </c>
    </row>
    <row r="1632" spans="1:8" x14ac:dyDescent="0.3">
      <c r="A1632" s="2">
        <v>45058</v>
      </c>
      <c r="B1632" s="2" t="str">
        <f>TEXT(AutoPomodoro[[#This Row],[DATE]],"mmmm")</f>
        <v>May</v>
      </c>
      <c r="C1632" s="2" t="str">
        <f>TEXT(AutoPomodoro[[#This Row],[DATE]],"yyyy")</f>
        <v>2023</v>
      </c>
      <c r="D1632" s="8">
        <v>0.62152777777777779</v>
      </c>
      <c r="E1632" s="8">
        <f t="shared" ref="E1632:E1638" si="127">D1632+$T$15</f>
        <v>0.63888888888888895</v>
      </c>
      <c r="F1632" s="3">
        <f>E1632-D1632</f>
        <v>1.736111111111116E-2</v>
      </c>
      <c r="G1632" t="s">
        <v>16</v>
      </c>
      <c r="H1632" t="s">
        <v>1</v>
      </c>
    </row>
    <row r="1633" spans="1:8" x14ac:dyDescent="0.3">
      <c r="A1633" s="2">
        <v>45058</v>
      </c>
      <c r="B1633" s="2" t="str">
        <f>TEXT(AutoPomodoro[[#This Row],[DATE]],"mmmm")</f>
        <v>May</v>
      </c>
      <c r="C1633" s="2" t="str">
        <f>TEXT(AutoPomodoro[[#This Row],[DATE]],"yyyy")</f>
        <v>2023</v>
      </c>
      <c r="D1633" s="8">
        <f>E1632+$T$16</f>
        <v>0.64236111111111116</v>
      </c>
      <c r="E1633" s="8">
        <f t="shared" si="127"/>
        <v>0.65972222222222232</v>
      </c>
      <c r="F1633" s="3">
        <v>1.8749999999999999E-2</v>
      </c>
      <c r="G1633" t="s">
        <v>16</v>
      </c>
      <c r="H1633" t="s">
        <v>1</v>
      </c>
    </row>
    <row r="1634" spans="1:8" x14ac:dyDescent="0.3">
      <c r="A1634" s="2">
        <v>45059</v>
      </c>
      <c r="B1634" s="2" t="str">
        <f>TEXT(AutoPomodoro[[#This Row],[DATE]],"mmmm")</f>
        <v>May</v>
      </c>
      <c r="C1634" s="2" t="str">
        <f>TEXT(AutoPomodoro[[#This Row],[DATE]],"yyyy")</f>
        <v>2023</v>
      </c>
      <c r="D1634" s="8">
        <v>0.62916666666666665</v>
      </c>
      <c r="E1634" s="8">
        <f t="shared" si="127"/>
        <v>0.64652777777777781</v>
      </c>
      <c r="F1634" s="3">
        <f>E1634-D1634</f>
        <v>1.736111111111116E-2</v>
      </c>
      <c r="G1634" t="s">
        <v>16</v>
      </c>
      <c r="H1634" t="s">
        <v>1</v>
      </c>
    </row>
    <row r="1635" spans="1:8" x14ac:dyDescent="0.3">
      <c r="A1635" s="2">
        <v>45059</v>
      </c>
      <c r="B1635" s="2" t="str">
        <f>TEXT(AutoPomodoro[[#This Row],[DATE]],"mmmm")</f>
        <v>May</v>
      </c>
      <c r="C1635" s="2" t="str">
        <f>TEXT(AutoPomodoro[[#This Row],[DATE]],"yyyy")</f>
        <v>2023</v>
      </c>
      <c r="D1635" s="8">
        <f>E1634+$T$16</f>
        <v>0.65</v>
      </c>
      <c r="E1635" s="8">
        <f t="shared" si="127"/>
        <v>0.66736111111111118</v>
      </c>
      <c r="F1635" s="3">
        <f>E1635-D1635</f>
        <v>1.736111111111116E-2</v>
      </c>
      <c r="G1635" t="s">
        <v>16</v>
      </c>
      <c r="H1635" t="s">
        <v>1</v>
      </c>
    </row>
    <row r="1636" spans="1:8" x14ac:dyDescent="0.3">
      <c r="A1636" s="2">
        <v>45059</v>
      </c>
      <c r="B1636" s="2" t="str">
        <f>TEXT(AutoPomodoro[[#This Row],[DATE]],"mmmm")</f>
        <v>May</v>
      </c>
      <c r="C1636" s="2" t="str">
        <f>TEXT(AutoPomodoro[[#This Row],[DATE]],"yyyy")</f>
        <v>2023</v>
      </c>
      <c r="D1636" s="8">
        <f>E1635+$T$16</f>
        <v>0.67083333333333339</v>
      </c>
      <c r="E1636" s="8">
        <f t="shared" si="127"/>
        <v>0.68819444444444455</v>
      </c>
      <c r="F1636" s="3">
        <v>1.8749999999999999E-2</v>
      </c>
      <c r="G1636" t="s">
        <v>16</v>
      </c>
      <c r="H1636" t="s">
        <v>1</v>
      </c>
    </row>
    <row r="1637" spans="1:8" x14ac:dyDescent="0.3">
      <c r="A1637" s="2">
        <v>45059</v>
      </c>
      <c r="B1637" s="2" t="str">
        <f>TEXT(AutoPomodoro[[#This Row],[DATE]],"mmmm")</f>
        <v>May</v>
      </c>
      <c r="C1637" s="2" t="str">
        <f>TEXT(AutoPomodoro[[#This Row],[DATE]],"yyyy")</f>
        <v>2023</v>
      </c>
      <c r="D1637" s="8">
        <f>E1636+$T$17</f>
        <v>0.69305555555555565</v>
      </c>
      <c r="E1637" s="8">
        <f t="shared" si="127"/>
        <v>0.71041666666666681</v>
      </c>
      <c r="F1637" s="3">
        <v>2.2222222222222223E-2</v>
      </c>
      <c r="G1637" t="s">
        <v>16</v>
      </c>
      <c r="H1637" t="s">
        <v>1</v>
      </c>
    </row>
    <row r="1638" spans="1:8" x14ac:dyDescent="0.3">
      <c r="A1638" s="2">
        <v>45059</v>
      </c>
      <c r="B1638" s="2" t="str">
        <f>TEXT(AutoPomodoro[[#This Row],[DATE]],"mmmm")</f>
        <v>May</v>
      </c>
      <c r="C1638" s="2" t="str">
        <f>TEXT(AutoPomodoro[[#This Row],[DATE]],"yyyy")</f>
        <v>2023</v>
      </c>
      <c r="D1638" s="8">
        <v>0.73263888888888884</v>
      </c>
      <c r="E1638" s="8">
        <f t="shared" si="127"/>
        <v>0.75</v>
      </c>
      <c r="F1638" s="3">
        <v>1.8055555555555557E-2</v>
      </c>
      <c r="G1638" t="s">
        <v>16</v>
      </c>
      <c r="H1638" t="s">
        <v>1</v>
      </c>
    </row>
    <row r="1639" spans="1:8" x14ac:dyDescent="0.3">
      <c r="A1639" s="2">
        <v>45059</v>
      </c>
      <c r="B1639" s="2" t="str">
        <f>TEXT(AutoPomodoro[[#This Row],[DATE]],"mmmm")</f>
        <v>May</v>
      </c>
      <c r="C1639" s="2" t="str">
        <f>TEXT(AutoPomodoro[[#This Row],[DATE]],"yyyy")</f>
        <v>2023</v>
      </c>
      <c r="D1639" s="8">
        <f>E1638+$T$16</f>
        <v>0.75347222222222221</v>
      </c>
      <c r="E1639" s="8">
        <v>0.78125</v>
      </c>
      <c r="F1639" s="3">
        <v>3.125E-2</v>
      </c>
      <c r="G1639" t="s">
        <v>16</v>
      </c>
      <c r="H1639" t="s">
        <v>1</v>
      </c>
    </row>
    <row r="1640" spans="1:8" x14ac:dyDescent="0.3">
      <c r="A1640" s="2">
        <v>45060</v>
      </c>
      <c r="B1640" s="2" t="str">
        <f>TEXT(AutoPomodoro[[#This Row],[DATE]],"mmmm")</f>
        <v>May</v>
      </c>
      <c r="C1640" s="2" t="str">
        <f>TEXT(AutoPomodoro[[#This Row],[DATE]],"yyyy")</f>
        <v>2023</v>
      </c>
      <c r="D1640" s="8">
        <v>0.82291666666666663</v>
      </c>
      <c r="E1640" s="8">
        <f t="shared" ref="E1640:E1645" si="128">D1640+$T$15</f>
        <v>0.84027777777777779</v>
      </c>
      <c r="F1640" s="3">
        <f>E1640-D1640</f>
        <v>1.736111111111116E-2</v>
      </c>
      <c r="G1640" t="s">
        <v>17</v>
      </c>
      <c r="H1640" t="s">
        <v>1</v>
      </c>
    </row>
    <row r="1641" spans="1:8" x14ac:dyDescent="0.3">
      <c r="A1641" s="2">
        <v>45060</v>
      </c>
      <c r="B1641" s="2" t="str">
        <f>TEXT(AutoPomodoro[[#This Row],[DATE]],"mmmm")</f>
        <v>May</v>
      </c>
      <c r="C1641" s="2" t="str">
        <f>TEXT(AutoPomodoro[[#This Row],[DATE]],"yyyy")</f>
        <v>2023</v>
      </c>
      <c r="D1641" s="8">
        <f>E1640+$T$16</f>
        <v>0.84375</v>
      </c>
      <c r="E1641" s="8">
        <f t="shared" si="128"/>
        <v>0.86111111111111116</v>
      </c>
      <c r="F1641" s="3">
        <f>E1641-D1641</f>
        <v>1.736111111111116E-2</v>
      </c>
      <c r="G1641" t="s">
        <v>17</v>
      </c>
      <c r="H1641" t="s">
        <v>1</v>
      </c>
    </row>
    <row r="1642" spans="1:8" x14ac:dyDescent="0.3">
      <c r="A1642" s="2">
        <v>45061</v>
      </c>
      <c r="B1642" s="2" t="str">
        <f>TEXT(AutoPomodoro[[#This Row],[DATE]],"mmmm")</f>
        <v>May</v>
      </c>
      <c r="C1642" s="2" t="str">
        <f>TEXT(AutoPomodoro[[#This Row],[DATE]],"yyyy")</f>
        <v>2023</v>
      </c>
      <c r="D1642" s="8">
        <v>0.65625</v>
      </c>
      <c r="E1642" s="8">
        <f t="shared" si="128"/>
        <v>0.67361111111111116</v>
      </c>
      <c r="F1642" s="3">
        <v>2.0833333333333332E-2</v>
      </c>
      <c r="G1642" t="s">
        <v>16</v>
      </c>
      <c r="H1642" t="s">
        <v>1</v>
      </c>
    </row>
    <row r="1643" spans="1:8" x14ac:dyDescent="0.3">
      <c r="A1643" s="2">
        <v>45061</v>
      </c>
      <c r="B1643" s="2" t="str">
        <f>TEXT(AutoPomodoro[[#This Row],[DATE]],"mmmm")</f>
        <v>May</v>
      </c>
      <c r="C1643" s="2" t="str">
        <f>TEXT(AutoPomodoro[[#This Row],[DATE]],"yyyy")</f>
        <v>2023</v>
      </c>
      <c r="D1643" s="8">
        <f>E1642+$T$16</f>
        <v>0.67708333333333337</v>
      </c>
      <c r="E1643" s="8">
        <f t="shared" si="128"/>
        <v>0.69444444444444453</v>
      </c>
      <c r="F1643" s="3">
        <v>1.8749999999999999E-2</v>
      </c>
      <c r="G1643" t="s">
        <v>16</v>
      </c>
      <c r="H1643" t="s">
        <v>1</v>
      </c>
    </row>
    <row r="1644" spans="1:8" x14ac:dyDescent="0.3">
      <c r="A1644" s="2">
        <v>45061</v>
      </c>
      <c r="B1644" s="2" t="str">
        <f>TEXT(AutoPomodoro[[#This Row],[DATE]],"mmmm")</f>
        <v>May</v>
      </c>
      <c r="C1644" s="2" t="str">
        <f>TEXT(AutoPomodoro[[#This Row],[DATE]],"yyyy")</f>
        <v>2023</v>
      </c>
      <c r="D1644" s="8">
        <f>E1643+$T$16</f>
        <v>0.69791666666666674</v>
      </c>
      <c r="E1644" s="8">
        <f t="shared" si="128"/>
        <v>0.7152777777777779</v>
      </c>
      <c r="F1644" s="3">
        <f>E1644-D1644</f>
        <v>1.736111111111116E-2</v>
      </c>
      <c r="G1644" t="s">
        <v>16</v>
      </c>
      <c r="H1644" t="s">
        <v>1</v>
      </c>
    </row>
    <row r="1645" spans="1:8" x14ac:dyDescent="0.3">
      <c r="A1645" s="2">
        <v>45061</v>
      </c>
      <c r="B1645" s="2" t="str">
        <f>TEXT(AutoPomodoro[[#This Row],[DATE]],"mmmm")</f>
        <v>May</v>
      </c>
      <c r="C1645" s="2" t="str">
        <f>TEXT(AutoPomodoro[[#This Row],[DATE]],"yyyy")</f>
        <v>2023</v>
      </c>
      <c r="D1645" s="8">
        <f>E1644+$T$17</f>
        <v>0.72013888888888899</v>
      </c>
      <c r="E1645" s="8">
        <f t="shared" si="128"/>
        <v>0.73750000000000016</v>
      </c>
      <c r="F1645" s="3">
        <v>4.0972222222222222E-2</v>
      </c>
      <c r="G1645" t="s">
        <v>16</v>
      </c>
      <c r="H1645" t="s">
        <v>1</v>
      </c>
    </row>
    <row r="1646" spans="1:8" x14ac:dyDescent="0.3">
      <c r="A1646" s="2">
        <v>45061</v>
      </c>
      <c r="B1646" s="2" t="str">
        <f>TEXT(AutoPomodoro[[#This Row],[DATE]],"mmmm")</f>
        <v>May</v>
      </c>
      <c r="C1646" s="2" t="str">
        <f>TEXT(AutoPomodoro[[#This Row],[DATE]],"yyyy")</f>
        <v>2023</v>
      </c>
      <c r="D1646" s="8">
        <v>0.82152777777777775</v>
      </c>
      <c r="E1646" s="8">
        <v>0.82708333333333339</v>
      </c>
      <c r="F1646" s="3">
        <f>E1646-D1646</f>
        <v>5.5555555555556468E-3</v>
      </c>
      <c r="G1646" t="s">
        <v>16</v>
      </c>
      <c r="H1646" t="s">
        <v>1</v>
      </c>
    </row>
    <row r="1647" spans="1:8" x14ac:dyDescent="0.3">
      <c r="A1647" s="2">
        <v>45062</v>
      </c>
      <c r="B1647" s="2" t="str">
        <f>TEXT(AutoPomodoro[[#This Row],[DATE]],"mmmm")</f>
        <v>May</v>
      </c>
      <c r="C1647" s="2" t="str">
        <f>TEXT(AutoPomodoro[[#This Row],[DATE]],"yyyy")</f>
        <v>2023</v>
      </c>
      <c r="D1647" s="8">
        <v>0.67361111111111116</v>
      </c>
      <c r="E1647" s="8">
        <f>D1647+$T$15</f>
        <v>0.69097222222222232</v>
      </c>
      <c r="F1647" s="3">
        <v>2.0833333333333332E-2</v>
      </c>
      <c r="G1647" t="s">
        <v>16</v>
      </c>
      <c r="H1647" t="s">
        <v>1</v>
      </c>
    </row>
    <row r="1648" spans="1:8" x14ac:dyDescent="0.3">
      <c r="A1648" s="2">
        <v>45062</v>
      </c>
      <c r="B1648" s="2" t="str">
        <f>TEXT(AutoPomodoro[[#This Row],[DATE]],"mmmm")</f>
        <v>May</v>
      </c>
      <c r="C1648" s="2" t="str">
        <f>TEXT(AutoPomodoro[[#This Row],[DATE]],"yyyy")</f>
        <v>2023</v>
      </c>
      <c r="D1648" s="8">
        <f>E1647+$T$16</f>
        <v>0.69444444444444453</v>
      </c>
      <c r="E1648" s="8">
        <f>D1648+$T$15</f>
        <v>0.71180555555555569</v>
      </c>
      <c r="F1648" s="3">
        <f>E1648-D1648</f>
        <v>1.736111111111116E-2</v>
      </c>
      <c r="G1648" t="s">
        <v>16</v>
      </c>
      <c r="H1648" t="s">
        <v>1</v>
      </c>
    </row>
    <row r="1649" spans="1:8" x14ac:dyDescent="0.3">
      <c r="A1649" s="2">
        <v>45062</v>
      </c>
      <c r="B1649" s="2" t="str">
        <f>TEXT(AutoPomodoro[[#This Row],[DATE]],"mmmm")</f>
        <v>May</v>
      </c>
      <c r="C1649" s="2" t="str">
        <f>TEXT(AutoPomodoro[[#This Row],[DATE]],"yyyy")</f>
        <v>2023</v>
      </c>
      <c r="D1649" s="8">
        <f>E1648+$T$16</f>
        <v>0.7152777777777779</v>
      </c>
      <c r="E1649" s="8">
        <f>D1649+$T$15</f>
        <v>0.73263888888888906</v>
      </c>
      <c r="F1649" s="3">
        <v>2.013888888888889E-2</v>
      </c>
      <c r="G1649" t="s">
        <v>16</v>
      </c>
      <c r="H1649" t="s">
        <v>1</v>
      </c>
    </row>
    <row r="1650" spans="1:8" x14ac:dyDescent="0.3">
      <c r="A1650" s="2">
        <v>45063</v>
      </c>
      <c r="B1650" s="2" t="str">
        <f>TEXT(AutoPomodoro[[#This Row],[DATE]],"mmmm")</f>
        <v>May</v>
      </c>
      <c r="C1650" s="2" t="str">
        <f>TEXT(AutoPomodoro[[#This Row],[DATE]],"yyyy")</f>
        <v>2023</v>
      </c>
      <c r="D1650" s="8">
        <v>0.83472222222222225</v>
      </c>
      <c r="E1650" s="8">
        <v>0.85486111111111107</v>
      </c>
      <c r="F1650" s="3">
        <f>E1650-D1650</f>
        <v>2.0138888888888817E-2</v>
      </c>
      <c r="G1650" t="s">
        <v>16</v>
      </c>
      <c r="H1650" t="s">
        <v>1</v>
      </c>
    </row>
    <row r="1651" spans="1:8" x14ac:dyDescent="0.3">
      <c r="A1651" s="2">
        <v>45063</v>
      </c>
      <c r="B1651" s="2" t="str">
        <f>TEXT(AutoPomodoro[[#This Row],[DATE]],"mmmm")</f>
        <v>May</v>
      </c>
      <c r="C1651" s="2" t="str">
        <f>TEXT(AutoPomodoro[[#This Row],[DATE]],"yyyy")</f>
        <v>2023</v>
      </c>
      <c r="D1651" s="8">
        <v>0.89583333333333337</v>
      </c>
      <c r="E1651" s="8">
        <f>D1651+$T$15</f>
        <v>0.91319444444444453</v>
      </c>
      <c r="F1651" s="3">
        <v>1.8749999999999999E-2</v>
      </c>
      <c r="G1651" t="s">
        <v>16</v>
      </c>
      <c r="H1651" t="s">
        <v>1</v>
      </c>
    </row>
    <row r="1652" spans="1:8" x14ac:dyDescent="0.3">
      <c r="A1652" s="2">
        <v>45063</v>
      </c>
      <c r="B1652" s="2" t="str">
        <f>TEXT(AutoPomodoro[[#This Row],[DATE]],"mmmm")</f>
        <v>May</v>
      </c>
      <c r="C1652" s="2" t="str">
        <f>TEXT(AutoPomodoro[[#This Row],[DATE]],"yyyy")</f>
        <v>2023</v>
      </c>
      <c r="D1652" s="8">
        <f>E1651+$T$16</f>
        <v>0.91666666666666674</v>
      </c>
      <c r="E1652" s="8">
        <f>D1652+$T$15</f>
        <v>0.9340277777777779</v>
      </c>
      <c r="F1652" s="3">
        <f>E1652-D1652</f>
        <v>1.736111111111116E-2</v>
      </c>
      <c r="G1652" t="s">
        <v>16</v>
      </c>
      <c r="H1652" t="s">
        <v>1</v>
      </c>
    </row>
    <row r="1653" spans="1:8" x14ac:dyDescent="0.3">
      <c r="A1653" s="2">
        <v>45063</v>
      </c>
      <c r="B1653" s="2" t="str">
        <f>TEXT(AutoPomodoro[[#This Row],[DATE]],"mmmm")</f>
        <v>May</v>
      </c>
      <c r="C1653" s="2" t="str">
        <f>TEXT(AutoPomodoro[[#This Row],[DATE]],"yyyy")</f>
        <v>2023</v>
      </c>
      <c r="D1653" s="8">
        <f>E1652+$T$16</f>
        <v>0.93750000000000011</v>
      </c>
      <c r="E1653" s="8">
        <f>D1653+$T$15</f>
        <v>0.95486111111111127</v>
      </c>
      <c r="F1653" s="3">
        <f>E1653-D1653</f>
        <v>1.736111111111116E-2</v>
      </c>
      <c r="G1653" t="s">
        <v>16</v>
      </c>
      <c r="H1653" t="s">
        <v>1</v>
      </c>
    </row>
    <row r="1654" spans="1:8" x14ac:dyDescent="0.3">
      <c r="A1654" s="2">
        <v>45063</v>
      </c>
      <c r="B1654" s="2" t="str">
        <f>TEXT(AutoPomodoro[[#This Row],[DATE]],"mmmm")</f>
        <v>May</v>
      </c>
      <c r="C1654" s="2" t="str">
        <f>TEXT(AutoPomodoro[[#This Row],[DATE]],"yyyy")</f>
        <v>2023</v>
      </c>
      <c r="D1654" s="8">
        <f>E1653+$T$17</f>
        <v>0.95972222222222237</v>
      </c>
      <c r="E1654" s="8">
        <f>D1654+$T$15</f>
        <v>0.97708333333333353</v>
      </c>
      <c r="F1654" s="3">
        <f>E1654-D1654</f>
        <v>1.736111111111116E-2</v>
      </c>
      <c r="G1654" t="s">
        <v>16</v>
      </c>
      <c r="H1654" t="s">
        <v>1</v>
      </c>
    </row>
    <row r="1655" spans="1:8" x14ac:dyDescent="0.3">
      <c r="A1655" s="2">
        <v>45063</v>
      </c>
      <c r="B1655" s="2" t="str">
        <f>TEXT(AutoPomodoro[[#This Row],[DATE]],"mmmm")</f>
        <v>May</v>
      </c>
      <c r="C1655" s="2" t="str">
        <f>TEXT(AutoPomodoro[[#This Row],[DATE]],"yyyy")</f>
        <v>2023</v>
      </c>
      <c r="D1655" s="8">
        <v>0.98263888888888884</v>
      </c>
      <c r="E1655" s="8">
        <v>1</v>
      </c>
      <c r="F1655" s="3">
        <v>2.4999999999999998E-2</v>
      </c>
      <c r="G1655" t="s">
        <v>16</v>
      </c>
      <c r="H1655" t="s">
        <v>1</v>
      </c>
    </row>
    <row r="1656" spans="1:8" x14ac:dyDescent="0.3">
      <c r="A1656" s="2">
        <v>45064</v>
      </c>
      <c r="B1656" s="2" t="str">
        <f>TEXT(AutoPomodoro[[#This Row],[DATE]],"mmmm")</f>
        <v>May</v>
      </c>
      <c r="C1656" s="2" t="str">
        <f>TEXT(AutoPomodoro[[#This Row],[DATE]],"yyyy")</f>
        <v>2023</v>
      </c>
      <c r="D1656" s="8">
        <v>0.51527777777777783</v>
      </c>
      <c r="E1656" s="8">
        <v>0.5625</v>
      </c>
      <c r="F1656" s="3">
        <f>E1656-D1656</f>
        <v>4.7222222222222165E-2</v>
      </c>
      <c r="G1656" t="s">
        <v>16</v>
      </c>
      <c r="H1656" t="s">
        <v>1</v>
      </c>
    </row>
    <row r="1657" spans="1:8" x14ac:dyDescent="0.3">
      <c r="A1657" s="2">
        <v>45065</v>
      </c>
      <c r="B1657" s="2" t="str">
        <f>TEXT(AutoPomodoro[[#This Row],[DATE]],"mmmm")</f>
        <v>May</v>
      </c>
      <c r="C1657" s="2" t="str">
        <f>TEXT(AutoPomodoro[[#This Row],[DATE]],"yyyy")</f>
        <v>2023</v>
      </c>
      <c r="D1657" s="8">
        <v>0.98958333333333337</v>
      </c>
      <c r="E1657" s="8">
        <f t="shared" ref="E1657:E1662" si="129">D1657+$T$15</f>
        <v>1.0069444444444444</v>
      </c>
      <c r="F1657" s="3">
        <f>E1657-D1657</f>
        <v>1.7361111111111049E-2</v>
      </c>
      <c r="G1657" t="s">
        <v>16</v>
      </c>
      <c r="H1657" t="s">
        <v>1</v>
      </c>
    </row>
    <row r="1658" spans="1:8" x14ac:dyDescent="0.3">
      <c r="A1658" s="2">
        <v>45065</v>
      </c>
      <c r="B1658" s="2" t="str">
        <f>TEXT(AutoPomodoro[[#This Row],[DATE]],"mmmm")</f>
        <v>May</v>
      </c>
      <c r="C1658" s="2" t="str">
        <f>TEXT(AutoPomodoro[[#This Row],[DATE]],"yyyy")</f>
        <v>2023</v>
      </c>
      <c r="D1658" s="8">
        <f>E1657+$T$16</f>
        <v>1.0104166666666667</v>
      </c>
      <c r="E1658" s="8">
        <f t="shared" si="129"/>
        <v>1.0277777777777779</v>
      </c>
      <c r="F1658" s="3">
        <v>4.3750000000000004E-2</v>
      </c>
      <c r="G1658" t="s">
        <v>16</v>
      </c>
      <c r="H1658" t="s">
        <v>1</v>
      </c>
    </row>
    <row r="1659" spans="1:8" x14ac:dyDescent="0.3">
      <c r="A1659" s="2">
        <v>45068</v>
      </c>
      <c r="B1659" s="2" t="str">
        <f>TEXT(AutoPomodoro[[#This Row],[DATE]],"mmmm")</f>
        <v>May</v>
      </c>
      <c r="C1659" s="2" t="str">
        <f>TEXT(AutoPomodoro[[#This Row],[DATE]],"yyyy")</f>
        <v>2023</v>
      </c>
      <c r="D1659" s="8">
        <v>0.59861111111111109</v>
      </c>
      <c r="E1659" s="8">
        <f t="shared" si="129"/>
        <v>0.61597222222222225</v>
      </c>
      <c r="F1659" s="3">
        <v>2.0833333333333332E-2</v>
      </c>
      <c r="G1659" t="s">
        <v>17</v>
      </c>
      <c r="H1659" t="s">
        <v>1</v>
      </c>
    </row>
    <row r="1660" spans="1:8" x14ac:dyDescent="0.3">
      <c r="A1660" s="2">
        <v>45068</v>
      </c>
      <c r="B1660" s="2" t="str">
        <f>TEXT(AutoPomodoro[[#This Row],[DATE]],"mmmm")</f>
        <v>May</v>
      </c>
      <c r="C1660" s="2" t="str">
        <f>TEXT(AutoPomodoro[[#This Row],[DATE]],"yyyy")</f>
        <v>2023</v>
      </c>
      <c r="D1660" s="8">
        <f>E1659+$T$16</f>
        <v>0.61944444444444446</v>
      </c>
      <c r="E1660" s="8">
        <f t="shared" si="129"/>
        <v>0.63680555555555562</v>
      </c>
      <c r="F1660" s="3">
        <f>E1660-D1660</f>
        <v>1.736111111111116E-2</v>
      </c>
      <c r="G1660" t="s">
        <v>17</v>
      </c>
      <c r="H1660" t="s">
        <v>1</v>
      </c>
    </row>
    <row r="1661" spans="1:8" x14ac:dyDescent="0.3">
      <c r="A1661" s="2">
        <v>45068</v>
      </c>
      <c r="B1661" s="2" t="str">
        <f>TEXT(AutoPomodoro[[#This Row],[DATE]],"mmmm")</f>
        <v>May</v>
      </c>
      <c r="C1661" s="2" t="str">
        <f>TEXT(AutoPomodoro[[#This Row],[DATE]],"yyyy")</f>
        <v>2023</v>
      </c>
      <c r="D1661" s="8">
        <f>E1660+$T$16</f>
        <v>0.64027777777777783</v>
      </c>
      <c r="E1661" s="8">
        <f t="shared" si="129"/>
        <v>0.65763888888888899</v>
      </c>
      <c r="F1661" s="3">
        <v>9.0277777777777787E-3</v>
      </c>
      <c r="G1661" t="s">
        <v>17</v>
      </c>
      <c r="H1661" t="s">
        <v>1</v>
      </c>
    </row>
    <row r="1662" spans="1:8" x14ac:dyDescent="0.3">
      <c r="A1662" s="2">
        <v>45068</v>
      </c>
      <c r="B1662" s="2" t="str">
        <f>TEXT(AutoPomodoro[[#This Row],[DATE]],"mmmm")</f>
        <v>May</v>
      </c>
      <c r="C1662" s="2" t="str">
        <f>TEXT(AutoPomodoro[[#This Row],[DATE]],"yyyy")</f>
        <v>2023</v>
      </c>
      <c r="D1662" s="8">
        <f>E1661+$T$17</f>
        <v>0.66250000000000009</v>
      </c>
      <c r="E1662" s="8">
        <f t="shared" si="129"/>
        <v>0.67986111111111125</v>
      </c>
      <c r="F1662" s="3">
        <v>2.5694444444444447E-2</v>
      </c>
      <c r="G1662" t="s">
        <v>16</v>
      </c>
      <c r="H1662" t="s">
        <v>1</v>
      </c>
    </row>
    <row r="1663" spans="1:8" x14ac:dyDescent="0.3">
      <c r="A1663" s="2"/>
      <c r="B1663" s="2"/>
      <c r="C1663" s="2"/>
      <c r="D1663" s="3"/>
      <c r="E1663" s="3"/>
      <c r="F1663" s="3"/>
    </row>
    <row r="1664" spans="1:8" x14ac:dyDescent="0.3">
      <c r="A1664" s="2"/>
      <c r="B1664" s="2"/>
      <c r="C1664" s="2"/>
      <c r="D1664" s="3"/>
      <c r="E1664" s="3"/>
      <c r="F1664" s="3"/>
    </row>
    <row r="1665" spans="1:6" x14ac:dyDescent="0.3">
      <c r="A1665" s="2"/>
      <c r="B1665" s="2"/>
      <c r="C1665" s="2"/>
      <c r="D1665" s="3"/>
      <c r="E1665" s="3"/>
      <c r="F1665" s="3"/>
    </row>
    <row r="1666" spans="1:6" x14ac:dyDescent="0.3">
      <c r="A1666" s="2"/>
      <c r="B1666" s="2"/>
      <c r="C1666" s="2"/>
      <c r="D1666" s="3"/>
      <c r="E1666" s="3"/>
      <c r="F1666" s="3"/>
    </row>
    <row r="1667" spans="1:6" x14ac:dyDescent="0.3">
      <c r="A1667" s="2"/>
      <c r="B1667" s="2"/>
      <c r="C1667" s="2"/>
      <c r="D1667" s="3"/>
      <c r="E1667" s="8"/>
      <c r="F1667" s="3"/>
    </row>
    <row r="1668" spans="1:6" x14ac:dyDescent="0.3">
      <c r="A1668" s="2"/>
      <c r="B1668" s="2"/>
      <c r="C1668" s="2"/>
      <c r="D1668" s="8"/>
      <c r="E1668" s="3"/>
      <c r="F1668" s="3"/>
    </row>
    <row r="1669" spans="1:6" x14ac:dyDescent="0.3">
      <c r="A1669" s="2"/>
      <c r="B1669" s="2"/>
      <c r="C1669" s="2"/>
      <c r="D1669" s="3"/>
      <c r="E1669" s="3"/>
      <c r="F1669" s="3"/>
    </row>
    <row r="1670" spans="1:6" x14ac:dyDescent="0.3">
      <c r="A1670" s="2"/>
      <c r="B1670" s="2"/>
      <c r="C1670" s="2"/>
      <c r="D1670" s="3"/>
      <c r="E1670" s="3"/>
      <c r="F1670" s="3"/>
    </row>
    <row r="1671" spans="1:6" x14ac:dyDescent="0.3">
      <c r="A1671" s="2"/>
      <c r="B1671" s="2"/>
      <c r="C1671" s="2"/>
      <c r="D1671" s="3"/>
      <c r="E1671" s="3"/>
      <c r="F1671" s="3"/>
    </row>
    <row r="1672" spans="1:6" x14ac:dyDescent="0.3">
      <c r="A1672" s="2"/>
      <c r="B1672" s="2"/>
      <c r="C1672" s="2"/>
      <c r="D1672" s="3"/>
      <c r="E1672" s="8"/>
      <c r="F1672" s="3"/>
    </row>
    <row r="1673" spans="1:6" x14ac:dyDescent="0.3">
      <c r="A1673" s="2"/>
      <c r="B1673" s="2"/>
      <c r="C1673" s="2"/>
      <c r="D1673" s="8"/>
      <c r="E1673" s="3"/>
      <c r="F1673" s="3"/>
    </row>
    <row r="1674" spans="1:6" x14ac:dyDescent="0.3">
      <c r="A1674" s="2"/>
      <c r="B1674" s="2"/>
      <c r="C1674" s="2"/>
      <c r="D1674" s="3"/>
      <c r="E1674" s="3"/>
      <c r="F1674" s="3"/>
    </row>
    <row r="1675" spans="1:6" x14ac:dyDescent="0.3">
      <c r="A1675" s="2"/>
      <c r="B1675" s="2"/>
      <c r="C1675" s="2"/>
      <c r="D1675" s="3"/>
      <c r="E1675" s="3"/>
      <c r="F1675" s="3"/>
    </row>
    <row r="1676" spans="1:6" x14ac:dyDescent="0.3">
      <c r="A1676" s="2"/>
      <c r="B1676" s="2"/>
      <c r="C1676" s="2"/>
      <c r="D1676" s="3"/>
      <c r="E1676" s="3"/>
      <c r="F1676" s="3"/>
    </row>
    <row r="1677" spans="1:6" x14ac:dyDescent="0.3">
      <c r="A1677" s="2"/>
      <c r="B1677" s="2"/>
      <c r="C1677" s="2"/>
      <c r="D1677" s="3"/>
      <c r="E1677" s="8"/>
      <c r="F1677" s="3"/>
    </row>
    <row r="1678" spans="1:6" x14ac:dyDescent="0.3">
      <c r="A1678" s="2"/>
      <c r="B1678" s="2"/>
      <c r="C1678" s="2"/>
      <c r="D1678" s="8"/>
      <c r="E1678" s="3"/>
      <c r="F1678" s="3"/>
    </row>
    <row r="1679" spans="1:6" x14ac:dyDescent="0.3">
      <c r="A1679" s="2"/>
      <c r="B1679" s="2"/>
      <c r="C1679" s="2"/>
      <c r="D1679" s="3"/>
      <c r="E1679" s="3"/>
      <c r="F1679" s="3"/>
    </row>
    <row r="1680" spans="1:6" x14ac:dyDescent="0.3">
      <c r="A1680" s="2"/>
      <c r="B1680" s="2"/>
      <c r="C1680" s="2"/>
      <c r="D1680" s="3"/>
      <c r="E1680" s="3"/>
      <c r="F1680" s="3"/>
    </row>
    <row r="1681" spans="1:6" x14ac:dyDescent="0.3">
      <c r="A1681" s="2"/>
      <c r="B1681" s="2"/>
      <c r="C1681" s="2"/>
      <c r="D1681" s="3"/>
      <c r="E1681" s="3"/>
      <c r="F1681" s="3"/>
    </row>
  </sheetData>
  <dataConsolidate link="1"/>
  <mergeCells count="1">
    <mergeCell ref="Q14:R14"/>
  </mergeCells>
  <phoneticPr fontId="3" type="noConversion"/>
  <dataValidations disablePrompts="1" count="2">
    <dataValidation type="list" errorStyle="warning" allowBlank="1" showInputMessage="1" showErrorMessage="1" sqref="H2:H1662" xr:uid="{C5F2E7C9-0C23-4FB8-B969-A59C236443AA}">
      <formula1>"+,-"</formula1>
    </dataValidation>
    <dataValidation type="list" allowBlank="1" showInputMessage="1" showErrorMessage="1" sqref="G2:G1662" xr:uid="{023D14FA-8DF0-41E1-9117-8E36B39D3B7A}">
      <formula1>"DATA SCIENCE,MACHINE LEARNING,STATISTICS,ECONOMY,CS50,READING,OTHER,BREAK"</formula1>
    </dataValidation>
  </dataValidations>
  <pageMargins left="0.7" right="0.7" top="0.75" bottom="0.75" header="0.3" footer="0.3"/>
  <pageSetup orientation="portrait" r:id="rId1"/>
  <ignoredErrors>
    <ignoredError sqref="G1683:G1048576" listDataValidation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88ECC-6C7E-479B-87A2-DED6CF8667FD}">
  <dimension ref="A3:I145"/>
  <sheetViews>
    <sheetView topLeftCell="A112" zoomScale="85" zoomScaleNormal="85" workbookViewId="0">
      <selection activeCell="H134" sqref="H134"/>
    </sheetView>
  </sheetViews>
  <sheetFormatPr defaultRowHeight="14.4" x14ac:dyDescent="0.3"/>
  <cols>
    <col min="1" max="1" width="17.33203125" bestFit="1" customWidth="1"/>
    <col min="2" max="2" width="16.6640625" bestFit="1" customWidth="1"/>
    <col min="3" max="3" width="15" bestFit="1" customWidth="1"/>
    <col min="4" max="4" width="15.77734375" bestFit="1" customWidth="1"/>
    <col min="5" max="5" width="21.109375" customWidth="1"/>
    <col min="6" max="6" width="10.77734375" bestFit="1" customWidth="1"/>
    <col min="7" max="7" width="21.33203125" customWidth="1"/>
    <col min="8" max="8" width="10.44140625" bestFit="1" customWidth="1"/>
    <col min="9" max="9" width="17.5546875" customWidth="1"/>
  </cols>
  <sheetData>
    <row r="3" spans="1:9" x14ac:dyDescent="0.3">
      <c r="A3" s="7" t="s">
        <v>15</v>
      </c>
      <c r="B3" t="s">
        <v>1</v>
      </c>
    </row>
    <row r="5" spans="1:9" x14ac:dyDescent="0.3">
      <c r="A5" s="7" t="s">
        <v>23</v>
      </c>
      <c r="B5" s="7" t="s">
        <v>24</v>
      </c>
    </row>
    <row r="6" spans="1:9" x14ac:dyDescent="0.3">
      <c r="A6" s="7" t="s">
        <v>6</v>
      </c>
      <c r="B6" t="s">
        <v>5</v>
      </c>
      <c r="C6" t="s">
        <v>16</v>
      </c>
      <c r="D6" t="s">
        <v>19</v>
      </c>
      <c r="E6" t="s">
        <v>18</v>
      </c>
      <c r="F6" t="s">
        <v>17</v>
      </c>
      <c r="G6" t="s">
        <v>0</v>
      </c>
      <c r="H6" t="s">
        <v>20</v>
      </c>
      <c r="I6" t="s">
        <v>7</v>
      </c>
    </row>
    <row r="7" spans="1:9" x14ac:dyDescent="0.3">
      <c r="A7" s="14" t="s">
        <v>46</v>
      </c>
      <c r="B7" s="4"/>
      <c r="C7" s="4">
        <v>0.23958333333333331</v>
      </c>
      <c r="D7" s="4">
        <v>1.8749999999999999E-2</v>
      </c>
      <c r="E7" s="4">
        <v>5.4409722222222241</v>
      </c>
      <c r="F7" s="4">
        <v>0.72499999999999998</v>
      </c>
      <c r="G7" s="4">
        <v>0.74236111111111125</v>
      </c>
      <c r="H7" s="4"/>
      <c r="I7" s="4">
        <v>7.1666666666666679</v>
      </c>
    </row>
    <row r="8" spans="1:9" x14ac:dyDescent="0.3">
      <c r="A8" s="16" t="s">
        <v>40</v>
      </c>
      <c r="B8" s="4"/>
      <c r="C8" s="4">
        <v>0.1361111111111111</v>
      </c>
      <c r="D8" s="4"/>
      <c r="E8" s="4">
        <v>0.1236111111111111</v>
      </c>
      <c r="F8" s="4">
        <v>3.4722222222222224E-2</v>
      </c>
      <c r="G8" s="4">
        <v>0.10208333333333333</v>
      </c>
      <c r="H8" s="4"/>
      <c r="I8" s="4">
        <v>0.3965277777777777</v>
      </c>
    </row>
    <row r="9" spans="1:9" x14ac:dyDescent="0.3">
      <c r="A9" s="16" t="s">
        <v>41</v>
      </c>
      <c r="B9" s="4"/>
      <c r="C9" s="4">
        <v>7.3611111111111113E-2</v>
      </c>
      <c r="D9" s="4">
        <v>1.8749999999999999E-2</v>
      </c>
      <c r="E9" s="4">
        <v>1.30138888888889</v>
      </c>
      <c r="F9" s="4">
        <v>0.40833333333333327</v>
      </c>
      <c r="G9" s="4">
        <v>0.48194444444444445</v>
      </c>
      <c r="H9" s="4"/>
      <c r="I9" s="4">
        <v>2.2840277777777787</v>
      </c>
    </row>
    <row r="10" spans="1:9" x14ac:dyDescent="0.3">
      <c r="A10" s="16" t="s">
        <v>42</v>
      </c>
      <c r="B10" s="4"/>
      <c r="C10" s="4">
        <v>2.9861111111111113E-2</v>
      </c>
      <c r="D10" s="4"/>
      <c r="E10" s="4">
        <v>2.090277777777779</v>
      </c>
      <c r="F10" s="4">
        <v>0.16180555555555554</v>
      </c>
      <c r="G10" s="4">
        <v>5.0694444444444445E-2</v>
      </c>
      <c r="H10" s="4"/>
      <c r="I10" s="4">
        <v>2.3326388888888898</v>
      </c>
    </row>
    <row r="11" spans="1:9" x14ac:dyDescent="0.3">
      <c r="A11" s="16" t="s">
        <v>43</v>
      </c>
      <c r="B11" s="4"/>
      <c r="C11" s="4"/>
      <c r="D11" s="4"/>
      <c r="E11" s="4">
        <v>1.9256944444444442</v>
      </c>
      <c r="F11" s="4">
        <v>0.12013888888888888</v>
      </c>
      <c r="G11" s="4">
        <v>0.1076388888888889</v>
      </c>
      <c r="H11" s="4"/>
      <c r="I11" s="4">
        <v>2.1534722222222218</v>
      </c>
    </row>
    <row r="12" spans="1:9" x14ac:dyDescent="0.3">
      <c r="A12" s="14" t="s">
        <v>45</v>
      </c>
      <c r="B12" s="4">
        <v>0.70972222222222214</v>
      </c>
      <c r="C12" s="4">
        <v>14.78333333333334</v>
      </c>
      <c r="D12" s="4">
        <v>5.7638888888888892E-2</v>
      </c>
      <c r="E12" s="4">
        <v>3.122222222222224</v>
      </c>
      <c r="F12" s="4">
        <v>1.1430555555555555</v>
      </c>
      <c r="G12" s="4">
        <v>0.41736111111111107</v>
      </c>
      <c r="H12" s="4">
        <v>2.6298611111111114</v>
      </c>
      <c r="I12" s="4">
        <v>22.863194444444453</v>
      </c>
    </row>
    <row r="13" spans="1:9" x14ac:dyDescent="0.3">
      <c r="A13" s="16" t="s">
        <v>32</v>
      </c>
      <c r="B13" s="4"/>
      <c r="C13" s="4"/>
      <c r="D13" s="4">
        <v>2.4305555555555556E-2</v>
      </c>
      <c r="E13" s="4">
        <v>2.252083333333335</v>
      </c>
      <c r="F13" s="4">
        <v>5.2083333333333336E-2</v>
      </c>
      <c r="G13" s="4">
        <v>3.6805555555555557E-2</v>
      </c>
      <c r="H13" s="4"/>
      <c r="I13" s="4">
        <v>2.3652777777777794</v>
      </c>
    </row>
    <row r="14" spans="1:9" x14ac:dyDescent="0.3">
      <c r="A14" s="16" t="s">
        <v>33</v>
      </c>
      <c r="B14" s="4"/>
      <c r="C14" s="4">
        <v>0.19236111111111112</v>
      </c>
      <c r="D14" s="4"/>
      <c r="E14" s="4">
        <v>0.76736111111111105</v>
      </c>
      <c r="F14" s="4"/>
      <c r="G14" s="4"/>
      <c r="H14" s="4"/>
      <c r="I14" s="4">
        <v>0.95972222222222214</v>
      </c>
    </row>
    <row r="15" spans="1:9" x14ac:dyDescent="0.3">
      <c r="A15" s="16" t="s">
        <v>34</v>
      </c>
      <c r="B15" s="4"/>
      <c r="C15" s="4">
        <v>2.1645833333333333</v>
      </c>
      <c r="D15" s="4">
        <v>3.3333333333333333E-2</v>
      </c>
      <c r="E15" s="4">
        <v>0.10277777777777777</v>
      </c>
      <c r="F15" s="4"/>
      <c r="G15" s="4"/>
      <c r="H15" s="4"/>
      <c r="I15" s="4">
        <v>2.3006944444444444</v>
      </c>
    </row>
    <row r="16" spans="1:9" x14ac:dyDescent="0.3">
      <c r="A16" s="16" t="s">
        <v>35</v>
      </c>
      <c r="B16" s="4"/>
      <c r="C16" s="4">
        <v>2.1034722222222246</v>
      </c>
      <c r="D16" s="4"/>
      <c r="E16" s="4"/>
      <c r="F16" s="4">
        <v>0.21250000000000002</v>
      </c>
      <c r="G16" s="4">
        <v>2.5000000000000001E-2</v>
      </c>
      <c r="H16" s="4"/>
      <c r="I16" s="4">
        <v>2.3409722222222245</v>
      </c>
    </row>
    <row r="17" spans="1:9" x14ac:dyDescent="0.3">
      <c r="A17" s="16" t="s">
        <v>36</v>
      </c>
      <c r="B17" s="4"/>
      <c r="C17" s="4">
        <v>1.1756944444444455</v>
      </c>
      <c r="D17" s="4"/>
      <c r="E17" s="4"/>
      <c r="F17" s="4">
        <v>6.8750000000000006E-2</v>
      </c>
      <c r="G17" s="4">
        <v>3.2638888888888884E-2</v>
      </c>
      <c r="H17" s="4"/>
      <c r="I17" s="4">
        <v>1.2770833333333345</v>
      </c>
    </row>
    <row r="18" spans="1:9" x14ac:dyDescent="0.3">
      <c r="A18" s="16" t="s">
        <v>37</v>
      </c>
      <c r="B18" s="4"/>
      <c r="C18" s="4">
        <v>1.9437500000000016</v>
      </c>
      <c r="D18" s="4"/>
      <c r="E18" s="4"/>
      <c r="F18" s="4">
        <v>0.40486111111111112</v>
      </c>
      <c r="G18" s="4">
        <v>5.5555555555555552E-2</v>
      </c>
      <c r="H18" s="4"/>
      <c r="I18" s="4">
        <v>2.4041666666666681</v>
      </c>
    </row>
    <row r="19" spans="1:9" x14ac:dyDescent="0.3">
      <c r="A19" s="16" t="s">
        <v>38</v>
      </c>
      <c r="B19" s="4">
        <v>6.8055555555555564E-2</v>
      </c>
      <c r="C19" s="4">
        <v>1.5534722222222228</v>
      </c>
      <c r="D19" s="4"/>
      <c r="E19" s="4"/>
      <c r="F19" s="4">
        <v>4.5138888888888895E-2</v>
      </c>
      <c r="G19" s="4">
        <v>7.8472222222222235E-2</v>
      </c>
      <c r="H19" s="4"/>
      <c r="I19" s="4">
        <v>1.7451388888888895</v>
      </c>
    </row>
    <row r="20" spans="1:9" x14ac:dyDescent="0.3">
      <c r="A20" s="16" t="s">
        <v>39</v>
      </c>
      <c r="B20" s="4">
        <v>0.1048611111111111</v>
      </c>
      <c r="C20" s="4">
        <v>0.74375000000000024</v>
      </c>
      <c r="D20" s="4"/>
      <c r="E20" s="4"/>
      <c r="F20" s="4">
        <v>0.14097222222222219</v>
      </c>
      <c r="G20" s="4">
        <v>5.0694444444444445E-2</v>
      </c>
      <c r="H20" s="4">
        <v>0.70138888888888906</v>
      </c>
      <c r="I20" s="4">
        <v>1.7416666666666669</v>
      </c>
    </row>
    <row r="21" spans="1:9" x14ac:dyDescent="0.3">
      <c r="A21" s="16" t="s">
        <v>40</v>
      </c>
      <c r="B21" s="4">
        <v>0.53680555555555542</v>
      </c>
      <c r="C21" s="4">
        <v>0.64722222222222214</v>
      </c>
      <c r="D21" s="4"/>
      <c r="E21" s="4"/>
      <c r="F21" s="4">
        <v>1.7361111111111112E-2</v>
      </c>
      <c r="G21" s="4">
        <v>2.0833333333333332E-2</v>
      </c>
      <c r="H21" s="4">
        <v>1.1638888888888892</v>
      </c>
      <c r="I21" s="4">
        <v>2.3861111111111111</v>
      </c>
    </row>
    <row r="22" spans="1:9" x14ac:dyDescent="0.3">
      <c r="A22" s="16" t="s">
        <v>41</v>
      </c>
      <c r="B22" s="4"/>
      <c r="C22" s="4">
        <v>1.5875000000000008</v>
      </c>
      <c r="D22" s="4"/>
      <c r="E22" s="4"/>
      <c r="F22" s="4">
        <v>1.0416666666666666E-2</v>
      </c>
      <c r="G22" s="4">
        <v>3.4027777777777782E-2</v>
      </c>
      <c r="H22" s="4">
        <v>0.24236111111111108</v>
      </c>
      <c r="I22" s="4">
        <v>1.8743055555555563</v>
      </c>
    </row>
    <row r="23" spans="1:9" x14ac:dyDescent="0.3">
      <c r="A23" s="16" t="s">
        <v>42</v>
      </c>
      <c r="B23" s="4"/>
      <c r="C23" s="4">
        <v>1.6173611111111119</v>
      </c>
      <c r="D23" s="4"/>
      <c r="E23" s="4"/>
      <c r="F23" s="4">
        <v>0.1388888888888889</v>
      </c>
      <c r="G23" s="4">
        <v>5.5555555555555552E-2</v>
      </c>
      <c r="H23" s="4"/>
      <c r="I23" s="4">
        <v>1.8118055555555563</v>
      </c>
    </row>
    <row r="24" spans="1:9" x14ac:dyDescent="0.3">
      <c r="A24" s="16" t="s">
        <v>43</v>
      </c>
      <c r="B24" s="4"/>
      <c r="C24" s="4">
        <v>1.0541666666666669</v>
      </c>
      <c r="D24" s="4"/>
      <c r="E24" s="4"/>
      <c r="F24" s="4">
        <v>5.2083333333333336E-2</v>
      </c>
      <c r="G24" s="4">
        <v>2.7777777777777776E-2</v>
      </c>
      <c r="H24" s="4">
        <v>0.52222222222222214</v>
      </c>
      <c r="I24" s="4">
        <v>1.65625</v>
      </c>
    </row>
    <row r="25" spans="1:9" x14ac:dyDescent="0.3">
      <c r="A25" s="14" t="s">
        <v>44</v>
      </c>
      <c r="B25" s="4"/>
      <c r="C25" s="4">
        <v>6.8854166666666705</v>
      </c>
      <c r="D25" s="4">
        <v>0.32847222222222222</v>
      </c>
      <c r="E25" s="4"/>
      <c r="F25" s="4">
        <v>0.12430555555555553</v>
      </c>
      <c r="G25" s="4">
        <v>0.21111111111111111</v>
      </c>
      <c r="H25" s="4">
        <v>5.9027777777777783E-2</v>
      </c>
      <c r="I25" s="4">
        <v>7.6083333333333361</v>
      </c>
    </row>
    <row r="26" spans="1:9" x14ac:dyDescent="0.3">
      <c r="A26" s="16" t="s">
        <v>32</v>
      </c>
      <c r="B26" s="4"/>
      <c r="C26" s="4">
        <v>1.8034722222222239</v>
      </c>
      <c r="D26" s="4">
        <v>7.9166666666666663E-2</v>
      </c>
      <c r="E26" s="4"/>
      <c r="F26" s="4">
        <v>2.7777777777777776E-2</v>
      </c>
      <c r="G26" s="4">
        <v>7.9861111111111119E-2</v>
      </c>
      <c r="H26" s="4">
        <v>5.9027777777777783E-2</v>
      </c>
      <c r="I26" s="4">
        <v>2.049305555555557</v>
      </c>
    </row>
    <row r="27" spans="1:9" x14ac:dyDescent="0.3">
      <c r="A27" s="16" t="s">
        <v>33</v>
      </c>
      <c r="B27" s="4"/>
      <c r="C27" s="4">
        <v>1.4243055555555564</v>
      </c>
      <c r="D27" s="4">
        <v>0.24930555555555556</v>
      </c>
      <c r="E27" s="4"/>
      <c r="F27" s="4">
        <v>1.4583333333333332E-2</v>
      </c>
      <c r="G27" s="4">
        <v>6.7361111111111108E-2</v>
      </c>
      <c r="H27" s="4"/>
      <c r="I27" s="4">
        <v>1.7555555555555566</v>
      </c>
    </row>
    <row r="28" spans="1:9" x14ac:dyDescent="0.3">
      <c r="A28" s="16" t="s">
        <v>34</v>
      </c>
      <c r="B28" s="4"/>
      <c r="C28" s="4">
        <v>1.5250000000000004</v>
      </c>
      <c r="D28" s="4"/>
      <c r="E28" s="4"/>
      <c r="F28" s="4"/>
      <c r="G28" s="4">
        <v>4.8611111111111112E-2</v>
      </c>
      <c r="H28" s="4"/>
      <c r="I28" s="4">
        <v>1.5736111111111115</v>
      </c>
    </row>
    <row r="29" spans="1:9" x14ac:dyDescent="0.3">
      <c r="A29" s="16" t="s">
        <v>35</v>
      </c>
      <c r="B29" s="4"/>
      <c r="C29" s="4">
        <v>0.96875000000000011</v>
      </c>
      <c r="D29" s="4"/>
      <c r="E29" s="4"/>
      <c r="F29" s="4"/>
      <c r="G29" s="4">
        <v>1.5277777777777777E-2</v>
      </c>
      <c r="H29" s="4"/>
      <c r="I29" s="4">
        <v>0.98402777777777783</v>
      </c>
    </row>
    <row r="30" spans="1:9" x14ac:dyDescent="0.3">
      <c r="A30" s="16" t="s">
        <v>36</v>
      </c>
      <c r="B30" s="4"/>
      <c r="C30" s="4">
        <v>1.1638888888888896</v>
      </c>
      <c r="D30" s="4"/>
      <c r="E30" s="4"/>
      <c r="F30" s="4">
        <v>8.1944444444444431E-2</v>
      </c>
      <c r="G30" s="4"/>
      <c r="H30" s="4"/>
      <c r="I30" s="4">
        <v>1.245833333333334</v>
      </c>
    </row>
    <row r="31" spans="1:9" x14ac:dyDescent="0.3">
      <c r="A31" s="14" t="s">
        <v>7</v>
      </c>
      <c r="B31" s="4">
        <v>0.70972222222222214</v>
      </c>
      <c r="C31" s="4">
        <v>21.908333333333346</v>
      </c>
      <c r="D31" s="4">
        <v>0.40486111111111112</v>
      </c>
      <c r="E31" s="4">
        <v>8.5631944444444485</v>
      </c>
      <c r="F31" s="4">
        <v>1.992361111111111</v>
      </c>
      <c r="G31" s="4">
        <v>1.3708333333333336</v>
      </c>
      <c r="H31" s="4">
        <v>2.6888888888888891</v>
      </c>
      <c r="I31" s="4">
        <v>37.638194444444458</v>
      </c>
    </row>
    <row r="38" spans="1:2" x14ac:dyDescent="0.3">
      <c r="A38" s="7" t="s">
        <v>15</v>
      </c>
      <c r="B38" t="s">
        <v>1</v>
      </c>
    </row>
    <row r="40" spans="1:2" x14ac:dyDescent="0.3">
      <c r="A40" s="7" t="s">
        <v>6</v>
      </c>
      <c r="B40" t="s">
        <v>67</v>
      </c>
    </row>
    <row r="41" spans="1:2" x14ac:dyDescent="0.3">
      <c r="A41" s="14" t="s">
        <v>59</v>
      </c>
      <c r="B41">
        <v>205</v>
      </c>
    </row>
    <row r="42" spans="1:2" x14ac:dyDescent="0.3">
      <c r="A42" s="14" t="s">
        <v>58</v>
      </c>
      <c r="B42">
        <v>199</v>
      </c>
    </row>
    <row r="43" spans="1:2" x14ac:dyDescent="0.3">
      <c r="A43" s="14" t="s">
        <v>60</v>
      </c>
      <c r="B43">
        <v>159</v>
      </c>
    </row>
    <row r="44" spans="1:2" x14ac:dyDescent="0.3">
      <c r="A44" s="14" t="s">
        <v>61</v>
      </c>
      <c r="B44">
        <v>150</v>
      </c>
    </row>
    <row r="45" spans="1:2" x14ac:dyDescent="0.3">
      <c r="A45" s="14" t="s">
        <v>56</v>
      </c>
      <c r="B45">
        <v>149</v>
      </c>
    </row>
    <row r="46" spans="1:2" x14ac:dyDescent="0.3">
      <c r="A46" s="14" t="s">
        <v>62</v>
      </c>
      <c r="B46">
        <v>117</v>
      </c>
    </row>
    <row r="47" spans="1:2" x14ac:dyDescent="0.3">
      <c r="A47" s="14" t="s">
        <v>57</v>
      </c>
      <c r="B47">
        <v>83</v>
      </c>
    </row>
    <row r="48" spans="1:2" x14ac:dyDescent="0.3">
      <c r="A48" s="14" t="s">
        <v>65</v>
      </c>
      <c r="B48">
        <v>75</v>
      </c>
    </row>
    <row r="49" spans="1:2" x14ac:dyDescent="0.3">
      <c r="A49" s="14" t="s">
        <v>64</v>
      </c>
      <c r="B49">
        <v>70</v>
      </c>
    </row>
    <row r="50" spans="1:2" x14ac:dyDescent="0.3">
      <c r="A50" s="14" t="s">
        <v>63</v>
      </c>
      <c r="B50">
        <v>69</v>
      </c>
    </row>
    <row r="51" spans="1:2" x14ac:dyDescent="0.3">
      <c r="A51" s="14" t="s">
        <v>55</v>
      </c>
      <c r="B51">
        <v>64</v>
      </c>
    </row>
    <row r="52" spans="1:2" x14ac:dyDescent="0.3">
      <c r="A52" s="14" t="s">
        <v>66</v>
      </c>
      <c r="B52">
        <v>61</v>
      </c>
    </row>
    <row r="53" spans="1:2" x14ac:dyDescent="0.3">
      <c r="A53" s="14" t="s">
        <v>47</v>
      </c>
      <c r="B53">
        <v>52</v>
      </c>
    </row>
    <row r="54" spans="1:2" x14ac:dyDescent="0.3">
      <c r="A54" s="14" t="s">
        <v>54</v>
      </c>
      <c r="B54">
        <v>44</v>
      </c>
    </row>
    <row r="55" spans="1:2" x14ac:dyDescent="0.3">
      <c r="A55" s="14" t="s">
        <v>48</v>
      </c>
      <c r="B55">
        <v>31</v>
      </c>
    </row>
    <row r="56" spans="1:2" x14ac:dyDescent="0.3">
      <c r="A56" s="14" t="s">
        <v>53</v>
      </c>
      <c r="B56">
        <v>19</v>
      </c>
    </row>
    <row r="57" spans="1:2" x14ac:dyDescent="0.3">
      <c r="A57" s="14" t="s">
        <v>49</v>
      </c>
      <c r="B57">
        <v>11</v>
      </c>
    </row>
    <row r="58" spans="1:2" x14ac:dyDescent="0.3">
      <c r="A58" s="14" t="s">
        <v>52</v>
      </c>
      <c r="B58">
        <v>8</v>
      </c>
    </row>
    <row r="59" spans="1:2" x14ac:dyDescent="0.3">
      <c r="A59" s="14" t="s">
        <v>50</v>
      </c>
      <c r="B59">
        <v>3</v>
      </c>
    </row>
    <row r="60" spans="1:2" x14ac:dyDescent="0.3">
      <c r="A60" s="14" t="s">
        <v>68</v>
      </c>
      <c r="B60">
        <v>1</v>
      </c>
    </row>
    <row r="61" spans="1:2" x14ac:dyDescent="0.3">
      <c r="A61" s="14" t="s">
        <v>7</v>
      </c>
      <c r="B61">
        <v>1570</v>
      </c>
    </row>
    <row r="64" spans="1:2" x14ac:dyDescent="0.3">
      <c r="A64" s="7" t="s">
        <v>15</v>
      </c>
      <c r="B64" t="s">
        <v>1</v>
      </c>
    </row>
    <row r="66" spans="1:2" x14ac:dyDescent="0.3">
      <c r="A66" s="7" t="s">
        <v>6</v>
      </c>
      <c r="B66" t="s">
        <v>67</v>
      </c>
    </row>
    <row r="67" spans="1:2" x14ac:dyDescent="0.3">
      <c r="A67" s="14" t="s">
        <v>59</v>
      </c>
      <c r="B67">
        <v>217</v>
      </c>
    </row>
    <row r="68" spans="1:2" x14ac:dyDescent="0.3">
      <c r="A68" s="14" t="s">
        <v>58</v>
      </c>
      <c r="B68">
        <v>185</v>
      </c>
    </row>
    <row r="69" spans="1:2" x14ac:dyDescent="0.3">
      <c r="A69" s="14" t="s">
        <v>60</v>
      </c>
      <c r="B69">
        <v>167</v>
      </c>
    </row>
    <row r="70" spans="1:2" x14ac:dyDescent="0.3">
      <c r="A70" s="14" t="s">
        <v>61</v>
      </c>
      <c r="B70">
        <v>156</v>
      </c>
    </row>
    <row r="71" spans="1:2" x14ac:dyDescent="0.3">
      <c r="A71" s="14" t="s">
        <v>62</v>
      </c>
      <c r="B71">
        <v>135</v>
      </c>
    </row>
    <row r="72" spans="1:2" x14ac:dyDescent="0.3">
      <c r="A72" s="14" t="s">
        <v>56</v>
      </c>
      <c r="B72">
        <v>104</v>
      </c>
    </row>
    <row r="73" spans="1:2" x14ac:dyDescent="0.3">
      <c r="A73" s="14" t="s">
        <v>47</v>
      </c>
      <c r="B73">
        <v>91</v>
      </c>
    </row>
    <row r="74" spans="1:2" x14ac:dyDescent="0.3">
      <c r="A74" s="14" t="s">
        <v>63</v>
      </c>
      <c r="B74">
        <v>85</v>
      </c>
    </row>
    <row r="75" spans="1:2" x14ac:dyDescent="0.3">
      <c r="A75" s="14" t="s">
        <v>64</v>
      </c>
      <c r="B75">
        <v>74</v>
      </c>
    </row>
    <row r="76" spans="1:2" x14ac:dyDescent="0.3">
      <c r="A76" s="14" t="s">
        <v>66</v>
      </c>
      <c r="B76">
        <v>72</v>
      </c>
    </row>
    <row r="77" spans="1:2" x14ac:dyDescent="0.3">
      <c r="A77" s="14" t="s">
        <v>57</v>
      </c>
      <c r="B77">
        <v>70</v>
      </c>
    </row>
    <row r="78" spans="1:2" x14ac:dyDescent="0.3">
      <c r="A78" s="14" t="s">
        <v>65</v>
      </c>
      <c r="B78">
        <v>66</v>
      </c>
    </row>
    <row r="79" spans="1:2" x14ac:dyDescent="0.3">
      <c r="A79" s="14" t="s">
        <v>55</v>
      </c>
      <c r="B79">
        <v>55</v>
      </c>
    </row>
    <row r="80" spans="1:2" x14ac:dyDescent="0.3">
      <c r="A80" s="14" t="s">
        <v>48</v>
      </c>
      <c r="B80">
        <v>38</v>
      </c>
    </row>
    <row r="81" spans="1:2" x14ac:dyDescent="0.3">
      <c r="A81" s="14" t="s">
        <v>54</v>
      </c>
      <c r="B81">
        <v>32</v>
      </c>
    </row>
    <row r="82" spans="1:2" x14ac:dyDescent="0.3">
      <c r="A82" s="14" t="s">
        <v>49</v>
      </c>
      <c r="B82">
        <v>19</v>
      </c>
    </row>
    <row r="83" spans="1:2" x14ac:dyDescent="0.3">
      <c r="A83" s="14" t="s">
        <v>50</v>
      </c>
      <c r="B83">
        <v>9</v>
      </c>
    </row>
    <row r="84" spans="1:2" x14ac:dyDescent="0.3">
      <c r="A84" s="14" t="s">
        <v>53</v>
      </c>
      <c r="B84">
        <v>9</v>
      </c>
    </row>
    <row r="85" spans="1:2" x14ac:dyDescent="0.3">
      <c r="A85" s="14" t="s">
        <v>51</v>
      </c>
      <c r="B85">
        <v>4</v>
      </c>
    </row>
    <row r="86" spans="1:2" x14ac:dyDescent="0.3">
      <c r="A86" s="14" t="s">
        <v>52</v>
      </c>
      <c r="B86">
        <v>4</v>
      </c>
    </row>
    <row r="87" spans="1:2" x14ac:dyDescent="0.3">
      <c r="A87" s="14" t="s">
        <v>7</v>
      </c>
      <c r="B87">
        <v>1592</v>
      </c>
    </row>
    <row r="91" spans="1:2" x14ac:dyDescent="0.3">
      <c r="A91" s="7" t="s">
        <v>15</v>
      </c>
      <c r="B91" t="s">
        <v>2</v>
      </c>
    </row>
    <row r="93" spans="1:2" x14ac:dyDescent="0.3">
      <c r="A93" s="7" t="s">
        <v>6</v>
      </c>
      <c r="B93" t="s">
        <v>67</v>
      </c>
    </row>
    <row r="94" spans="1:2" x14ac:dyDescent="0.3">
      <c r="A94" s="14" t="s">
        <v>63</v>
      </c>
      <c r="B94">
        <v>9</v>
      </c>
    </row>
    <row r="95" spans="1:2" x14ac:dyDescent="0.3">
      <c r="A95" s="14" t="s">
        <v>64</v>
      </c>
      <c r="B95">
        <v>8</v>
      </c>
    </row>
    <row r="96" spans="1:2" x14ac:dyDescent="0.3">
      <c r="A96" s="14" t="s">
        <v>62</v>
      </c>
      <c r="B96">
        <v>7</v>
      </c>
    </row>
    <row r="97" spans="1:2" x14ac:dyDescent="0.3">
      <c r="A97" s="14" t="s">
        <v>65</v>
      </c>
      <c r="B97">
        <v>7</v>
      </c>
    </row>
    <row r="98" spans="1:2" x14ac:dyDescent="0.3">
      <c r="A98" s="14" t="s">
        <v>60</v>
      </c>
      <c r="B98">
        <v>6</v>
      </c>
    </row>
    <row r="99" spans="1:2" x14ac:dyDescent="0.3">
      <c r="A99" s="14" t="s">
        <v>59</v>
      </c>
      <c r="B99">
        <v>6</v>
      </c>
    </row>
    <row r="100" spans="1:2" x14ac:dyDescent="0.3">
      <c r="A100" s="14" t="s">
        <v>61</v>
      </c>
      <c r="B100">
        <v>5</v>
      </c>
    </row>
    <row r="101" spans="1:2" x14ac:dyDescent="0.3">
      <c r="A101" s="14" t="s">
        <v>58</v>
      </c>
      <c r="B101">
        <v>4</v>
      </c>
    </row>
    <row r="102" spans="1:2" x14ac:dyDescent="0.3">
      <c r="A102" s="14" t="s">
        <v>66</v>
      </c>
      <c r="B102">
        <v>2</v>
      </c>
    </row>
    <row r="103" spans="1:2" x14ac:dyDescent="0.3">
      <c r="A103" s="14" t="s">
        <v>48</v>
      </c>
      <c r="B103">
        <v>2</v>
      </c>
    </row>
    <row r="104" spans="1:2" x14ac:dyDescent="0.3">
      <c r="A104" s="14" t="s">
        <v>47</v>
      </c>
      <c r="B104">
        <v>2</v>
      </c>
    </row>
    <row r="105" spans="1:2" x14ac:dyDescent="0.3">
      <c r="A105" s="14" t="s">
        <v>50</v>
      </c>
      <c r="B105">
        <v>1</v>
      </c>
    </row>
    <row r="106" spans="1:2" x14ac:dyDescent="0.3">
      <c r="A106" s="14" t="s">
        <v>53</v>
      </c>
      <c r="B106">
        <v>1</v>
      </c>
    </row>
    <row r="107" spans="1:2" x14ac:dyDescent="0.3">
      <c r="A107" s="14" t="s">
        <v>52</v>
      </c>
      <c r="B107">
        <v>1</v>
      </c>
    </row>
    <row r="108" spans="1:2" x14ac:dyDescent="0.3">
      <c r="A108" s="14" t="s">
        <v>55</v>
      </c>
      <c r="B108">
        <v>1</v>
      </c>
    </row>
    <row r="109" spans="1:2" x14ac:dyDescent="0.3">
      <c r="A109" s="14" t="s">
        <v>54</v>
      </c>
      <c r="B109">
        <v>1</v>
      </c>
    </row>
    <row r="110" spans="1:2" x14ac:dyDescent="0.3">
      <c r="A110" s="14" t="s">
        <v>57</v>
      </c>
      <c r="B110">
        <v>1</v>
      </c>
    </row>
    <row r="111" spans="1:2" x14ac:dyDescent="0.3">
      <c r="A111" s="14" t="s">
        <v>56</v>
      </c>
      <c r="B111">
        <v>1</v>
      </c>
    </row>
    <row r="112" spans="1:2" x14ac:dyDescent="0.3">
      <c r="A112" s="14" t="s">
        <v>7</v>
      </c>
      <c r="B112">
        <v>65</v>
      </c>
    </row>
    <row r="116" spans="1:9" x14ac:dyDescent="0.3">
      <c r="A116" s="7" t="s">
        <v>15</v>
      </c>
      <c r="B116" t="s">
        <v>1</v>
      </c>
    </row>
    <row r="117" spans="1:9" x14ac:dyDescent="0.3">
      <c r="A117" s="7" t="s">
        <v>14</v>
      </c>
      <c r="B117" t="s">
        <v>69</v>
      </c>
    </row>
    <row r="119" spans="1:9" ht="33" customHeight="1" x14ac:dyDescent="0.3">
      <c r="A119" s="7" t="s">
        <v>6</v>
      </c>
      <c r="B119" t="s">
        <v>23</v>
      </c>
      <c r="D119" t="s">
        <v>70</v>
      </c>
      <c r="E119" t="s">
        <v>71</v>
      </c>
      <c r="G119" s="24" t="s">
        <v>77</v>
      </c>
      <c r="H119" s="24" t="s">
        <v>71</v>
      </c>
      <c r="I119" s="24" t="s">
        <v>78</v>
      </c>
    </row>
    <row r="120" spans="1:9" x14ac:dyDescent="0.3">
      <c r="A120" s="20">
        <v>44493</v>
      </c>
      <c r="B120" s="21">
        <v>2.4999999999999998E-2</v>
      </c>
      <c r="D120" s="22">
        <v>44493</v>
      </c>
      <c r="E120" s="23">
        <v>2.4999999999999998E-2</v>
      </c>
      <c r="G120" t="s">
        <v>72</v>
      </c>
      <c r="H120" s="21">
        <f>SUBTOTAL(9,E120:E125)</f>
        <v>0.70694444444444449</v>
      </c>
      <c r="I120" s="21">
        <f>SUBTOTAL(1,E120:E125)</f>
        <v>0.11782407407407408</v>
      </c>
    </row>
    <row r="121" spans="1:9" x14ac:dyDescent="0.3">
      <c r="A121" s="20">
        <v>44494</v>
      </c>
      <c r="B121" s="21">
        <v>9.4444444444444442E-2</v>
      </c>
      <c r="D121" s="20">
        <v>44494</v>
      </c>
      <c r="E121" s="21">
        <v>9.4444444444444442E-2</v>
      </c>
      <c r="G121" t="s">
        <v>73</v>
      </c>
      <c r="H121" s="21">
        <f>SUBTOTAL(9,E126:E129)</f>
        <v>0.74305555555555558</v>
      </c>
      <c r="I121" s="21">
        <f>SUBTOTAL(1,E126:E129)</f>
        <v>0.1857638888888889</v>
      </c>
    </row>
    <row r="122" spans="1:9" x14ac:dyDescent="0.3">
      <c r="A122" s="20">
        <v>44495</v>
      </c>
      <c r="B122" s="21">
        <v>0.14583333333333334</v>
      </c>
      <c r="D122" s="22">
        <v>44495</v>
      </c>
      <c r="E122" s="23">
        <v>0.14583333333333334</v>
      </c>
      <c r="G122" t="s">
        <v>75</v>
      </c>
      <c r="H122" s="21">
        <f>SUBTOTAL(9,E130:E136)</f>
        <v>1.0979166666666667</v>
      </c>
      <c r="I122" s="21">
        <f>SUBTOTAL(1,E130:E136)</f>
        <v>0.15684523809523809</v>
      </c>
    </row>
    <row r="123" spans="1:9" x14ac:dyDescent="0.3">
      <c r="A123" s="20">
        <v>44496</v>
      </c>
      <c r="B123" s="21">
        <v>0.28194444444444444</v>
      </c>
      <c r="D123" s="20">
        <v>44496</v>
      </c>
      <c r="E123" s="21">
        <v>0.28194444444444444</v>
      </c>
      <c r="G123" t="s">
        <v>74</v>
      </c>
      <c r="H123" s="21">
        <f>SUBTOTAL(9,E137:E140)</f>
        <v>0.8125</v>
      </c>
      <c r="I123" s="21">
        <f>SUBTOTAL(1,E137:E140)</f>
        <v>0.203125</v>
      </c>
    </row>
    <row r="124" spans="1:9" x14ac:dyDescent="0.3">
      <c r="A124" s="20">
        <v>44497</v>
      </c>
      <c r="B124" s="21">
        <v>9.7222222222222224E-2</v>
      </c>
      <c r="D124" s="22">
        <v>44497</v>
      </c>
      <c r="E124" s="23">
        <v>9.7222222222222224E-2</v>
      </c>
      <c r="G124" t="s">
        <v>76</v>
      </c>
      <c r="H124" s="21">
        <f>SUBTOTAL(9,E141:E144)</f>
        <v>0.68541666666666656</v>
      </c>
      <c r="I124" s="21">
        <f>SUBTOTAL(1,E141:E144)</f>
        <v>0.17135416666666664</v>
      </c>
    </row>
    <row r="125" spans="1:9" x14ac:dyDescent="0.3">
      <c r="A125" s="20">
        <v>44498</v>
      </c>
      <c r="B125" s="21">
        <v>6.25E-2</v>
      </c>
      <c r="D125" s="20">
        <v>44498</v>
      </c>
      <c r="E125" s="21">
        <v>6.25E-2</v>
      </c>
      <c r="H125" s="21"/>
      <c r="I125" s="21"/>
    </row>
    <row r="126" spans="1:9" x14ac:dyDescent="0.3">
      <c r="A126" s="20">
        <v>44514</v>
      </c>
      <c r="B126" s="21">
        <v>0.12708333333333333</v>
      </c>
      <c r="D126" s="22">
        <v>44514</v>
      </c>
      <c r="E126" s="23">
        <v>0.12708333333333333</v>
      </c>
      <c r="H126" s="21"/>
      <c r="I126" s="21"/>
    </row>
    <row r="127" spans="1:9" x14ac:dyDescent="0.3">
      <c r="A127" s="20">
        <v>44515</v>
      </c>
      <c r="B127" s="21">
        <v>9.4444444444444442E-2</v>
      </c>
      <c r="D127" s="20">
        <v>44515</v>
      </c>
      <c r="E127" s="21">
        <v>9.4444444444444442E-2</v>
      </c>
      <c r="I127" s="21"/>
    </row>
    <row r="128" spans="1:9" x14ac:dyDescent="0.3">
      <c r="A128" s="20">
        <v>44516</v>
      </c>
      <c r="B128" s="21">
        <v>0.15972222222222218</v>
      </c>
      <c r="D128" s="22">
        <v>44516</v>
      </c>
      <c r="E128" s="23">
        <v>0.15972222222222218</v>
      </c>
      <c r="I128" s="21"/>
    </row>
    <row r="129" spans="1:5" x14ac:dyDescent="0.3">
      <c r="A129" s="20">
        <v>44517</v>
      </c>
      <c r="B129" s="21">
        <v>0.36180555555555555</v>
      </c>
      <c r="D129" s="20">
        <v>44517</v>
      </c>
      <c r="E129" s="21">
        <v>0.36180555555555555</v>
      </c>
    </row>
    <row r="130" spans="1:5" x14ac:dyDescent="0.3">
      <c r="A130" s="20">
        <v>44533</v>
      </c>
      <c r="B130" s="21">
        <v>0.15208333333333335</v>
      </c>
      <c r="D130" s="22">
        <v>44533</v>
      </c>
      <c r="E130" s="23">
        <v>0.15208333333333335</v>
      </c>
    </row>
    <row r="131" spans="1:5" x14ac:dyDescent="0.3">
      <c r="A131" s="20">
        <v>44534</v>
      </c>
      <c r="B131" s="21">
        <v>0.17083333333333334</v>
      </c>
      <c r="D131" s="20">
        <v>44534</v>
      </c>
      <c r="E131" s="21">
        <v>0.17083333333333334</v>
      </c>
    </row>
    <row r="132" spans="1:5" x14ac:dyDescent="0.3">
      <c r="A132" s="20">
        <v>44535</v>
      </c>
      <c r="B132" s="21">
        <v>9.7222222222222224E-2</v>
      </c>
      <c r="D132" s="22">
        <v>44535</v>
      </c>
      <c r="E132" s="23">
        <v>9.7222222222222224E-2</v>
      </c>
    </row>
    <row r="133" spans="1:5" x14ac:dyDescent="0.3">
      <c r="A133" s="20">
        <v>44536</v>
      </c>
      <c r="B133" s="21">
        <v>9.4444444444444442E-2</v>
      </c>
      <c r="D133" s="20">
        <v>44536</v>
      </c>
      <c r="E133" s="21">
        <v>9.4444444444444442E-2</v>
      </c>
    </row>
    <row r="134" spans="1:5" x14ac:dyDescent="0.3">
      <c r="A134" s="20">
        <v>44537</v>
      </c>
      <c r="B134" s="21">
        <v>0.10902777777777778</v>
      </c>
      <c r="D134" s="22">
        <v>44537</v>
      </c>
      <c r="E134" s="23">
        <v>0.10902777777777778</v>
      </c>
    </row>
    <row r="135" spans="1:5" x14ac:dyDescent="0.3">
      <c r="A135" s="20">
        <v>44538</v>
      </c>
      <c r="B135" s="21">
        <v>0.17986111111111108</v>
      </c>
      <c r="D135" s="20">
        <v>44538</v>
      </c>
      <c r="E135" s="21">
        <v>0.17986111111111108</v>
      </c>
    </row>
    <row r="136" spans="1:5" x14ac:dyDescent="0.3">
      <c r="A136" s="20">
        <v>44539</v>
      </c>
      <c r="B136" s="21">
        <v>0.29444444444444445</v>
      </c>
      <c r="D136" s="22">
        <v>44539</v>
      </c>
      <c r="E136" s="23">
        <v>0.29444444444444445</v>
      </c>
    </row>
    <row r="137" spans="1:5" x14ac:dyDescent="0.3">
      <c r="A137" s="20">
        <v>44576</v>
      </c>
      <c r="B137" s="21">
        <v>0.10486111111111113</v>
      </c>
      <c r="D137" s="20">
        <v>44576</v>
      </c>
      <c r="E137" s="21">
        <v>0.10486111111111113</v>
      </c>
    </row>
    <row r="138" spans="1:5" x14ac:dyDescent="0.3">
      <c r="A138" s="20">
        <v>44577</v>
      </c>
      <c r="B138" s="21">
        <v>0.17152777777777778</v>
      </c>
      <c r="D138" s="22">
        <v>44577</v>
      </c>
      <c r="E138" s="23">
        <v>0.17152777777777778</v>
      </c>
    </row>
    <row r="139" spans="1:5" x14ac:dyDescent="0.3">
      <c r="A139" s="20">
        <v>44578</v>
      </c>
      <c r="B139" s="21">
        <v>0.23194444444444443</v>
      </c>
      <c r="D139" s="20">
        <v>44578</v>
      </c>
      <c r="E139" s="21">
        <v>0.23194444444444443</v>
      </c>
    </row>
    <row r="140" spans="1:5" x14ac:dyDescent="0.3">
      <c r="A140" s="20">
        <v>44579</v>
      </c>
      <c r="B140" s="21">
        <v>0.30416666666666664</v>
      </c>
      <c r="D140" s="22">
        <v>44579</v>
      </c>
      <c r="E140" s="23">
        <v>0.30416666666666664</v>
      </c>
    </row>
    <row r="141" spans="1:5" x14ac:dyDescent="0.3">
      <c r="A141" s="20">
        <v>44816</v>
      </c>
      <c r="B141" s="21">
        <v>3.3333333333333333E-2</v>
      </c>
      <c r="D141" s="20">
        <v>44816</v>
      </c>
      <c r="E141" s="21">
        <v>3.3333333333333333E-2</v>
      </c>
    </row>
    <row r="142" spans="1:5" x14ac:dyDescent="0.3">
      <c r="A142" s="20">
        <v>44817</v>
      </c>
      <c r="B142" s="21">
        <v>0.3874999999999999</v>
      </c>
      <c r="D142" s="22">
        <v>44817</v>
      </c>
      <c r="E142" s="23">
        <v>0.3874999999999999</v>
      </c>
    </row>
    <row r="143" spans="1:5" x14ac:dyDescent="0.3">
      <c r="A143" s="20">
        <v>44818</v>
      </c>
      <c r="B143" s="21">
        <v>7.7777777777777779E-2</v>
      </c>
      <c r="D143" s="20">
        <v>44818</v>
      </c>
      <c r="E143" s="21">
        <v>7.7777777777777779E-2</v>
      </c>
    </row>
    <row r="144" spans="1:5" x14ac:dyDescent="0.3">
      <c r="A144" s="20">
        <v>44819</v>
      </c>
      <c r="B144" s="21">
        <v>0.18680555555555556</v>
      </c>
      <c r="D144" s="22">
        <v>44819</v>
      </c>
      <c r="E144" s="23">
        <v>0.18680555555555556</v>
      </c>
    </row>
    <row r="145" spans="1:2" x14ac:dyDescent="0.3">
      <c r="A145" s="20" t="s">
        <v>7</v>
      </c>
      <c r="B145" s="21">
        <v>4.0458333333333334</v>
      </c>
    </row>
  </sheetData>
  <phoneticPr fontId="3" type="noConversion"/>
  <pageMargins left="0.7" right="0.7" top="0.75" bottom="0.75" header="0.3" footer="0.3"/>
  <pageSetup paperSize="9" orientation="portrait" r:id="rId6"/>
  <drawing r:id="rId7"/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STUDY LOG</vt:lpstr>
      <vt:lpstr>DATA ANALYSIS</vt:lpstr>
      <vt:lpstr>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Merzifonyan</dc:creator>
  <cp:lastModifiedBy>Roman</cp:lastModifiedBy>
  <dcterms:created xsi:type="dcterms:W3CDTF">2021-09-21T12:01:04Z</dcterms:created>
  <dcterms:modified xsi:type="dcterms:W3CDTF">2023-05-31T11:34:55Z</dcterms:modified>
</cp:coreProperties>
</file>